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essie/Desktop/Challenge/"/>
    </mc:Choice>
  </mc:AlternateContent>
  <bookViews>
    <workbookView xWindow="0" yWindow="460" windowWidth="25600" windowHeight="1384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7" i="1" l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P15" i="1"/>
  <c r="AP14" i="1"/>
  <c r="M6" i="1"/>
  <c r="B3" i="1"/>
  <c r="L6" i="1"/>
  <c r="O6" i="1"/>
  <c r="Q6" i="1"/>
  <c r="L7" i="1"/>
  <c r="P6" i="1"/>
  <c r="K7" i="1"/>
  <c r="M7" i="1"/>
  <c r="O7" i="1"/>
  <c r="Q7" i="1"/>
  <c r="P7" i="1"/>
  <c r="S7" i="1"/>
  <c r="J6" i="1"/>
  <c r="T6" i="1"/>
  <c r="T7" i="1"/>
  <c r="N6" i="1"/>
  <c r="U6" i="1"/>
  <c r="H6" i="1"/>
  <c r="V6" i="1"/>
  <c r="U7" i="1"/>
  <c r="W7" i="1"/>
  <c r="W6" i="1"/>
  <c r="X7" i="1"/>
  <c r="AB7" i="1"/>
  <c r="L8" i="1"/>
  <c r="K8" i="1"/>
  <c r="M8" i="1"/>
  <c r="O8" i="1"/>
  <c r="Q8" i="1"/>
  <c r="P8" i="1"/>
  <c r="S8" i="1"/>
  <c r="T8" i="1"/>
  <c r="V7" i="1"/>
  <c r="U8" i="1"/>
  <c r="W8" i="1"/>
  <c r="X8" i="1"/>
  <c r="AB8" i="1"/>
  <c r="L9" i="1"/>
  <c r="K9" i="1"/>
  <c r="M9" i="1"/>
  <c r="O9" i="1"/>
  <c r="Q9" i="1"/>
  <c r="P9" i="1"/>
  <c r="S9" i="1"/>
  <c r="T9" i="1"/>
  <c r="V8" i="1"/>
  <c r="U9" i="1"/>
  <c r="W9" i="1"/>
  <c r="X9" i="1"/>
  <c r="AB9" i="1"/>
  <c r="L10" i="1"/>
  <c r="K10" i="1"/>
  <c r="M10" i="1"/>
  <c r="O10" i="1"/>
  <c r="Q10" i="1"/>
  <c r="P10" i="1"/>
  <c r="S10" i="1"/>
  <c r="T10" i="1"/>
  <c r="V9" i="1"/>
  <c r="U10" i="1"/>
  <c r="W10" i="1"/>
  <c r="X10" i="1"/>
  <c r="AB10" i="1"/>
  <c r="L11" i="1"/>
  <c r="K11" i="1"/>
  <c r="M11" i="1"/>
  <c r="O11" i="1"/>
  <c r="Q11" i="1"/>
  <c r="P11" i="1"/>
  <c r="S11" i="1"/>
  <c r="T11" i="1"/>
  <c r="V10" i="1"/>
  <c r="U11" i="1"/>
  <c r="W11" i="1"/>
  <c r="X11" i="1"/>
  <c r="AB11" i="1"/>
  <c r="L12" i="1"/>
  <c r="K12" i="1"/>
  <c r="M12" i="1"/>
  <c r="O12" i="1"/>
  <c r="Q12" i="1"/>
  <c r="P12" i="1"/>
  <c r="S12" i="1"/>
  <c r="T12" i="1"/>
  <c r="V11" i="1"/>
  <c r="U12" i="1"/>
  <c r="W12" i="1"/>
  <c r="X12" i="1"/>
  <c r="AB12" i="1"/>
  <c r="L13" i="1"/>
  <c r="K13" i="1"/>
  <c r="M13" i="1"/>
  <c r="O13" i="1"/>
  <c r="Q13" i="1"/>
  <c r="P13" i="1"/>
  <c r="S13" i="1"/>
  <c r="T13" i="1"/>
  <c r="V12" i="1"/>
  <c r="U13" i="1"/>
  <c r="W13" i="1"/>
  <c r="X13" i="1"/>
  <c r="AB13" i="1"/>
  <c r="L14" i="1"/>
  <c r="K14" i="1"/>
  <c r="M14" i="1"/>
  <c r="O14" i="1"/>
  <c r="Q14" i="1"/>
  <c r="P14" i="1"/>
  <c r="S14" i="1"/>
  <c r="T14" i="1"/>
  <c r="V13" i="1"/>
  <c r="U14" i="1"/>
  <c r="W14" i="1"/>
  <c r="X14" i="1"/>
  <c r="AB14" i="1"/>
  <c r="L15" i="1"/>
  <c r="K15" i="1"/>
  <c r="M15" i="1"/>
  <c r="O15" i="1"/>
  <c r="Q15" i="1"/>
  <c r="P15" i="1"/>
  <c r="S15" i="1"/>
  <c r="T15" i="1"/>
  <c r="V14" i="1"/>
  <c r="U15" i="1"/>
  <c r="W15" i="1"/>
  <c r="X15" i="1"/>
  <c r="AB15" i="1"/>
  <c r="L16" i="1"/>
  <c r="K16" i="1"/>
  <c r="M16" i="1"/>
  <c r="O16" i="1"/>
  <c r="Q16" i="1"/>
  <c r="P16" i="1"/>
  <c r="S16" i="1"/>
  <c r="T16" i="1"/>
  <c r="V15" i="1"/>
  <c r="U16" i="1"/>
  <c r="W16" i="1"/>
  <c r="X16" i="1"/>
  <c r="AB16" i="1"/>
  <c r="L17" i="1"/>
  <c r="K17" i="1"/>
  <c r="M17" i="1"/>
  <c r="O17" i="1"/>
  <c r="Q17" i="1"/>
  <c r="P17" i="1"/>
  <c r="S17" i="1"/>
  <c r="T17" i="1"/>
  <c r="V16" i="1"/>
  <c r="U17" i="1"/>
  <c r="W17" i="1"/>
  <c r="X17" i="1"/>
  <c r="AB17" i="1"/>
  <c r="L18" i="1"/>
  <c r="K18" i="1"/>
  <c r="M18" i="1"/>
  <c r="O18" i="1"/>
  <c r="Q18" i="1"/>
  <c r="P18" i="1"/>
  <c r="S18" i="1"/>
  <c r="T18" i="1"/>
  <c r="V17" i="1"/>
  <c r="U18" i="1"/>
  <c r="W18" i="1"/>
  <c r="X18" i="1"/>
  <c r="AB18" i="1"/>
  <c r="L19" i="1"/>
  <c r="K19" i="1"/>
  <c r="M19" i="1"/>
  <c r="O19" i="1"/>
  <c r="Q19" i="1"/>
  <c r="P19" i="1"/>
  <c r="S19" i="1"/>
  <c r="T19" i="1"/>
  <c r="V18" i="1"/>
  <c r="U19" i="1"/>
  <c r="W19" i="1"/>
  <c r="X19" i="1"/>
  <c r="AB19" i="1"/>
  <c r="L20" i="1"/>
  <c r="K20" i="1"/>
  <c r="M20" i="1"/>
  <c r="O20" i="1"/>
  <c r="Q20" i="1"/>
  <c r="P20" i="1"/>
  <c r="S20" i="1"/>
  <c r="T20" i="1"/>
  <c r="V19" i="1"/>
  <c r="U20" i="1"/>
  <c r="W20" i="1"/>
  <c r="X20" i="1"/>
  <c r="AB20" i="1"/>
  <c r="L21" i="1"/>
  <c r="K21" i="1"/>
  <c r="M21" i="1"/>
  <c r="O21" i="1"/>
  <c r="Q21" i="1"/>
  <c r="P21" i="1"/>
  <c r="S21" i="1"/>
  <c r="T21" i="1"/>
  <c r="V20" i="1"/>
  <c r="U21" i="1"/>
  <c r="W21" i="1"/>
  <c r="X21" i="1"/>
  <c r="AB21" i="1"/>
  <c r="L22" i="1"/>
  <c r="K22" i="1"/>
  <c r="M22" i="1"/>
  <c r="O22" i="1"/>
  <c r="Q22" i="1"/>
  <c r="P22" i="1"/>
  <c r="S22" i="1"/>
  <c r="T22" i="1"/>
  <c r="V21" i="1"/>
  <c r="U22" i="1"/>
  <c r="W22" i="1"/>
  <c r="X22" i="1"/>
  <c r="AB22" i="1"/>
  <c r="L23" i="1"/>
  <c r="K23" i="1"/>
  <c r="M23" i="1"/>
  <c r="O23" i="1"/>
  <c r="Q23" i="1"/>
  <c r="P23" i="1"/>
  <c r="S23" i="1"/>
  <c r="T23" i="1"/>
  <c r="V22" i="1"/>
  <c r="U23" i="1"/>
  <c r="W23" i="1"/>
  <c r="X23" i="1"/>
  <c r="AB23" i="1"/>
  <c r="L24" i="1"/>
  <c r="K24" i="1"/>
  <c r="M24" i="1"/>
  <c r="O24" i="1"/>
  <c r="Q24" i="1"/>
  <c r="P24" i="1"/>
  <c r="S24" i="1"/>
  <c r="T24" i="1"/>
  <c r="V23" i="1"/>
  <c r="U24" i="1"/>
  <c r="W24" i="1"/>
  <c r="X24" i="1"/>
  <c r="AB24" i="1"/>
  <c r="L25" i="1"/>
  <c r="K25" i="1"/>
  <c r="M25" i="1"/>
  <c r="O25" i="1"/>
  <c r="Q25" i="1"/>
  <c r="P25" i="1"/>
  <c r="S25" i="1"/>
  <c r="T25" i="1"/>
  <c r="V24" i="1"/>
  <c r="U25" i="1"/>
  <c r="W25" i="1"/>
  <c r="X25" i="1"/>
  <c r="AB25" i="1"/>
  <c r="L26" i="1"/>
  <c r="K26" i="1"/>
  <c r="M26" i="1"/>
  <c r="O26" i="1"/>
  <c r="Q26" i="1"/>
  <c r="P26" i="1"/>
  <c r="S26" i="1"/>
  <c r="T26" i="1"/>
  <c r="V25" i="1"/>
  <c r="U26" i="1"/>
  <c r="W26" i="1"/>
  <c r="X26" i="1"/>
  <c r="AB26" i="1"/>
  <c r="L27" i="1"/>
  <c r="K27" i="1"/>
  <c r="M27" i="1"/>
  <c r="O27" i="1"/>
  <c r="Q27" i="1"/>
  <c r="P27" i="1"/>
  <c r="S27" i="1"/>
  <c r="T27" i="1"/>
  <c r="V26" i="1"/>
  <c r="U27" i="1"/>
  <c r="W27" i="1"/>
  <c r="X27" i="1"/>
  <c r="AB27" i="1"/>
  <c r="L28" i="1"/>
  <c r="K28" i="1"/>
  <c r="M28" i="1"/>
  <c r="O28" i="1"/>
  <c r="Q28" i="1"/>
  <c r="P28" i="1"/>
  <c r="S28" i="1"/>
  <c r="T28" i="1"/>
  <c r="V27" i="1"/>
  <c r="U28" i="1"/>
  <c r="W28" i="1"/>
  <c r="X28" i="1"/>
  <c r="AB28" i="1"/>
  <c r="L29" i="1"/>
  <c r="K29" i="1"/>
  <c r="M29" i="1"/>
  <c r="O29" i="1"/>
  <c r="Q29" i="1"/>
  <c r="P29" i="1"/>
  <c r="S29" i="1"/>
  <c r="T29" i="1"/>
  <c r="V28" i="1"/>
  <c r="U29" i="1"/>
  <c r="W29" i="1"/>
  <c r="X29" i="1"/>
  <c r="AB29" i="1"/>
  <c r="L30" i="1"/>
  <c r="K30" i="1"/>
  <c r="M30" i="1"/>
  <c r="O30" i="1"/>
  <c r="Q30" i="1"/>
  <c r="P30" i="1"/>
  <c r="S30" i="1"/>
  <c r="T30" i="1"/>
  <c r="V29" i="1"/>
  <c r="U30" i="1"/>
  <c r="W30" i="1"/>
  <c r="X30" i="1"/>
  <c r="AB30" i="1"/>
  <c r="L31" i="1"/>
  <c r="K31" i="1"/>
  <c r="M31" i="1"/>
  <c r="O31" i="1"/>
  <c r="Q31" i="1"/>
  <c r="P31" i="1"/>
  <c r="S31" i="1"/>
  <c r="T31" i="1"/>
  <c r="V30" i="1"/>
  <c r="U31" i="1"/>
  <c r="W31" i="1"/>
  <c r="X31" i="1"/>
  <c r="AB31" i="1"/>
  <c r="L32" i="1"/>
  <c r="K32" i="1"/>
  <c r="M32" i="1"/>
  <c r="O32" i="1"/>
  <c r="Q32" i="1"/>
  <c r="P32" i="1"/>
  <c r="S32" i="1"/>
  <c r="T32" i="1"/>
  <c r="V31" i="1"/>
  <c r="U32" i="1"/>
  <c r="W32" i="1"/>
  <c r="X32" i="1"/>
  <c r="AB32" i="1"/>
  <c r="L33" i="1"/>
  <c r="K33" i="1"/>
  <c r="M33" i="1"/>
  <c r="O33" i="1"/>
  <c r="Q33" i="1"/>
  <c r="P33" i="1"/>
  <c r="S33" i="1"/>
  <c r="T33" i="1"/>
  <c r="V32" i="1"/>
  <c r="U33" i="1"/>
  <c r="W33" i="1"/>
  <c r="X33" i="1"/>
  <c r="AB33" i="1"/>
  <c r="L34" i="1"/>
  <c r="K34" i="1"/>
  <c r="M34" i="1"/>
  <c r="O34" i="1"/>
  <c r="Q34" i="1"/>
  <c r="P34" i="1"/>
  <c r="S34" i="1"/>
  <c r="T34" i="1"/>
  <c r="V33" i="1"/>
  <c r="U34" i="1"/>
  <c r="W34" i="1"/>
  <c r="X34" i="1"/>
  <c r="AB34" i="1"/>
  <c r="L35" i="1"/>
  <c r="K35" i="1"/>
  <c r="M35" i="1"/>
  <c r="O35" i="1"/>
  <c r="Q35" i="1"/>
  <c r="P35" i="1"/>
  <c r="S35" i="1"/>
  <c r="T35" i="1"/>
  <c r="V34" i="1"/>
  <c r="U35" i="1"/>
  <c r="W35" i="1"/>
  <c r="X35" i="1"/>
  <c r="AB35" i="1"/>
  <c r="L36" i="1"/>
  <c r="K36" i="1"/>
  <c r="M36" i="1"/>
  <c r="O36" i="1"/>
  <c r="Q36" i="1"/>
  <c r="P36" i="1"/>
  <c r="S36" i="1"/>
  <c r="T36" i="1"/>
  <c r="V35" i="1"/>
  <c r="U36" i="1"/>
  <c r="W36" i="1"/>
  <c r="X36" i="1"/>
  <c r="AB36" i="1"/>
  <c r="L37" i="1"/>
  <c r="K37" i="1"/>
  <c r="M37" i="1"/>
  <c r="O37" i="1"/>
  <c r="Q37" i="1"/>
  <c r="P37" i="1"/>
  <c r="S37" i="1"/>
  <c r="T37" i="1"/>
  <c r="V36" i="1"/>
  <c r="U37" i="1"/>
  <c r="W37" i="1"/>
  <c r="X37" i="1"/>
  <c r="AB37" i="1"/>
  <c r="L38" i="1"/>
  <c r="K38" i="1"/>
  <c r="M38" i="1"/>
  <c r="O38" i="1"/>
  <c r="Q38" i="1"/>
  <c r="P38" i="1"/>
  <c r="S38" i="1"/>
  <c r="T38" i="1"/>
  <c r="V37" i="1"/>
  <c r="U38" i="1"/>
  <c r="W38" i="1"/>
  <c r="X38" i="1"/>
  <c r="AB38" i="1"/>
  <c r="L39" i="1"/>
  <c r="K39" i="1"/>
  <c r="M39" i="1"/>
  <c r="O39" i="1"/>
  <c r="Q39" i="1"/>
  <c r="P39" i="1"/>
  <c r="S39" i="1"/>
  <c r="T39" i="1"/>
  <c r="V38" i="1"/>
  <c r="U39" i="1"/>
  <c r="W39" i="1"/>
  <c r="X39" i="1"/>
  <c r="AB39" i="1"/>
  <c r="L40" i="1"/>
  <c r="K40" i="1"/>
  <c r="M40" i="1"/>
  <c r="O40" i="1"/>
  <c r="Q40" i="1"/>
  <c r="P40" i="1"/>
  <c r="S40" i="1"/>
  <c r="T40" i="1"/>
  <c r="V39" i="1"/>
  <c r="U40" i="1"/>
  <c r="W40" i="1"/>
  <c r="X40" i="1"/>
  <c r="AB40" i="1"/>
  <c r="L41" i="1"/>
  <c r="K41" i="1"/>
  <c r="M41" i="1"/>
  <c r="O41" i="1"/>
  <c r="Q41" i="1"/>
  <c r="P41" i="1"/>
  <c r="S41" i="1"/>
  <c r="T41" i="1"/>
  <c r="V40" i="1"/>
  <c r="U41" i="1"/>
  <c r="W41" i="1"/>
  <c r="X41" i="1"/>
  <c r="AB41" i="1"/>
  <c r="L42" i="1"/>
  <c r="K42" i="1"/>
  <c r="M42" i="1"/>
  <c r="O42" i="1"/>
  <c r="Q42" i="1"/>
  <c r="P42" i="1"/>
  <c r="S42" i="1"/>
  <c r="T42" i="1"/>
  <c r="V41" i="1"/>
  <c r="U42" i="1"/>
  <c r="W42" i="1"/>
  <c r="X42" i="1"/>
  <c r="AB42" i="1"/>
  <c r="L43" i="1"/>
  <c r="K43" i="1"/>
  <c r="M43" i="1"/>
  <c r="O43" i="1"/>
  <c r="Q43" i="1"/>
  <c r="P43" i="1"/>
  <c r="S43" i="1"/>
  <c r="T43" i="1"/>
  <c r="V42" i="1"/>
  <c r="U43" i="1"/>
  <c r="W43" i="1"/>
  <c r="X43" i="1"/>
  <c r="AB43" i="1"/>
  <c r="L44" i="1"/>
  <c r="K44" i="1"/>
  <c r="M44" i="1"/>
  <c r="O44" i="1"/>
  <c r="Q44" i="1"/>
  <c r="P44" i="1"/>
  <c r="S44" i="1"/>
  <c r="T44" i="1"/>
  <c r="V43" i="1"/>
  <c r="U44" i="1"/>
  <c r="W44" i="1"/>
  <c r="X44" i="1"/>
  <c r="AB44" i="1"/>
  <c r="L45" i="1"/>
  <c r="K45" i="1"/>
  <c r="M45" i="1"/>
  <c r="O45" i="1"/>
  <c r="Q45" i="1"/>
  <c r="P45" i="1"/>
  <c r="S45" i="1"/>
  <c r="T45" i="1"/>
  <c r="V44" i="1"/>
  <c r="U45" i="1"/>
  <c r="W45" i="1"/>
  <c r="X45" i="1"/>
  <c r="AB45" i="1"/>
  <c r="L46" i="1"/>
  <c r="K46" i="1"/>
  <c r="M46" i="1"/>
  <c r="O46" i="1"/>
  <c r="Q46" i="1"/>
  <c r="P46" i="1"/>
  <c r="S46" i="1"/>
  <c r="T46" i="1"/>
  <c r="V45" i="1"/>
  <c r="U46" i="1"/>
  <c r="W46" i="1"/>
  <c r="X46" i="1"/>
  <c r="AB46" i="1"/>
  <c r="L47" i="1"/>
  <c r="K47" i="1"/>
  <c r="M47" i="1"/>
  <c r="O47" i="1"/>
  <c r="Q47" i="1"/>
  <c r="P47" i="1"/>
  <c r="S47" i="1"/>
  <c r="T47" i="1"/>
  <c r="V46" i="1"/>
  <c r="U47" i="1"/>
  <c r="W47" i="1"/>
  <c r="X47" i="1"/>
  <c r="AB47" i="1"/>
  <c r="L48" i="1"/>
  <c r="K48" i="1"/>
  <c r="M48" i="1"/>
  <c r="O48" i="1"/>
  <c r="Q48" i="1"/>
  <c r="P48" i="1"/>
  <c r="S48" i="1"/>
  <c r="T48" i="1"/>
  <c r="V47" i="1"/>
  <c r="U48" i="1"/>
  <c r="W48" i="1"/>
  <c r="X48" i="1"/>
  <c r="AB48" i="1"/>
  <c r="L49" i="1"/>
  <c r="K49" i="1"/>
  <c r="M49" i="1"/>
  <c r="O49" i="1"/>
  <c r="Q49" i="1"/>
  <c r="P49" i="1"/>
  <c r="S49" i="1"/>
  <c r="T49" i="1"/>
  <c r="V48" i="1"/>
  <c r="U49" i="1"/>
  <c r="W49" i="1"/>
  <c r="X49" i="1"/>
  <c r="AB49" i="1"/>
  <c r="L50" i="1"/>
  <c r="K50" i="1"/>
  <c r="M50" i="1"/>
  <c r="O50" i="1"/>
  <c r="Q50" i="1"/>
  <c r="P50" i="1"/>
  <c r="S50" i="1"/>
  <c r="T50" i="1"/>
  <c r="V49" i="1"/>
  <c r="U50" i="1"/>
  <c r="W50" i="1"/>
  <c r="X50" i="1"/>
  <c r="AB50" i="1"/>
  <c r="L51" i="1"/>
  <c r="K51" i="1"/>
  <c r="M51" i="1"/>
  <c r="O51" i="1"/>
  <c r="Q51" i="1"/>
  <c r="P51" i="1"/>
  <c r="S51" i="1"/>
  <c r="T51" i="1"/>
  <c r="V50" i="1"/>
  <c r="U51" i="1"/>
  <c r="W51" i="1"/>
  <c r="X51" i="1"/>
  <c r="AB51" i="1"/>
  <c r="L52" i="1"/>
  <c r="K52" i="1"/>
  <c r="M52" i="1"/>
  <c r="O52" i="1"/>
  <c r="Q52" i="1"/>
  <c r="P52" i="1"/>
  <c r="S52" i="1"/>
  <c r="T52" i="1"/>
  <c r="V51" i="1"/>
  <c r="U52" i="1"/>
  <c r="W52" i="1"/>
  <c r="X52" i="1"/>
  <c r="AB52" i="1"/>
  <c r="L53" i="1"/>
  <c r="K53" i="1"/>
  <c r="M53" i="1"/>
  <c r="O53" i="1"/>
  <c r="Q53" i="1"/>
  <c r="P53" i="1"/>
  <c r="S53" i="1"/>
  <c r="J53" i="1"/>
  <c r="N53" i="1"/>
  <c r="T53" i="1"/>
  <c r="V52" i="1"/>
  <c r="U53" i="1"/>
  <c r="W53" i="1"/>
  <c r="X53" i="1"/>
  <c r="AB53" i="1"/>
  <c r="L54" i="1"/>
  <c r="K54" i="1"/>
  <c r="M54" i="1"/>
  <c r="O54" i="1"/>
  <c r="Q54" i="1"/>
  <c r="P54" i="1"/>
  <c r="S54" i="1"/>
  <c r="T54" i="1"/>
  <c r="V53" i="1"/>
  <c r="U54" i="1"/>
  <c r="W54" i="1"/>
  <c r="X54" i="1"/>
  <c r="AB54" i="1"/>
  <c r="L55" i="1"/>
  <c r="K55" i="1"/>
  <c r="M55" i="1"/>
  <c r="O55" i="1"/>
  <c r="Q55" i="1"/>
  <c r="P55" i="1"/>
  <c r="S55" i="1"/>
  <c r="T55" i="1"/>
  <c r="V54" i="1"/>
  <c r="U55" i="1"/>
  <c r="W55" i="1"/>
  <c r="X55" i="1"/>
  <c r="AB55" i="1"/>
  <c r="L56" i="1"/>
  <c r="K56" i="1"/>
  <c r="M56" i="1"/>
  <c r="O56" i="1"/>
  <c r="Q56" i="1"/>
  <c r="P56" i="1"/>
  <c r="S56" i="1"/>
  <c r="T56" i="1"/>
  <c r="V55" i="1"/>
  <c r="U56" i="1"/>
  <c r="W56" i="1"/>
  <c r="X56" i="1"/>
  <c r="AB56" i="1"/>
  <c r="L57" i="1"/>
  <c r="K57" i="1"/>
  <c r="M57" i="1"/>
  <c r="O57" i="1"/>
  <c r="Q57" i="1"/>
  <c r="P57" i="1"/>
  <c r="S57" i="1"/>
  <c r="T57" i="1"/>
  <c r="V56" i="1"/>
  <c r="U57" i="1"/>
  <c r="W57" i="1"/>
  <c r="X57" i="1"/>
  <c r="AB57" i="1"/>
  <c r="L58" i="1"/>
  <c r="K58" i="1"/>
  <c r="M58" i="1"/>
  <c r="O58" i="1"/>
  <c r="Q58" i="1"/>
  <c r="P58" i="1"/>
  <c r="S58" i="1"/>
  <c r="T58" i="1"/>
  <c r="V57" i="1"/>
  <c r="U58" i="1"/>
  <c r="W58" i="1"/>
  <c r="X58" i="1"/>
  <c r="AB58" i="1"/>
  <c r="L59" i="1"/>
  <c r="K59" i="1"/>
  <c r="M59" i="1"/>
  <c r="O59" i="1"/>
  <c r="Q59" i="1"/>
  <c r="P59" i="1"/>
  <c r="S59" i="1"/>
  <c r="T59" i="1"/>
  <c r="V58" i="1"/>
  <c r="U59" i="1"/>
  <c r="W59" i="1"/>
  <c r="X59" i="1"/>
  <c r="AB59" i="1"/>
  <c r="L60" i="1"/>
  <c r="K60" i="1"/>
  <c r="M60" i="1"/>
  <c r="O60" i="1"/>
  <c r="Q60" i="1"/>
  <c r="P60" i="1"/>
  <c r="S60" i="1"/>
  <c r="T60" i="1"/>
  <c r="V59" i="1"/>
  <c r="U60" i="1"/>
  <c r="W60" i="1"/>
  <c r="X60" i="1"/>
  <c r="AB60" i="1"/>
  <c r="L61" i="1"/>
  <c r="K61" i="1"/>
  <c r="M61" i="1"/>
  <c r="O61" i="1"/>
  <c r="Q61" i="1"/>
  <c r="P61" i="1"/>
  <c r="S61" i="1"/>
  <c r="T61" i="1"/>
  <c r="V60" i="1"/>
  <c r="U61" i="1"/>
  <c r="W61" i="1"/>
  <c r="X61" i="1"/>
  <c r="AB61" i="1"/>
  <c r="L62" i="1"/>
  <c r="K62" i="1"/>
  <c r="M62" i="1"/>
  <c r="O62" i="1"/>
  <c r="Q62" i="1"/>
  <c r="P62" i="1"/>
  <c r="S62" i="1"/>
  <c r="T62" i="1"/>
  <c r="V61" i="1"/>
  <c r="U62" i="1"/>
  <c r="W62" i="1"/>
  <c r="X62" i="1"/>
  <c r="AB62" i="1"/>
  <c r="L63" i="1"/>
  <c r="K63" i="1"/>
  <c r="M63" i="1"/>
  <c r="O63" i="1"/>
  <c r="Q63" i="1"/>
  <c r="P63" i="1"/>
  <c r="S63" i="1"/>
  <c r="T63" i="1"/>
  <c r="V62" i="1"/>
  <c r="U63" i="1"/>
  <c r="W63" i="1"/>
  <c r="X63" i="1"/>
  <c r="AB63" i="1"/>
  <c r="L64" i="1"/>
  <c r="K64" i="1"/>
  <c r="M64" i="1"/>
  <c r="O64" i="1"/>
  <c r="Q64" i="1"/>
  <c r="P64" i="1"/>
  <c r="S64" i="1"/>
  <c r="T64" i="1"/>
  <c r="V63" i="1"/>
  <c r="U64" i="1"/>
  <c r="W64" i="1"/>
  <c r="X64" i="1"/>
  <c r="AB64" i="1"/>
  <c r="L65" i="1"/>
  <c r="K65" i="1"/>
  <c r="M65" i="1"/>
  <c r="O65" i="1"/>
  <c r="Q65" i="1"/>
  <c r="P65" i="1"/>
  <c r="S65" i="1"/>
  <c r="T65" i="1"/>
  <c r="V64" i="1"/>
  <c r="U65" i="1"/>
  <c r="W65" i="1"/>
  <c r="X65" i="1"/>
  <c r="AB65" i="1"/>
  <c r="L66" i="1"/>
  <c r="K66" i="1"/>
  <c r="M66" i="1"/>
  <c r="O66" i="1"/>
  <c r="Q66" i="1"/>
  <c r="P66" i="1"/>
  <c r="S66" i="1"/>
  <c r="T66" i="1"/>
  <c r="V65" i="1"/>
  <c r="U66" i="1"/>
  <c r="W66" i="1"/>
  <c r="X66" i="1"/>
  <c r="AB66" i="1"/>
  <c r="L67" i="1"/>
  <c r="K67" i="1"/>
  <c r="M67" i="1"/>
  <c r="O67" i="1"/>
  <c r="Q67" i="1"/>
  <c r="P67" i="1"/>
  <c r="S67" i="1"/>
  <c r="T67" i="1"/>
  <c r="V66" i="1"/>
  <c r="U67" i="1"/>
  <c r="W67" i="1"/>
  <c r="X67" i="1"/>
  <c r="AB67" i="1"/>
  <c r="L68" i="1"/>
  <c r="K68" i="1"/>
  <c r="M68" i="1"/>
  <c r="O68" i="1"/>
  <c r="Q68" i="1"/>
  <c r="P68" i="1"/>
  <c r="S68" i="1"/>
  <c r="T68" i="1"/>
  <c r="V67" i="1"/>
  <c r="U68" i="1"/>
  <c r="W68" i="1"/>
  <c r="X68" i="1"/>
  <c r="AB68" i="1"/>
  <c r="L69" i="1"/>
  <c r="K69" i="1"/>
  <c r="M69" i="1"/>
  <c r="O69" i="1"/>
  <c r="Q69" i="1"/>
  <c r="P69" i="1"/>
  <c r="S69" i="1"/>
  <c r="T69" i="1"/>
  <c r="V68" i="1"/>
  <c r="U69" i="1"/>
  <c r="W69" i="1"/>
  <c r="X69" i="1"/>
  <c r="AB69" i="1"/>
  <c r="L70" i="1"/>
  <c r="K70" i="1"/>
  <c r="M70" i="1"/>
  <c r="O70" i="1"/>
  <c r="Q70" i="1"/>
  <c r="P70" i="1"/>
  <c r="S70" i="1"/>
  <c r="T70" i="1"/>
  <c r="V69" i="1"/>
  <c r="U70" i="1"/>
  <c r="W70" i="1"/>
  <c r="X70" i="1"/>
  <c r="AB70" i="1"/>
  <c r="L71" i="1"/>
  <c r="K71" i="1"/>
  <c r="M71" i="1"/>
  <c r="O71" i="1"/>
  <c r="Q71" i="1"/>
  <c r="P71" i="1"/>
  <c r="S71" i="1"/>
  <c r="T71" i="1"/>
  <c r="V70" i="1"/>
  <c r="U71" i="1"/>
  <c r="W71" i="1"/>
  <c r="X71" i="1"/>
  <c r="AB71" i="1"/>
  <c r="L72" i="1"/>
  <c r="K72" i="1"/>
  <c r="M72" i="1"/>
  <c r="O72" i="1"/>
  <c r="Q72" i="1"/>
  <c r="P72" i="1"/>
  <c r="S72" i="1"/>
  <c r="T72" i="1"/>
  <c r="V71" i="1"/>
  <c r="U72" i="1"/>
  <c r="W72" i="1"/>
  <c r="X72" i="1"/>
  <c r="AB72" i="1"/>
  <c r="L73" i="1"/>
  <c r="K73" i="1"/>
  <c r="M73" i="1"/>
  <c r="O73" i="1"/>
  <c r="Q73" i="1"/>
  <c r="P73" i="1"/>
  <c r="S73" i="1"/>
  <c r="T73" i="1"/>
  <c r="V72" i="1"/>
  <c r="U73" i="1"/>
  <c r="W73" i="1"/>
  <c r="X73" i="1"/>
  <c r="AB73" i="1"/>
  <c r="L74" i="1"/>
  <c r="K74" i="1"/>
  <c r="M74" i="1"/>
  <c r="O74" i="1"/>
  <c r="Q74" i="1"/>
  <c r="P74" i="1"/>
  <c r="S74" i="1"/>
  <c r="T74" i="1"/>
  <c r="V73" i="1"/>
  <c r="U74" i="1"/>
  <c r="W74" i="1"/>
  <c r="X74" i="1"/>
  <c r="AB74" i="1"/>
  <c r="L75" i="1"/>
  <c r="K75" i="1"/>
  <c r="M75" i="1"/>
  <c r="O75" i="1"/>
  <c r="Q75" i="1"/>
  <c r="P75" i="1"/>
  <c r="S75" i="1"/>
  <c r="T75" i="1"/>
  <c r="V74" i="1"/>
  <c r="U75" i="1"/>
  <c r="W75" i="1"/>
  <c r="X75" i="1"/>
  <c r="AB75" i="1"/>
  <c r="L76" i="1"/>
  <c r="K76" i="1"/>
  <c r="M76" i="1"/>
  <c r="O76" i="1"/>
  <c r="Q76" i="1"/>
  <c r="P76" i="1"/>
  <c r="S76" i="1"/>
  <c r="T76" i="1"/>
  <c r="V75" i="1"/>
  <c r="U76" i="1"/>
  <c r="W76" i="1"/>
  <c r="X76" i="1"/>
  <c r="AB76" i="1"/>
  <c r="L77" i="1"/>
  <c r="K77" i="1"/>
  <c r="M77" i="1"/>
  <c r="O77" i="1"/>
  <c r="Q77" i="1"/>
  <c r="P77" i="1"/>
  <c r="S77" i="1"/>
  <c r="T77" i="1"/>
  <c r="V76" i="1"/>
  <c r="U77" i="1"/>
  <c r="W77" i="1"/>
  <c r="X77" i="1"/>
  <c r="AB77" i="1"/>
  <c r="L78" i="1"/>
  <c r="K78" i="1"/>
  <c r="M78" i="1"/>
  <c r="O78" i="1"/>
  <c r="Q78" i="1"/>
  <c r="P78" i="1"/>
  <c r="S78" i="1"/>
  <c r="T78" i="1"/>
  <c r="V77" i="1"/>
  <c r="U78" i="1"/>
  <c r="W78" i="1"/>
  <c r="X78" i="1"/>
  <c r="AB78" i="1"/>
  <c r="L79" i="1"/>
  <c r="K79" i="1"/>
  <c r="M79" i="1"/>
  <c r="O79" i="1"/>
  <c r="Q79" i="1"/>
  <c r="P79" i="1"/>
  <c r="S79" i="1"/>
  <c r="T79" i="1"/>
  <c r="V78" i="1"/>
  <c r="U79" i="1"/>
  <c r="W79" i="1"/>
  <c r="X79" i="1"/>
  <c r="AB79" i="1"/>
  <c r="L80" i="1"/>
  <c r="K80" i="1"/>
  <c r="M80" i="1"/>
  <c r="O80" i="1"/>
  <c r="Q80" i="1"/>
  <c r="P80" i="1"/>
  <c r="S80" i="1"/>
  <c r="T80" i="1"/>
  <c r="V79" i="1"/>
  <c r="U80" i="1"/>
  <c r="W80" i="1"/>
  <c r="X80" i="1"/>
  <c r="AB80" i="1"/>
  <c r="L81" i="1"/>
  <c r="K81" i="1"/>
  <c r="M81" i="1"/>
  <c r="O81" i="1"/>
  <c r="Q81" i="1"/>
  <c r="P81" i="1"/>
  <c r="S81" i="1"/>
  <c r="T81" i="1"/>
  <c r="V80" i="1"/>
  <c r="U81" i="1"/>
  <c r="W81" i="1"/>
  <c r="X81" i="1"/>
  <c r="AB81" i="1"/>
  <c r="L82" i="1"/>
  <c r="K82" i="1"/>
  <c r="M82" i="1"/>
  <c r="O82" i="1"/>
  <c r="Q82" i="1"/>
  <c r="P82" i="1"/>
  <c r="S82" i="1"/>
  <c r="T82" i="1"/>
  <c r="V81" i="1"/>
  <c r="U82" i="1"/>
  <c r="W82" i="1"/>
  <c r="X82" i="1"/>
  <c r="AB82" i="1"/>
  <c r="L83" i="1"/>
  <c r="K83" i="1"/>
  <c r="M83" i="1"/>
  <c r="O83" i="1"/>
  <c r="Q83" i="1"/>
  <c r="P83" i="1"/>
  <c r="S83" i="1"/>
  <c r="T83" i="1"/>
  <c r="V82" i="1"/>
  <c r="U83" i="1"/>
  <c r="W83" i="1"/>
  <c r="X83" i="1"/>
  <c r="AB83" i="1"/>
  <c r="L84" i="1"/>
  <c r="K84" i="1"/>
  <c r="M84" i="1"/>
  <c r="O84" i="1"/>
  <c r="Q84" i="1"/>
  <c r="P84" i="1"/>
  <c r="S84" i="1"/>
  <c r="T84" i="1"/>
  <c r="V83" i="1"/>
  <c r="U84" i="1"/>
  <c r="W84" i="1"/>
  <c r="X84" i="1"/>
  <c r="AB84" i="1"/>
  <c r="L85" i="1"/>
  <c r="K85" i="1"/>
  <c r="M85" i="1"/>
  <c r="O85" i="1"/>
  <c r="Q85" i="1"/>
  <c r="P85" i="1"/>
  <c r="S85" i="1"/>
  <c r="T85" i="1"/>
  <c r="V84" i="1"/>
  <c r="U85" i="1"/>
  <c r="W85" i="1"/>
  <c r="X85" i="1"/>
  <c r="AB85" i="1"/>
  <c r="L86" i="1"/>
  <c r="K86" i="1"/>
  <c r="M86" i="1"/>
  <c r="O86" i="1"/>
  <c r="Q86" i="1"/>
  <c r="P86" i="1"/>
  <c r="S86" i="1"/>
  <c r="T86" i="1"/>
  <c r="V85" i="1"/>
  <c r="U86" i="1"/>
  <c r="W86" i="1"/>
  <c r="X86" i="1"/>
  <c r="AB86" i="1"/>
  <c r="L87" i="1"/>
  <c r="K87" i="1"/>
  <c r="M87" i="1"/>
  <c r="O87" i="1"/>
  <c r="Q87" i="1"/>
  <c r="P87" i="1"/>
  <c r="S87" i="1"/>
  <c r="T87" i="1"/>
  <c r="V86" i="1"/>
  <c r="U87" i="1"/>
  <c r="W87" i="1"/>
  <c r="X87" i="1"/>
  <c r="AB87" i="1"/>
  <c r="L88" i="1"/>
  <c r="K88" i="1"/>
  <c r="M88" i="1"/>
  <c r="O88" i="1"/>
  <c r="Q88" i="1"/>
  <c r="P88" i="1"/>
  <c r="S88" i="1"/>
  <c r="T88" i="1"/>
  <c r="V87" i="1"/>
  <c r="U88" i="1"/>
  <c r="W88" i="1"/>
  <c r="X88" i="1"/>
  <c r="AB88" i="1"/>
  <c r="L89" i="1"/>
  <c r="K89" i="1"/>
  <c r="M89" i="1"/>
  <c r="O89" i="1"/>
  <c r="Q89" i="1"/>
  <c r="P89" i="1"/>
  <c r="S89" i="1"/>
  <c r="T89" i="1"/>
  <c r="V88" i="1"/>
  <c r="U89" i="1"/>
  <c r="W89" i="1"/>
  <c r="X89" i="1"/>
  <c r="AB89" i="1"/>
  <c r="L90" i="1"/>
  <c r="K90" i="1"/>
  <c r="M90" i="1"/>
  <c r="O90" i="1"/>
  <c r="Q90" i="1"/>
  <c r="P90" i="1"/>
  <c r="S90" i="1"/>
  <c r="T90" i="1"/>
  <c r="V89" i="1"/>
  <c r="U90" i="1"/>
  <c r="W90" i="1"/>
  <c r="X90" i="1"/>
  <c r="AB90" i="1"/>
  <c r="L91" i="1"/>
  <c r="K91" i="1"/>
  <c r="M91" i="1"/>
  <c r="O91" i="1"/>
  <c r="Q91" i="1"/>
  <c r="P91" i="1"/>
  <c r="S91" i="1"/>
  <c r="T91" i="1"/>
  <c r="V90" i="1"/>
  <c r="U91" i="1"/>
  <c r="W91" i="1"/>
  <c r="X91" i="1"/>
  <c r="AB91" i="1"/>
  <c r="L92" i="1"/>
  <c r="K92" i="1"/>
  <c r="M92" i="1"/>
  <c r="O92" i="1"/>
  <c r="Q92" i="1"/>
  <c r="P92" i="1"/>
  <c r="S92" i="1"/>
  <c r="T92" i="1"/>
  <c r="V91" i="1"/>
  <c r="U92" i="1"/>
  <c r="W92" i="1"/>
  <c r="X92" i="1"/>
  <c r="AB92" i="1"/>
  <c r="L93" i="1"/>
  <c r="K93" i="1"/>
  <c r="M93" i="1"/>
  <c r="O93" i="1"/>
  <c r="Q93" i="1"/>
  <c r="P93" i="1"/>
  <c r="S93" i="1"/>
  <c r="T93" i="1"/>
  <c r="V92" i="1"/>
  <c r="U93" i="1"/>
  <c r="W93" i="1"/>
  <c r="X93" i="1"/>
  <c r="AB93" i="1"/>
  <c r="L94" i="1"/>
  <c r="K94" i="1"/>
  <c r="M94" i="1"/>
  <c r="O94" i="1"/>
  <c r="Q94" i="1"/>
  <c r="P94" i="1"/>
  <c r="S94" i="1"/>
  <c r="T94" i="1"/>
  <c r="V93" i="1"/>
  <c r="U94" i="1"/>
  <c r="W94" i="1"/>
  <c r="X94" i="1"/>
  <c r="AB94" i="1"/>
  <c r="L95" i="1"/>
  <c r="K95" i="1"/>
  <c r="M95" i="1"/>
  <c r="O95" i="1"/>
  <c r="Q95" i="1"/>
  <c r="P95" i="1"/>
  <c r="S95" i="1"/>
  <c r="T95" i="1"/>
  <c r="V94" i="1"/>
  <c r="U95" i="1"/>
  <c r="W95" i="1"/>
  <c r="X95" i="1"/>
  <c r="AB95" i="1"/>
  <c r="L96" i="1"/>
  <c r="K96" i="1"/>
  <c r="M96" i="1"/>
  <c r="O96" i="1"/>
  <c r="Q96" i="1"/>
  <c r="P96" i="1"/>
  <c r="S96" i="1"/>
  <c r="T96" i="1"/>
  <c r="V95" i="1"/>
  <c r="U96" i="1"/>
  <c r="W96" i="1"/>
  <c r="X96" i="1"/>
  <c r="AB96" i="1"/>
  <c r="L97" i="1"/>
  <c r="K97" i="1"/>
  <c r="M97" i="1"/>
  <c r="O97" i="1"/>
  <c r="Q97" i="1"/>
  <c r="P97" i="1"/>
  <c r="S97" i="1"/>
  <c r="T97" i="1"/>
  <c r="V96" i="1"/>
  <c r="U97" i="1"/>
  <c r="W97" i="1"/>
  <c r="X97" i="1"/>
  <c r="AB97" i="1"/>
  <c r="L98" i="1"/>
  <c r="K98" i="1"/>
  <c r="M98" i="1"/>
  <c r="O98" i="1"/>
  <c r="Q98" i="1"/>
  <c r="P98" i="1"/>
  <c r="S98" i="1"/>
  <c r="T98" i="1"/>
  <c r="V97" i="1"/>
  <c r="U98" i="1"/>
  <c r="W98" i="1"/>
  <c r="X98" i="1"/>
  <c r="AB98" i="1"/>
  <c r="L99" i="1"/>
  <c r="K99" i="1"/>
  <c r="M99" i="1"/>
  <c r="O99" i="1"/>
  <c r="Q99" i="1"/>
  <c r="P99" i="1"/>
  <c r="S99" i="1"/>
  <c r="T99" i="1"/>
  <c r="V98" i="1"/>
  <c r="U99" i="1"/>
  <c r="W99" i="1"/>
  <c r="X99" i="1"/>
  <c r="AB99" i="1"/>
  <c r="L100" i="1"/>
  <c r="K100" i="1"/>
  <c r="M100" i="1"/>
  <c r="O100" i="1"/>
  <c r="Q100" i="1"/>
  <c r="P100" i="1"/>
  <c r="S100" i="1"/>
  <c r="T100" i="1"/>
  <c r="V99" i="1"/>
  <c r="U100" i="1"/>
  <c r="W100" i="1"/>
  <c r="X100" i="1"/>
  <c r="AB100" i="1"/>
  <c r="L101" i="1"/>
  <c r="K101" i="1"/>
  <c r="M101" i="1"/>
  <c r="O101" i="1"/>
  <c r="Q101" i="1"/>
  <c r="P101" i="1"/>
  <c r="S101" i="1"/>
  <c r="T101" i="1"/>
  <c r="V100" i="1"/>
  <c r="U101" i="1"/>
  <c r="W101" i="1"/>
  <c r="X101" i="1"/>
  <c r="AB101" i="1"/>
  <c r="L102" i="1"/>
  <c r="K102" i="1"/>
  <c r="M102" i="1"/>
  <c r="O102" i="1"/>
  <c r="Q102" i="1"/>
  <c r="P102" i="1"/>
  <c r="S102" i="1"/>
  <c r="T102" i="1"/>
  <c r="V101" i="1"/>
  <c r="U102" i="1"/>
  <c r="W102" i="1"/>
  <c r="X102" i="1"/>
  <c r="AB102" i="1"/>
  <c r="L103" i="1"/>
  <c r="K103" i="1"/>
  <c r="M103" i="1"/>
  <c r="O103" i="1"/>
  <c r="Q103" i="1"/>
  <c r="P103" i="1"/>
  <c r="S103" i="1"/>
  <c r="T103" i="1"/>
  <c r="V102" i="1"/>
  <c r="U103" i="1"/>
  <c r="W103" i="1"/>
  <c r="X103" i="1"/>
  <c r="AB103" i="1"/>
  <c r="L104" i="1"/>
  <c r="K104" i="1"/>
  <c r="M104" i="1"/>
  <c r="O104" i="1"/>
  <c r="Q104" i="1"/>
  <c r="P104" i="1"/>
  <c r="S104" i="1"/>
  <c r="T104" i="1"/>
  <c r="V103" i="1"/>
  <c r="U104" i="1"/>
  <c r="W104" i="1"/>
  <c r="X104" i="1"/>
  <c r="AB104" i="1"/>
  <c r="L105" i="1"/>
  <c r="K105" i="1"/>
  <c r="M105" i="1"/>
  <c r="O105" i="1"/>
  <c r="Q105" i="1"/>
  <c r="P105" i="1"/>
  <c r="S105" i="1"/>
  <c r="T105" i="1"/>
  <c r="V104" i="1"/>
  <c r="U105" i="1"/>
  <c r="W105" i="1"/>
  <c r="X105" i="1"/>
  <c r="AB105" i="1"/>
  <c r="L106" i="1"/>
  <c r="K106" i="1"/>
  <c r="M106" i="1"/>
  <c r="O106" i="1"/>
  <c r="Q106" i="1"/>
  <c r="P106" i="1"/>
  <c r="S106" i="1"/>
  <c r="T106" i="1"/>
  <c r="V105" i="1"/>
  <c r="U106" i="1"/>
  <c r="W106" i="1"/>
  <c r="X106" i="1"/>
  <c r="AB106" i="1"/>
  <c r="L107" i="1"/>
  <c r="K107" i="1"/>
  <c r="M107" i="1"/>
  <c r="O107" i="1"/>
  <c r="Q107" i="1"/>
  <c r="P107" i="1"/>
  <c r="S107" i="1"/>
  <c r="T107" i="1"/>
  <c r="V106" i="1"/>
  <c r="U107" i="1"/>
  <c r="W107" i="1"/>
  <c r="X107" i="1"/>
  <c r="AB107" i="1"/>
  <c r="L108" i="1"/>
  <c r="K108" i="1"/>
  <c r="M108" i="1"/>
  <c r="O108" i="1"/>
  <c r="Q108" i="1"/>
  <c r="P108" i="1"/>
  <c r="S108" i="1"/>
  <c r="T108" i="1"/>
  <c r="V107" i="1"/>
  <c r="U108" i="1"/>
  <c r="W108" i="1"/>
  <c r="X108" i="1"/>
  <c r="AB108" i="1"/>
  <c r="L109" i="1"/>
  <c r="K109" i="1"/>
  <c r="M109" i="1"/>
  <c r="O109" i="1"/>
  <c r="Q109" i="1"/>
  <c r="P109" i="1"/>
  <c r="S109" i="1"/>
  <c r="T109" i="1"/>
  <c r="V108" i="1"/>
  <c r="U109" i="1"/>
  <c r="W109" i="1"/>
  <c r="X109" i="1"/>
  <c r="AB109" i="1"/>
  <c r="L110" i="1"/>
  <c r="K110" i="1"/>
  <c r="M110" i="1"/>
  <c r="O110" i="1"/>
  <c r="Q110" i="1"/>
  <c r="P110" i="1"/>
  <c r="S110" i="1"/>
  <c r="T110" i="1"/>
  <c r="V109" i="1"/>
  <c r="U110" i="1"/>
  <c r="W110" i="1"/>
  <c r="X110" i="1"/>
  <c r="AB110" i="1"/>
  <c r="L111" i="1"/>
  <c r="K111" i="1"/>
  <c r="M111" i="1"/>
  <c r="O111" i="1"/>
  <c r="Q111" i="1"/>
  <c r="P111" i="1"/>
  <c r="S111" i="1"/>
  <c r="T111" i="1"/>
  <c r="V110" i="1"/>
  <c r="U111" i="1"/>
  <c r="W111" i="1"/>
  <c r="X111" i="1"/>
  <c r="AB111" i="1"/>
  <c r="L112" i="1"/>
  <c r="K112" i="1"/>
  <c r="M112" i="1"/>
  <c r="O112" i="1"/>
  <c r="Q112" i="1"/>
  <c r="P112" i="1"/>
  <c r="S112" i="1"/>
  <c r="T112" i="1"/>
  <c r="V111" i="1"/>
  <c r="U112" i="1"/>
  <c r="W112" i="1"/>
  <c r="X112" i="1"/>
  <c r="AB112" i="1"/>
  <c r="L113" i="1"/>
  <c r="K113" i="1"/>
  <c r="M113" i="1"/>
  <c r="O113" i="1"/>
  <c r="Q113" i="1"/>
  <c r="P113" i="1"/>
  <c r="S113" i="1"/>
  <c r="T113" i="1"/>
  <c r="V112" i="1"/>
  <c r="U113" i="1"/>
  <c r="W113" i="1"/>
  <c r="X113" i="1"/>
  <c r="AB113" i="1"/>
  <c r="L114" i="1"/>
  <c r="K114" i="1"/>
  <c r="M114" i="1"/>
  <c r="O114" i="1"/>
  <c r="Q114" i="1"/>
  <c r="P114" i="1"/>
  <c r="S114" i="1"/>
  <c r="T114" i="1"/>
  <c r="V113" i="1"/>
  <c r="U114" i="1"/>
  <c r="W114" i="1"/>
  <c r="X114" i="1"/>
  <c r="AB114" i="1"/>
  <c r="L115" i="1"/>
  <c r="K115" i="1"/>
  <c r="M115" i="1"/>
  <c r="O115" i="1"/>
  <c r="Q115" i="1"/>
  <c r="P115" i="1"/>
  <c r="S115" i="1"/>
  <c r="T115" i="1"/>
  <c r="V114" i="1"/>
  <c r="U115" i="1"/>
  <c r="W115" i="1"/>
  <c r="X115" i="1"/>
  <c r="AB115" i="1"/>
  <c r="L116" i="1"/>
  <c r="K116" i="1"/>
  <c r="M116" i="1"/>
  <c r="O116" i="1"/>
  <c r="Q116" i="1"/>
  <c r="P116" i="1"/>
  <c r="S116" i="1"/>
  <c r="J116" i="1"/>
  <c r="T116" i="1"/>
  <c r="V115" i="1"/>
  <c r="U116" i="1"/>
  <c r="W116" i="1"/>
  <c r="X116" i="1"/>
  <c r="AB116" i="1"/>
  <c r="L117" i="1"/>
  <c r="K117" i="1"/>
  <c r="M117" i="1"/>
  <c r="O117" i="1"/>
  <c r="Q117" i="1"/>
  <c r="P117" i="1"/>
  <c r="S117" i="1"/>
  <c r="T117" i="1"/>
  <c r="V116" i="1"/>
  <c r="U117" i="1"/>
  <c r="W117" i="1"/>
  <c r="X117" i="1"/>
  <c r="AB117" i="1"/>
  <c r="L118" i="1"/>
  <c r="K118" i="1"/>
  <c r="M118" i="1"/>
  <c r="O118" i="1"/>
  <c r="Q118" i="1"/>
  <c r="P118" i="1"/>
  <c r="S118" i="1"/>
  <c r="T118" i="1"/>
  <c r="V117" i="1"/>
  <c r="U118" i="1"/>
  <c r="W118" i="1"/>
  <c r="X118" i="1"/>
  <c r="AB118" i="1"/>
  <c r="L119" i="1"/>
  <c r="K119" i="1"/>
  <c r="M119" i="1"/>
  <c r="O119" i="1"/>
  <c r="Q119" i="1"/>
  <c r="P119" i="1"/>
  <c r="S119" i="1"/>
  <c r="T119" i="1"/>
  <c r="V118" i="1"/>
  <c r="U119" i="1"/>
  <c r="W119" i="1"/>
  <c r="X119" i="1"/>
  <c r="AB119" i="1"/>
  <c r="L120" i="1"/>
  <c r="K120" i="1"/>
  <c r="M120" i="1"/>
  <c r="O120" i="1"/>
  <c r="Q120" i="1"/>
  <c r="P120" i="1"/>
  <c r="S120" i="1"/>
  <c r="T120" i="1"/>
  <c r="V119" i="1"/>
  <c r="U120" i="1"/>
  <c r="W120" i="1"/>
  <c r="X120" i="1"/>
  <c r="AB120" i="1"/>
  <c r="L121" i="1"/>
  <c r="K121" i="1"/>
  <c r="M121" i="1"/>
  <c r="O121" i="1"/>
  <c r="Q121" i="1"/>
  <c r="P121" i="1"/>
  <c r="S121" i="1"/>
  <c r="T121" i="1"/>
  <c r="V120" i="1"/>
  <c r="U121" i="1"/>
  <c r="W121" i="1"/>
  <c r="X121" i="1"/>
  <c r="AB121" i="1"/>
  <c r="L122" i="1"/>
  <c r="K122" i="1"/>
  <c r="M122" i="1"/>
  <c r="O122" i="1"/>
  <c r="Q122" i="1"/>
  <c r="P122" i="1"/>
  <c r="S122" i="1"/>
  <c r="T122" i="1"/>
  <c r="V121" i="1"/>
  <c r="U122" i="1"/>
  <c r="W122" i="1"/>
  <c r="X122" i="1"/>
  <c r="AB122" i="1"/>
  <c r="L123" i="1"/>
  <c r="K123" i="1"/>
  <c r="M123" i="1"/>
  <c r="O123" i="1"/>
  <c r="Q123" i="1"/>
  <c r="P123" i="1"/>
  <c r="S123" i="1"/>
  <c r="T123" i="1"/>
  <c r="V122" i="1"/>
  <c r="U123" i="1"/>
  <c r="W123" i="1"/>
  <c r="X123" i="1"/>
  <c r="AB123" i="1"/>
  <c r="L124" i="1"/>
  <c r="K124" i="1"/>
  <c r="M124" i="1"/>
  <c r="O124" i="1"/>
  <c r="Q124" i="1"/>
  <c r="P124" i="1"/>
  <c r="S124" i="1"/>
  <c r="T124" i="1"/>
  <c r="V123" i="1"/>
  <c r="U124" i="1"/>
  <c r="W124" i="1"/>
  <c r="X124" i="1"/>
  <c r="AB124" i="1"/>
  <c r="L125" i="1"/>
  <c r="K125" i="1"/>
  <c r="M125" i="1"/>
  <c r="O125" i="1"/>
  <c r="Q125" i="1"/>
  <c r="P125" i="1"/>
  <c r="S125" i="1"/>
  <c r="T125" i="1"/>
  <c r="V124" i="1"/>
  <c r="U125" i="1"/>
  <c r="W125" i="1"/>
  <c r="X125" i="1"/>
  <c r="AB125" i="1"/>
  <c r="L126" i="1"/>
  <c r="K126" i="1"/>
  <c r="M126" i="1"/>
  <c r="O126" i="1"/>
  <c r="Q126" i="1"/>
  <c r="P126" i="1"/>
  <c r="S126" i="1"/>
  <c r="T126" i="1"/>
  <c r="V125" i="1"/>
  <c r="U126" i="1"/>
  <c r="W126" i="1"/>
  <c r="X126" i="1"/>
  <c r="AB126" i="1"/>
  <c r="L127" i="1"/>
  <c r="K127" i="1"/>
  <c r="M127" i="1"/>
  <c r="O127" i="1"/>
  <c r="Q127" i="1"/>
  <c r="P127" i="1"/>
  <c r="S127" i="1"/>
  <c r="T127" i="1"/>
  <c r="V126" i="1"/>
  <c r="U127" i="1"/>
  <c r="W127" i="1"/>
  <c r="X127" i="1"/>
  <c r="AB127" i="1"/>
  <c r="L128" i="1"/>
  <c r="K128" i="1"/>
  <c r="M128" i="1"/>
  <c r="O128" i="1"/>
  <c r="Q128" i="1"/>
  <c r="P128" i="1"/>
  <c r="S128" i="1"/>
  <c r="T128" i="1"/>
  <c r="V127" i="1"/>
  <c r="U128" i="1"/>
  <c r="W128" i="1"/>
  <c r="X128" i="1"/>
  <c r="AB128" i="1"/>
  <c r="L129" i="1"/>
  <c r="K129" i="1"/>
  <c r="M129" i="1"/>
  <c r="O129" i="1"/>
  <c r="Q129" i="1"/>
  <c r="P129" i="1"/>
  <c r="S129" i="1"/>
  <c r="T129" i="1"/>
  <c r="V128" i="1"/>
  <c r="U129" i="1"/>
  <c r="W129" i="1"/>
  <c r="X129" i="1"/>
  <c r="AB129" i="1"/>
  <c r="L130" i="1"/>
  <c r="K130" i="1"/>
  <c r="M130" i="1"/>
  <c r="O130" i="1"/>
  <c r="Q130" i="1"/>
  <c r="P130" i="1"/>
  <c r="S130" i="1"/>
  <c r="T130" i="1"/>
  <c r="V129" i="1"/>
  <c r="U130" i="1"/>
  <c r="W130" i="1"/>
  <c r="X130" i="1"/>
  <c r="AB130" i="1"/>
  <c r="L131" i="1"/>
  <c r="K131" i="1"/>
  <c r="M131" i="1"/>
  <c r="O131" i="1"/>
  <c r="Q131" i="1"/>
  <c r="P131" i="1"/>
  <c r="S131" i="1"/>
  <c r="T131" i="1"/>
  <c r="V130" i="1"/>
  <c r="U131" i="1"/>
  <c r="W131" i="1"/>
  <c r="X131" i="1"/>
  <c r="AB131" i="1"/>
  <c r="L132" i="1"/>
  <c r="K132" i="1"/>
  <c r="M132" i="1"/>
  <c r="O132" i="1"/>
  <c r="Q132" i="1"/>
  <c r="P132" i="1"/>
  <c r="S132" i="1"/>
  <c r="T132" i="1"/>
  <c r="V131" i="1"/>
  <c r="U132" i="1"/>
  <c r="W132" i="1"/>
  <c r="X132" i="1"/>
  <c r="AB132" i="1"/>
  <c r="L133" i="1"/>
  <c r="K133" i="1"/>
  <c r="M133" i="1"/>
  <c r="O133" i="1"/>
  <c r="Q133" i="1"/>
  <c r="P133" i="1"/>
  <c r="S133" i="1"/>
  <c r="T133" i="1"/>
  <c r="V132" i="1"/>
  <c r="U133" i="1"/>
  <c r="W133" i="1"/>
  <c r="X133" i="1"/>
  <c r="AB133" i="1"/>
  <c r="L134" i="1"/>
  <c r="K134" i="1"/>
  <c r="M134" i="1"/>
  <c r="O134" i="1"/>
  <c r="Q134" i="1"/>
  <c r="P134" i="1"/>
  <c r="S134" i="1"/>
  <c r="T134" i="1"/>
  <c r="V133" i="1"/>
  <c r="U134" i="1"/>
  <c r="W134" i="1"/>
  <c r="X134" i="1"/>
  <c r="AB134" i="1"/>
  <c r="L135" i="1"/>
  <c r="K135" i="1"/>
  <c r="M135" i="1"/>
  <c r="O135" i="1"/>
  <c r="Q135" i="1"/>
  <c r="P135" i="1"/>
  <c r="S135" i="1"/>
  <c r="T135" i="1"/>
  <c r="V134" i="1"/>
  <c r="U135" i="1"/>
  <c r="W135" i="1"/>
  <c r="X135" i="1"/>
  <c r="AB135" i="1"/>
  <c r="L136" i="1"/>
  <c r="K136" i="1"/>
  <c r="M136" i="1"/>
  <c r="O136" i="1"/>
  <c r="Q136" i="1"/>
  <c r="P136" i="1"/>
  <c r="S136" i="1"/>
  <c r="T136" i="1"/>
  <c r="V135" i="1"/>
  <c r="U136" i="1"/>
  <c r="W136" i="1"/>
  <c r="X136" i="1"/>
  <c r="AB136" i="1"/>
  <c r="L137" i="1"/>
  <c r="K137" i="1"/>
  <c r="M137" i="1"/>
  <c r="O137" i="1"/>
  <c r="Q137" i="1"/>
  <c r="P137" i="1"/>
  <c r="S137" i="1"/>
  <c r="T137" i="1"/>
  <c r="V136" i="1"/>
  <c r="U137" i="1"/>
  <c r="W137" i="1"/>
  <c r="X137" i="1"/>
  <c r="AB137" i="1"/>
  <c r="L138" i="1"/>
  <c r="K138" i="1"/>
  <c r="M138" i="1"/>
  <c r="O138" i="1"/>
  <c r="Q138" i="1"/>
  <c r="P138" i="1"/>
  <c r="S138" i="1"/>
  <c r="T138" i="1"/>
  <c r="V137" i="1"/>
  <c r="U138" i="1"/>
  <c r="W138" i="1"/>
  <c r="X138" i="1"/>
  <c r="AB138" i="1"/>
  <c r="L139" i="1"/>
  <c r="K139" i="1"/>
  <c r="M139" i="1"/>
  <c r="O139" i="1"/>
  <c r="Q139" i="1"/>
  <c r="P139" i="1"/>
  <c r="S139" i="1"/>
  <c r="T139" i="1"/>
  <c r="V138" i="1"/>
  <c r="U139" i="1"/>
  <c r="W139" i="1"/>
  <c r="X139" i="1"/>
  <c r="AB139" i="1"/>
  <c r="L140" i="1"/>
  <c r="K140" i="1"/>
  <c r="M140" i="1"/>
  <c r="O140" i="1"/>
  <c r="Q140" i="1"/>
  <c r="P140" i="1"/>
  <c r="S140" i="1"/>
  <c r="T140" i="1"/>
  <c r="V139" i="1"/>
  <c r="U140" i="1"/>
  <c r="W140" i="1"/>
  <c r="X140" i="1"/>
  <c r="AB140" i="1"/>
  <c r="L141" i="1"/>
  <c r="K141" i="1"/>
  <c r="M141" i="1"/>
  <c r="O141" i="1"/>
  <c r="Q141" i="1"/>
  <c r="P141" i="1"/>
  <c r="S141" i="1"/>
  <c r="T141" i="1"/>
  <c r="V140" i="1"/>
  <c r="U141" i="1"/>
  <c r="W141" i="1"/>
  <c r="X141" i="1"/>
  <c r="AB141" i="1"/>
  <c r="L142" i="1"/>
  <c r="K142" i="1"/>
  <c r="M142" i="1"/>
  <c r="O142" i="1"/>
  <c r="Q142" i="1"/>
  <c r="P142" i="1"/>
  <c r="S142" i="1"/>
  <c r="T142" i="1"/>
  <c r="V141" i="1"/>
  <c r="U142" i="1"/>
  <c r="W142" i="1"/>
  <c r="X142" i="1"/>
  <c r="AB142" i="1"/>
  <c r="L143" i="1"/>
  <c r="K143" i="1"/>
  <c r="M143" i="1"/>
  <c r="O143" i="1"/>
  <c r="Q143" i="1"/>
  <c r="P143" i="1"/>
  <c r="S143" i="1"/>
  <c r="T143" i="1"/>
  <c r="V142" i="1"/>
  <c r="U143" i="1"/>
  <c r="W143" i="1"/>
  <c r="X143" i="1"/>
  <c r="AB143" i="1"/>
  <c r="L144" i="1"/>
  <c r="K144" i="1"/>
  <c r="M144" i="1"/>
  <c r="O144" i="1"/>
  <c r="Q144" i="1"/>
  <c r="P144" i="1"/>
  <c r="S144" i="1"/>
  <c r="T144" i="1"/>
  <c r="V143" i="1"/>
  <c r="U144" i="1"/>
  <c r="W144" i="1"/>
  <c r="X144" i="1"/>
  <c r="AB144" i="1"/>
  <c r="L145" i="1"/>
  <c r="K145" i="1"/>
  <c r="M145" i="1"/>
  <c r="O145" i="1"/>
  <c r="Q145" i="1"/>
  <c r="P145" i="1"/>
  <c r="S145" i="1"/>
  <c r="T145" i="1"/>
  <c r="V144" i="1"/>
  <c r="U145" i="1"/>
  <c r="W145" i="1"/>
  <c r="X145" i="1"/>
  <c r="AB145" i="1"/>
  <c r="L146" i="1"/>
  <c r="K146" i="1"/>
  <c r="M146" i="1"/>
  <c r="O146" i="1"/>
  <c r="Q146" i="1"/>
  <c r="P146" i="1"/>
  <c r="S146" i="1"/>
  <c r="T146" i="1"/>
  <c r="V145" i="1"/>
  <c r="U146" i="1"/>
  <c r="W146" i="1"/>
  <c r="X146" i="1"/>
  <c r="AB146" i="1"/>
  <c r="L147" i="1"/>
  <c r="K147" i="1"/>
  <c r="M147" i="1"/>
  <c r="O147" i="1"/>
  <c r="Q147" i="1"/>
  <c r="P147" i="1"/>
  <c r="S147" i="1"/>
  <c r="T147" i="1"/>
  <c r="V146" i="1"/>
  <c r="U147" i="1"/>
  <c r="W147" i="1"/>
  <c r="X147" i="1"/>
  <c r="AB147" i="1"/>
  <c r="L148" i="1"/>
  <c r="K148" i="1"/>
  <c r="M148" i="1"/>
  <c r="O148" i="1"/>
  <c r="Q148" i="1"/>
  <c r="P148" i="1"/>
  <c r="S148" i="1"/>
  <c r="T148" i="1"/>
  <c r="V147" i="1"/>
  <c r="U148" i="1"/>
  <c r="W148" i="1"/>
  <c r="X148" i="1"/>
  <c r="AB148" i="1"/>
  <c r="L149" i="1"/>
  <c r="K149" i="1"/>
  <c r="M149" i="1"/>
  <c r="O149" i="1"/>
  <c r="Q149" i="1"/>
  <c r="P149" i="1"/>
  <c r="S149" i="1"/>
  <c r="T149" i="1"/>
  <c r="V148" i="1"/>
  <c r="U149" i="1"/>
  <c r="W149" i="1"/>
  <c r="X149" i="1"/>
  <c r="AB149" i="1"/>
  <c r="L150" i="1"/>
  <c r="K150" i="1"/>
  <c r="M150" i="1"/>
  <c r="O150" i="1"/>
  <c r="Q150" i="1"/>
  <c r="P150" i="1"/>
  <c r="S150" i="1"/>
  <c r="T150" i="1"/>
  <c r="V149" i="1"/>
  <c r="U150" i="1"/>
  <c r="W150" i="1"/>
  <c r="X150" i="1"/>
  <c r="AB150" i="1"/>
  <c r="L151" i="1"/>
  <c r="K151" i="1"/>
  <c r="M151" i="1"/>
  <c r="O151" i="1"/>
  <c r="Q151" i="1"/>
  <c r="P151" i="1"/>
  <c r="S151" i="1"/>
  <c r="T151" i="1"/>
  <c r="V150" i="1"/>
  <c r="U151" i="1"/>
  <c r="W151" i="1"/>
  <c r="X151" i="1"/>
  <c r="AB151" i="1"/>
  <c r="L152" i="1"/>
  <c r="K152" i="1"/>
  <c r="M152" i="1"/>
  <c r="O152" i="1"/>
  <c r="Q152" i="1"/>
  <c r="P152" i="1"/>
  <c r="S152" i="1"/>
  <c r="T152" i="1"/>
  <c r="V151" i="1"/>
  <c r="U152" i="1"/>
  <c r="W152" i="1"/>
  <c r="X152" i="1"/>
  <c r="AB152" i="1"/>
  <c r="L153" i="1"/>
  <c r="K153" i="1"/>
  <c r="M153" i="1"/>
  <c r="O153" i="1"/>
  <c r="Q153" i="1"/>
  <c r="P153" i="1"/>
  <c r="S153" i="1"/>
  <c r="T153" i="1"/>
  <c r="V152" i="1"/>
  <c r="U153" i="1"/>
  <c r="W153" i="1"/>
  <c r="X153" i="1"/>
  <c r="AB153" i="1"/>
  <c r="L154" i="1"/>
  <c r="K154" i="1"/>
  <c r="M154" i="1"/>
  <c r="O154" i="1"/>
  <c r="Q154" i="1"/>
  <c r="P154" i="1"/>
  <c r="S154" i="1"/>
  <c r="T154" i="1"/>
  <c r="V153" i="1"/>
  <c r="U154" i="1"/>
  <c r="W154" i="1"/>
  <c r="X154" i="1"/>
  <c r="AB154" i="1"/>
  <c r="L155" i="1"/>
  <c r="K155" i="1"/>
  <c r="M155" i="1"/>
  <c r="O155" i="1"/>
  <c r="Q155" i="1"/>
  <c r="P155" i="1"/>
  <c r="S155" i="1"/>
  <c r="T155" i="1"/>
  <c r="V154" i="1"/>
  <c r="U155" i="1"/>
  <c r="W155" i="1"/>
  <c r="X155" i="1"/>
  <c r="AB155" i="1"/>
  <c r="L156" i="1"/>
  <c r="K156" i="1"/>
  <c r="M156" i="1"/>
  <c r="O156" i="1"/>
  <c r="Q156" i="1"/>
  <c r="P156" i="1"/>
  <c r="S156" i="1"/>
  <c r="T156" i="1"/>
  <c r="V155" i="1"/>
  <c r="U156" i="1"/>
  <c r="W156" i="1"/>
  <c r="X156" i="1"/>
  <c r="AB156" i="1"/>
  <c r="L157" i="1"/>
  <c r="K157" i="1"/>
  <c r="M157" i="1"/>
  <c r="O157" i="1"/>
  <c r="Q157" i="1"/>
  <c r="P157" i="1"/>
  <c r="S157" i="1"/>
  <c r="T157" i="1"/>
  <c r="V156" i="1"/>
  <c r="U157" i="1"/>
  <c r="W157" i="1"/>
  <c r="X157" i="1"/>
  <c r="AB157" i="1"/>
  <c r="L158" i="1"/>
  <c r="K158" i="1"/>
  <c r="M158" i="1"/>
  <c r="O158" i="1"/>
  <c r="Q158" i="1"/>
  <c r="P158" i="1"/>
  <c r="S158" i="1"/>
  <c r="T158" i="1"/>
  <c r="V157" i="1"/>
  <c r="U158" i="1"/>
  <c r="W158" i="1"/>
  <c r="X158" i="1"/>
  <c r="AB158" i="1"/>
  <c r="L159" i="1"/>
  <c r="K159" i="1"/>
  <c r="M159" i="1"/>
  <c r="O159" i="1"/>
  <c r="Q159" i="1"/>
  <c r="P159" i="1"/>
  <c r="S159" i="1"/>
  <c r="T159" i="1"/>
  <c r="V158" i="1"/>
  <c r="U159" i="1"/>
  <c r="W159" i="1"/>
  <c r="X159" i="1"/>
  <c r="AB159" i="1"/>
  <c r="L160" i="1"/>
  <c r="K160" i="1"/>
  <c r="M160" i="1"/>
  <c r="O160" i="1"/>
  <c r="Q160" i="1"/>
  <c r="P160" i="1"/>
  <c r="S160" i="1"/>
  <c r="T160" i="1"/>
  <c r="V159" i="1"/>
  <c r="U160" i="1"/>
  <c r="W160" i="1"/>
  <c r="X160" i="1"/>
  <c r="AB160" i="1"/>
  <c r="L161" i="1"/>
  <c r="K161" i="1"/>
  <c r="M161" i="1"/>
  <c r="O161" i="1"/>
  <c r="Q161" i="1"/>
  <c r="P161" i="1"/>
  <c r="S161" i="1"/>
  <c r="T161" i="1"/>
  <c r="V160" i="1"/>
  <c r="U161" i="1"/>
  <c r="W161" i="1"/>
  <c r="X161" i="1"/>
  <c r="AB161" i="1"/>
  <c r="L162" i="1"/>
  <c r="K162" i="1"/>
  <c r="M162" i="1"/>
  <c r="O162" i="1"/>
  <c r="Q162" i="1"/>
  <c r="P162" i="1"/>
  <c r="S162" i="1"/>
  <c r="J162" i="1"/>
  <c r="N162" i="1"/>
  <c r="T162" i="1"/>
  <c r="V161" i="1"/>
  <c r="U162" i="1"/>
  <c r="W162" i="1"/>
  <c r="X162" i="1"/>
  <c r="AB162" i="1"/>
  <c r="L163" i="1"/>
  <c r="K163" i="1"/>
  <c r="M163" i="1"/>
  <c r="O163" i="1"/>
  <c r="Q163" i="1"/>
  <c r="P163" i="1"/>
  <c r="S163" i="1"/>
  <c r="T163" i="1"/>
  <c r="V162" i="1"/>
  <c r="U163" i="1"/>
  <c r="W163" i="1"/>
  <c r="X163" i="1"/>
  <c r="AB163" i="1"/>
  <c r="L164" i="1"/>
  <c r="K164" i="1"/>
  <c r="M164" i="1"/>
  <c r="O164" i="1"/>
  <c r="Q164" i="1"/>
  <c r="P164" i="1"/>
  <c r="S164" i="1"/>
  <c r="T164" i="1"/>
  <c r="V163" i="1"/>
  <c r="U164" i="1"/>
  <c r="W164" i="1"/>
  <c r="X164" i="1"/>
  <c r="AB164" i="1"/>
  <c r="L165" i="1"/>
  <c r="K165" i="1"/>
  <c r="M165" i="1"/>
  <c r="O165" i="1"/>
  <c r="Q165" i="1"/>
  <c r="P165" i="1"/>
  <c r="S165" i="1"/>
  <c r="T165" i="1"/>
  <c r="V164" i="1"/>
  <c r="U165" i="1"/>
  <c r="W165" i="1"/>
  <c r="X165" i="1"/>
  <c r="AB165" i="1"/>
  <c r="L166" i="1"/>
  <c r="K166" i="1"/>
  <c r="M166" i="1"/>
  <c r="O166" i="1"/>
  <c r="Q166" i="1"/>
  <c r="P166" i="1"/>
  <c r="S166" i="1"/>
  <c r="T166" i="1"/>
  <c r="V165" i="1"/>
  <c r="U166" i="1"/>
  <c r="W166" i="1"/>
  <c r="X166" i="1"/>
  <c r="AB166" i="1"/>
  <c r="L167" i="1"/>
  <c r="K167" i="1"/>
  <c r="M167" i="1"/>
  <c r="O167" i="1"/>
  <c r="Q167" i="1"/>
  <c r="P167" i="1"/>
  <c r="S167" i="1"/>
  <c r="T167" i="1"/>
  <c r="V166" i="1"/>
  <c r="U167" i="1"/>
  <c r="W167" i="1"/>
  <c r="X167" i="1"/>
  <c r="AB167" i="1"/>
  <c r="L168" i="1"/>
  <c r="K168" i="1"/>
  <c r="M168" i="1"/>
  <c r="O168" i="1"/>
  <c r="Q168" i="1"/>
  <c r="P168" i="1"/>
  <c r="S168" i="1"/>
  <c r="T168" i="1"/>
  <c r="V167" i="1"/>
  <c r="U168" i="1"/>
  <c r="W168" i="1"/>
  <c r="X168" i="1"/>
  <c r="AB168" i="1"/>
  <c r="L169" i="1"/>
  <c r="K169" i="1"/>
  <c r="M169" i="1"/>
  <c r="O169" i="1"/>
  <c r="Q169" i="1"/>
  <c r="P169" i="1"/>
  <c r="S169" i="1"/>
  <c r="T169" i="1"/>
  <c r="V168" i="1"/>
  <c r="U169" i="1"/>
  <c r="W169" i="1"/>
  <c r="X169" i="1"/>
  <c r="AB169" i="1"/>
  <c r="L170" i="1"/>
  <c r="K170" i="1"/>
  <c r="M170" i="1"/>
  <c r="O170" i="1"/>
  <c r="Q170" i="1"/>
  <c r="P170" i="1"/>
  <c r="S170" i="1"/>
  <c r="T170" i="1"/>
  <c r="V169" i="1"/>
  <c r="U170" i="1"/>
  <c r="W170" i="1"/>
  <c r="X170" i="1"/>
  <c r="AB170" i="1"/>
  <c r="L171" i="1"/>
  <c r="K171" i="1"/>
  <c r="M171" i="1"/>
  <c r="O171" i="1"/>
  <c r="Q171" i="1"/>
  <c r="P171" i="1"/>
  <c r="S171" i="1"/>
  <c r="T171" i="1"/>
  <c r="V170" i="1"/>
  <c r="U171" i="1"/>
  <c r="W171" i="1"/>
  <c r="X171" i="1"/>
  <c r="AB171" i="1"/>
  <c r="L172" i="1"/>
  <c r="K172" i="1"/>
  <c r="M172" i="1"/>
  <c r="O172" i="1"/>
  <c r="Q172" i="1"/>
  <c r="P172" i="1"/>
  <c r="S172" i="1"/>
  <c r="T172" i="1"/>
  <c r="V171" i="1"/>
  <c r="U172" i="1"/>
  <c r="W172" i="1"/>
  <c r="X172" i="1"/>
  <c r="AB172" i="1"/>
  <c r="L173" i="1"/>
  <c r="K173" i="1"/>
  <c r="M173" i="1"/>
  <c r="O173" i="1"/>
  <c r="Q173" i="1"/>
  <c r="P173" i="1"/>
  <c r="S173" i="1"/>
  <c r="T173" i="1"/>
  <c r="V172" i="1"/>
  <c r="U173" i="1"/>
  <c r="W173" i="1"/>
  <c r="X173" i="1"/>
  <c r="AB173" i="1"/>
  <c r="L174" i="1"/>
  <c r="K174" i="1"/>
  <c r="M174" i="1"/>
  <c r="O174" i="1"/>
  <c r="Q174" i="1"/>
  <c r="P174" i="1"/>
  <c r="S174" i="1"/>
  <c r="T174" i="1"/>
  <c r="V173" i="1"/>
  <c r="U174" i="1"/>
  <c r="W174" i="1"/>
  <c r="X174" i="1"/>
  <c r="AB174" i="1"/>
  <c r="L175" i="1"/>
  <c r="K175" i="1"/>
  <c r="M175" i="1"/>
  <c r="O175" i="1"/>
  <c r="Q175" i="1"/>
  <c r="P175" i="1"/>
  <c r="S175" i="1"/>
  <c r="T175" i="1"/>
  <c r="V174" i="1"/>
  <c r="U175" i="1"/>
  <c r="W175" i="1"/>
  <c r="X175" i="1"/>
  <c r="AB175" i="1"/>
  <c r="L176" i="1"/>
  <c r="K176" i="1"/>
  <c r="M176" i="1"/>
  <c r="O176" i="1"/>
  <c r="Q176" i="1"/>
  <c r="P176" i="1"/>
  <c r="S176" i="1"/>
  <c r="T176" i="1"/>
  <c r="V175" i="1"/>
  <c r="U176" i="1"/>
  <c r="W176" i="1"/>
  <c r="X176" i="1"/>
  <c r="AB176" i="1"/>
  <c r="L177" i="1"/>
  <c r="K177" i="1"/>
  <c r="M177" i="1"/>
  <c r="O177" i="1"/>
  <c r="Q177" i="1"/>
  <c r="P177" i="1"/>
  <c r="S177" i="1"/>
  <c r="T177" i="1"/>
  <c r="V176" i="1"/>
  <c r="U177" i="1"/>
  <c r="W177" i="1"/>
  <c r="X177" i="1"/>
  <c r="AB177" i="1"/>
  <c r="L178" i="1"/>
  <c r="K178" i="1"/>
  <c r="M178" i="1"/>
  <c r="O178" i="1"/>
  <c r="Q178" i="1"/>
  <c r="P178" i="1"/>
  <c r="S178" i="1"/>
  <c r="T178" i="1"/>
  <c r="V177" i="1"/>
  <c r="U178" i="1"/>
  <c r="W178" i="1"/>
  <c r="X178" i="1"/>
  <c r="AB178" i="1"/>
  <c r="L179" i="1"/>
  <c r="K179" i="1"/>
  <c r="M179" i="1"/>
  <c r="O179" i="1"/>
  <c r="Q179" i="1"/>
  <c r="P179" i="1"/>
  <c r="S179" i="1"/>
  <c r="T179" i="1"/>
  <c r="V178" i="1"/>
  <c r="U179" i="1"/>
  <c r="W179" i="1"/>
  <c r="X179" i="1"/>
  <c r="AB179" i="1"/>
  <c r="L180" i="1"/>
  <c r="K180" i="1"/>
  <c r="M180" i="1"/>
  <c r="O180" i="1"/>
  <c r="Q180" i="1"/>
  <c r="P180" i="1"/>
  <c r="S180" i="1"/>
  <c r="T180" i="1"/>
  <c r="V179" i="1"/>
  <c r="U180" i="1"/>
  <c r="W180" i="1"/>
  <c r="X180" i="1"/>
  <c r="AB180" i="1"/>
  <c r="L181" i="1"/>
  <c r="K181" i="1"/>
  <c r="M181" i="1"/>
  <c r="O181" i="1"/>
  <c r="Q181" i="1"/>
  <c r="P181" i="1"/>
  <c r="S181" i="1"/>
  <c r="T181" i="1"/>
  <c r="V180" i="1"/>
  <c r="U181" i="1"/>
  <c r="W181" i="1"/>
  <c r="X181" i="1"/>
  <c r="AB181" i="1"/>
  <c r="L182" i="1"/>
  <c r="K182" i="1"/>
  <c r="M182" i="1"/>
  <c r="O182" i="1"/>
  <c r="Q182" i="1"/>
  <c r="P182" i="1"/>
  <c r="S182" i="1"/>
  <c r="T182" i="1"/>
  <c r="V181" i="1"/>
  <c r="U182" i="1"/>
  <c r="W182" i="1"/>
  <c r="X182" i="1"/>
  <c r="AB182" i="1"/>
  <c r="L183" i="1"/>
  <c r="K183" i="1"/>
  <c r="M183" i="1"/>
  <c r="O183" i="1"/>
  <c r="Q183" i="1"/>
  <c r="P183" i="1"/>
  <c r="S183" i="1"/>
  <c r="T183" i="1"/>
  <c r="V182" i="1"/>
  <c r="U183" i="1"/>
  <c r="W183" i="1"/>
  <c r="X183" i="1"/>
  <c r="AB183" i="1"/>
  <c r="L184" i="1"/>
  <c r="K184" i="1"/>
  <c r="M184" i="1"/>
  <c r="O184" i="1"/>
  <c r="Q184" i="1"/>
  <c r="P184" i="1"/>
  <c r="S184" i="1"/>
  <c r="T184" i="1"/>
  <c r="V183" i="1"/>
  <c r="U184" i="1"/>
  <c r="W184" i="1"/>
  <c r="X184" i="1"/>
  <c r="AB184" i="1"/>
  <c r="L185" i="1"/>
  <c r="K185" i="1"/>
  <c r="M185" i="1"/>
  <c r="O185" i="1"/>
  <c r="Q185" i="1"/>
  <c r="P185" i="1"/>
  <c r="S185" i="1"/>
  <c r="T185" i="1"/>
  <c r="V184" i="1"/>
  <c r="U185" i="1"/>
  <c r="W185" i="1"/>
  <c r="X185" i="1"/>
  <c r="AB185" i="1"/>
  <c r="L186" i="1"/>
  <c r="K186" i="1"/>
  <c r="M186" i="1"/>
  <c r="O186" i="1"/>
  <c r="Q186" i="1"/>
  <c r="P186" i="1"/>
  <c r="S186" i="1"/>
  <c r="T186" i="1"/>
  <c r="V185" i="1"/>
  <c r="U186" i="1"/>
  <c r="W186" i="1"/>
  <c r="X186" i="1"/>
  <c r="AB186" i="1"/>
  <c r="L187" i="1"/>
  <c r="K187" i="1"/>
  <c r="M187" i="1"/>
  <c r="O187" i="1"/>
  <c r="Q187" i="1"/>
  <c r="P187" i="1"/>
  <c r="S187" i="1"/>
  <c r="T187" i="1"/>
  <c r="V186" i="1"/>
  <c r="U187" i="1"/>
  <c r="W187" i="1"/>
  <c r="X187" i="1"/>
  <c r="AB187" i="1"/>
  <c r="L188" i="1"/>
  <c r="K188" i="1"/>
  <c r="M188" i="1"/>
  <c r="O188" i="1"/>
  <c r="Q188" i="1"/>
  <c r="P188" i="1"/>
  <c r="S188" i="1"/>
  <c r="T188" i="1"/>
  <c r="V187" i="1"/>
  <c r="U188" i="1"/>
  <c r="W188" i="1"/>
  <c r="X188" i="1"/>
  <c r="AB188" i="1"/>
  <c r="L189" i="1"/>
  <c r="K189" i="1"/>
  <c r="M189" i="1"/>
  <c r="O189" i="1"/>
  <c r="Q189" i="1"/>
  <c r="P189" i="1"/>
  <c r="S189" i="1"/>
  <c r="T189" i="1"/>
  <c r="V188" i="1"/>
  <c r="U189" i="1"/>
  <c r="W189" i="1"/>
  <c r="X189" i="1"/>
  <c r="AB189" i="1"/>
  <c r="L190" i="1"/>
  <c r="K190" i="1"/>
  <c r="M190" i="1"/>
  <c r="O190" i="1"/>
  <c r="Q190" i="1"/>
  <c r="P190" i="1"/>
  <c r="S190" i="1"/>
  <c r="T190" i="1"/>
  <c r="V189" i="1"/>
  <c r="U190" i="1"/>
  <c r="W190" i="1"/>
  <c r="X190" i="1"/>
  <c r="AB190" i="1"/>
  <c r="L191" i="1"/>
  <c r="K191" i="1"/>
  <c r="M191" i="1"/>
  <c r="O191" i="1"/>
  <c r="Q191" i="1"/>
  <c r="P191" i="1"/>
  <c r="S191" i="1"/>
  <c r="T191" i="1"/>
  <c r="V190" i="1"/>
  <c r="U191" i="1"/>
  <c r="W191" i="1"/>
  <c r="X191" i="1"/>
  <c r="AB191" i="1"/>
  <c r="L192" i="1"/>
  <c r="K192" i="1"/>
  <c r="M192" i="1"/>
  <c r="O192" i="1"/>
  <c r="Q192" i="1"/>
  <c r="P192" i="1"/>
  <c r="S192" i="1"/>
  <c r="T192" i="1"/>
  <c r="V191" i="1"/>
  <c r="U192" i="1"/>
  <c r="W192" i="1"/>
  <c r="X192" i="1"/>
  <c r="AB192" i="1"/>
  <c r="L193" i="1"/>
  <c r="K193" i="1"/>
  <c r="M193" i="1"/>
  <c r="O193" i="1"/>
  <c r="Q193" i="1"/>
  <c r="P193" i="1"/>
  <c r="S193" i="1"/>
  <c r="T193" i="1"/>
  <c r="V192" i="1"/>
  <c r="U193" i="1"/>
  <c r="W193" i="1"/>
  <c r="X193" i="1"/>
  <c r="AB193" i="1"/>
  <c r="L194" i="1"/>
  <c r="K194" i="1"/>
  <c r="M194" i="1"/>
  <c r="O194" i="1"/>
  <c r="Q194" i="1"/>
  <c r="P194" i="1"/>
  <c r="S194" i="1"/>
  <c r="T194" i="1"/>
  <c r="V193" i="1"/>
  <c r="U194" i="1"/>
  <c r="W194" i="1"/>
  <c r="X194" i="1"/>
  <c r="AB194" i="1"/>
  <c r="L195" i="1"/>
  <c r="K195" i="1"/>
  <c r="M195" i="1"/>
  <c r="O195" i="1"/>
  <c r="Q195" i="1"/>
  <c r="P195" i="1"/>
  <c r="S195" i="1"/>
  <c r="T195" i="1"/>
  <c r="V194" i="1"/>
  <c r="U195" i="1"/>
  <c r="W195" i="1"/>
  <c r="X195" i="1"/>
  <c r="AB195" i="1"/>
  <c r="L196" i="1"/>
  <c r="K196" i="1"/>
  <c r="M196" i="1"/>
  <c r="O196" i="1"/>
  <c r="Q196" i="1"/>
  <c r="P196" i="1"/>
  <c r="S196" i="1"/>
  <c r="T196" i="1"/>
  <c r="V195" i="1"/>
  <c r="U196" i="1"/>
  <c r="W196" i="1"/>
  <c r="X196" i="1"/>
  <c r="AB196" i="1"/>
  <c r="L197" i="1"/>
  <c r="K197" i="1"/>
  <c r="M197" i="1"/>
  <c r="O197" i="1"/>
  <c r="Q197" i="1"/>
  <c r="P197" i="1"/>
  <c r="S197" i="1"/>
  <c r="T197" i="1"/>
  <c r="V196" i="1"/>
  <c r="U197" i="1"/>
  <c r="W197" i="1"/>
  <c r="X197" i="1"/>
  <c r="AB197" i="1"/>
  <c r="L198" i="1"/>
  <c r="K198" i="1"/>
  <c r="M198" i="1"/>
  <c r="O198" i="1"/>
  <c r="Q198" i="1"/>
  <c r="P198" i="1"/>
  <c r="S198" i="1"/>
  <c r="T198" i="1"/>
  <c r="V197" i="1"/>
  <c r="U198" i="1"/>
  <c r="W198" i="1"/>
  <c r="X198" i="1"/>
  <c r="AB198" i="1"/>
  <c r="L199" i="1"/>
  <c r="K199" i="1"/>
  <c r="M199" i="1"/>
  <c r="O199" i="1"/>
  <c r="Q199" i="1"/>
  <c r="P199" i="1"/>
  <c r="S199" i="1"/>
  <c r="T199" i="1"/>
  <c r="V198" i="1"/>
  <c r="U199" i="1"/>
  <c r="W199" i="1"/>
  <c r="X199" i="1"/>
  <c r="AB199" i="1"/>
  <c r="L200" i="1"/>
  <c r="K200" i="1"/>
  <c r="M200" i="1"/>
  <c r="O200" i="1"/>
  <c r="Q200" i="1"/>
  <c r="P200" i="1"/>
  <c r="S200" i="1"/>
  <c r="T200" i="1"/>
  <c r="V199" i="1"/>
  <c r="U200" i="1"/>
  <c r="W200" i="1"/>
  <c r="X200" i="1"/>
  <c r="AB200" i="1"/>
  <c r="L201" i="1"/>
  <c r="K201" i="1"/>
  <c r="M201" i="1"/>
  <c r="O201" i="1"/>
  <c r="Q201" i="1"/>
  <c r="P201" i="1"/>
  <c r="S201" i="1"/>
  <c r="T201" i="1"/>
  <c r="V200" i="1"/>
  <c r="U201" i="1"/>
  <c r="W201" i="1"/>
  <c r="X201" i="1"/>
  <c r="AB201" i="1"/>
  <c r="L202" i="1"/>
  <c r="K202" i="1"/>
  <c r="M202" i="1"/>
  <c r="O202" i="1"/>
  <c r="Q202" i="1"/>
  <c r="P202" i="1"/>
  <c r="S202" i="1"/>
  <c r="T202" i="1"/>
  <c r="V201" i="1"/>
  <c r="U202" i="1"/>
  <c r="W202" i="1"/>
  <c r="X202" i="1"/>
  <c r="AB202" i="1"/>
  <c r="L203" i="1"/>
  <c r="K203" i="1"/>
  <c r="M203" i="1"/>
  <c r="O203" i="1"/>
  <c r="Q203" i="1"/>
  <c r="P203" i="1"/>
  <c r="S203" i="1"/>
  <c r="T203" i="1"/>
  <c r="V202" i="1"/>
  <c r="U203" i="1"/>
  <c r="W203" i="1"/>
  <c r="X203" i="1"/>
  <c r="AB203" i="1"/>
  <c r="L204" i="1"/>
  <c r="K204" i="1"/>
  <c r="M204" i="1"/>
  <c r="O204" i="1"/>
  <c r="Q204" i="1"/>
  <c r="P204" i="1"/>
  <c r="S204" i="1"/>
  <c r="T204" i="1"/>
  <c r="V203" i="1"/>
  <c r="U204" i="1"/>
  <c r="W204" i="1"/>
  <c r="X204" i="1"/>
  <c r="AB204" i="1"/>
  <c r="L205" i="1"/>
  <c r="K205" i="1"/>
  <c r="M205" i="1"/>
  <c r="O205" i="1"/>
  <c r="Q205" i="1"/>
  <c r="P205" i="1"/>
  <c r="S205" i="1"/>
  <c r="T205" i="1"/>
  <c r="V204" i="1"/>
  <c r="U205" i="1"/>
  <c r="W205" i="1"/>
  <c r="X205" i="1"/>
  <c r="AB205" i="1"/>
  <c r="L206" i="1"/>
  <c r="K206" i="1"/>
  <c r="M206" i="1"/>
  <c r="O206" i="1"/>
  <c r="Q206" i="1"/>
  <c r="P206" i="1"/>
  <c r="S206" i="1"/>
  <c r="T206" i="1"/>
  <c r="V205" i="1"/>
  <c r="U206" i="1"/>
  <c r="W206" i="1"/>
  <c r="X206" i="1"/>
  <c r="AB206" i="1"/>
  <c r="L207" i="1"/>
  <c r="K207" i="1"/>
  <c r="M207" i="1"/>
  <c r="O207" i="1"/>
  <c r="Q207" i="1"/>
  <c r="P207" i="1"/>
  <c r="S207" i="1"/>
  <c r="T207" i="1"/>
  <c r="V206" i="1"/>
  <c r="U207" i="1"/>
  <c r="W207" i="1"/>
  <c r="X207" i="1"/>
  <c r="AB207" i="1"/>
  <c r="L208" i="1"/>
  <c r="K208" i="1"/>
  <c r="M208" i="1"/>
  <c r="O208" i="1"/>
  <c r="Q208" i="1"/>
  <c r="P208" i="1"/>
  <c r="S208" i="1"/>
  <c r="T208" i="1"/>
  <c r="V207" i="1"/>
  <c r="U208" i="1"/>
  <c r="W208" i="1"/>
  <c r="X208" i="1"/>
  <c r="AB208" i="1"/>
  <c r="L209" i="1"/>
  <c r="K209" i="1"/>
  <c r="M209" i="1"/>
  <c r="O209" i="1"/>
  <c r="Q209" i="1"/>
  <c r="P209" i="1"/>
  <c r="S209" i="1"/>
  <c r="T209" i="1"/>
  <c r="V208" i="1"/>
  <c r="U209" i="1"/>
  <c r="W209" i="1"/>
  <c r="X209" i="1"/>
  <c r="AB209" i="1"/>
  <c r="L210" i="1"/>
  <c r="K210" i="1"/>
  <c r="M210" i="1"/>
  <c r="O210" i="1"/>
  <c r="Q210" i="1"/>
  <c r="P210" i="1"/>
  <c r="S210" i="1"/>
  <c r="T210" i="1"/>
  <c r="V209" i="1"/>
  <c r="U210" i="1"/>
  <c r="W210" i="1"/>
  <c r="X210" i="1"/>
  <c r="AB210" i="1"/>
  <c r="L211" i="1"/>
  <c r="K211" i="1"/>
  <c r="M211" i="1"/>
  <c r="O211" i="1"/>
  <c r="Q211" i="1"/>
  <c r="P211" i="1"/>
  <c r="S211" i="1"/>
  <c r="T211" i="1"/>
  <c r="V210" i="1"/>
  <c r="U211" i="1"/>
  <c r="W211" i="1"/>
  <c r="X211" i="1"/>
  <c r="AB211" i="1"/>
  <c r="L212" i="1"/>
  <c r="K212" i="1"/>
  <c r="M212" i="1"/>
  <c r="O212" i="1"/>
  <c r="Q212" i="1"/>
  <c r="P212" i="1"/>
  <c r="S212" i="1"/>
  <c r="T212" i="1"/>
  <c r="V211" i="1"/>
  <c r="U212" i="1"/>
  <c r="W212" i="1"/>
  <c r="X212" i="1"/>
  <c r="AB212" i="1"/>
  <c r="L213" i="1"/>
  <c r="K213" i="1"/>
  <c r="M213" i="1"/>
  <c r="O213" i="1"/>
  <c r="Q213" i="1"/>
  <c r="P213" i="1"/>
  <c r="S213" i="1"/>
  <c r="T213" i="1"/>
  <c r="V212" i="1"/>
  <c r="U213" i="1"/>
  <c r="W213" i="1"/>
  <c r="X213" i="1"/>
  <c r="AB213" i="1"/>
  <c r="L214" i="1"/>
  <c r="K214" i="1"/>
  <c r="M214" i="1"/>
  <c r="O214" i="1"/>
  <c r="Q214" i="1"/>
  <c r="P214" i="1"/>
  <c r="S214" i="1"/>
  <c r="T214" i="1"/>
  <c r="V213" i="1"/>
  <c r="U214" i="1"/>
  <c r="W214" i="1"/>
  <c r="X214" i="1"/>
  <c r="AB214" i="1"/>
  <c r="L215" i="1"/>
  <c r="K215" i="1"/>
  <c r="M215" i="1"/>
  <c r="O215" i="1"/>
  <c r="Q215" i="1"/>
  <c r="P215" i="1"/>
  <c r="S215" i="1"/>
  <c r="T215" i="1"/>
  <c r="V214" i="1"/>
  <c r="U215" i="1"/>
  <c r="W215" i="1"/>
  <c r="X215" i="1"/>
  <c r="AB215" i="1"/>
  <c r="L216" i="1"/>
  <c r="K216" i="1"/>
  <c r="M216" i="1"/>
  <c r="O216" i="1"/>
  <c r="Q216" i="1"/>
  <c r="P216" i="1"/>
  <c r="S216" i="1"/>
  <c r="T216" i="1"/>
  <c r="V215" i="1"/>
  <c r="U216" i="1"/>
  <c r="W216" i="1"/>
  <c r="X216" i="1"/>
  <c r="AB216" i="1"/>
  <c r="L217" i="1"/>
  <c r="K217" i="1"/>
  <c r="M217" i="1"/>
  <c r="O217" i="1"/>
  <c r="Q217" i="1"/>
  <c r="P217" i="1"/>
  <c r="S217" i="1"/>
  <c r="T217" i="1"/>
  <c r="V216" i="1"/>
  <c r="U217" i="1"/>
  <c r="W217" i="1"/>
  <c r="X217" i="1"/>
  <c r="AB217" i="1"/>
  <c r="L218" i="1"/>
  <c r="K218" i="1"/>
  <c r="M218" i="1"/>
  <c r="O218" i="1"/>
  <c r="Q218" i="1"/>
  <c r="P218" i="1"/>
  <c r="S218" i="1"/>
  <c r="T218" i="1"/>
  <c r="V217" i="1"/>
  <c r="U218" i="1"/>
  <c r="W218" i="1"/>
  <c r="X218" i="1"/>
  <c r="AB218" i="1"/>
  <c r="L219" i="1"/>
  <c r="K219" i="1"/>
  <c r="M219" i="1"/>
  <c r="O219" i="1"/>
  <c r="Q219" i="1"/>
  <c r="P219" i="1"/>
  <c r="S219" i="1"/>
  <c r="T219" i="1"/>
  <c r="V218" i="1"/>
  <c r="U219" i="1"/>
  <c r="W219" i="1"/>
  <c r="X219" i="1"/>
  <c r="AB219" i="1"/>
  <c r="L220" i="1"/>
  <c r="K220" i="1"/>
  <c r="M220" i="1"/>
  <c r="O220" i="1"/>
  <c r="Q220" i="1"/>
  <c r="P220" i="1"/>
  <c r="S220" i="1"/>
  <c r="T220" i="1"/>
  <c r="V219" i="1"/>
  <c r="U220" i="1"/>
  <c r="W220" i="1"/>
  <c r="X220" i="1"/>
  <c r="AB220" i="1"/>
  <c r="L221" i="1"/>
  <c r="K221" i="1"/>
  <c r="M221" i="1"/>
  <c r="O221" i="1"/>
  <c r="Q221" i="1"/>
  <c r="P221" i="1"/>
  <c r="S221" i="1"/>
  <c r="T221" i="1"/>
  <c r="V220" i="1"/>
  <c r="U221" i="1"/>
  <c r="W221" i="1"/>
  <c r="X221" i="1"/>
  <c r="AB221" i="1"/>
  <c r="L222" i="1"/>
  <c r="K222" i="1"/>
  <c r="M222" i="1"/>
  <c r="O222" i="1"/>
  <c r="Q222" i="1"/>
  <c r="P222" i="1"/>
  <c r="S222" i="1"/>
  <c r="T222" i="1"/>
  <c r="V221" i="1"/>
  <c r="U222" i="1"/>
  <c r="W222" i="1"/>
  <c r="X222" i="1"/>
  <c r="AB222" i="1"/>
  <c r="L223" i="1"/>
  <c r="K223" i="1"/>
  <c r="M223" i="1"/>
  <c r="O223" i="1"/>
  <c r="Q223" i="1"/>
  <c r="P223" i="1"/>
  <c r="S223" i="1"/>
  <c r="T223" i="1"/>
  <c r="V222" i="1"/>
  <c r="U223" i="1"/>
  <c r="W223" i="1"/>
  <c r="X223" i="1"/>
  <c r="AB223" i="1"/>
  <c r="L224" i="1"/>
  <c r="K224" i="1"/>
  <c r="M224" i="1"/>
  <c r="O224" i="1"/>
  <c r="Q224" i="1"/>
  <c r="P224" i="1"/>
  <c r="S224" i="1"/>
  <c r="J224" i="1"/>
  <c r="T224" i="1"/>
  <c r="V223" i="1"/>
  <c r="U224" i="1"/>
  <c r="W224" i="1"/>
  <c r="X224" i="1"/>
  <c r="AB224" i="1"/>
  <c r="L225" i="1"/>
  <c r="K225" i="1"/>
  <c r="M225" i="1"/>
  <c r="O225" i="1"/>
  <c r="Q225" i="1"/>
  <c r="P225" i="1"/>
  <c r="S225" i="1"/>
  <c r="T225" i="1"/>
  <c r="V224" i="1"/>
  <c r="U225" i="1"/>
  <c r="W225" i="1"/>
  <c r="X225" i="1"/>
  <c r="AB225" i="1"/>
  <c r="L226" i="1"/>
  <c r="K226" i="1"/>
  <c r="M226" i="1"/>
  <c r="O226" i="1"/>
  <c r="Q226" i="1"/>
  <c r="P226" i="1"/>
  <c r="S226" i="1"/>
  <c r="T226" i="1"/>
  <c r="V225" i="1"/>
  <c r="U226" i="1"/>
  <c r="W226" i="1"/>
  <c r="X226" i="1"/>
  <c r="AB226" i="1"/>
  <c r="L227" i="1"/>
  <c r="K227" i="1"/>
  <c r="M227" i="1"/>
  <c r="O227" i="1"/>
  <c r="Q227" i="1"/>
  <c r="P227" i="1"/>
  <c r="S227" i="1"/>
  <c r="T227" i="1"/>
  <c r="V226" i="1"/>
  <c r="U227" i="1"/>
  <c r="W227" i="1"/>
  <c r="X227" i="1"/>
  <c r="AB227" i="1"/>
  <c r="L228" i="1"/>
  <c r="K228" i="1"/>
  <c r="M228" i="1"/>
  <c r="O228" i="1"/>
  <c r="Q228" i="1"/>
  <c r="P228" i="1"/>
  <c r="S228" i="1"/>
  <c r="T228" i="1"/>
  <c r="V227" i="1"/>
  <c r="U228" i="1"/>
  <c r="W228" i="1"/>
  <c r="X228" i="1"/>
  <c r="AB228" i="1"/>
  <c r="L229" i="1"/>
  <c r="K229" i="1"/>
  <c r="M229" i="1"/>
  <c r="O229" i="1"/>
  <c r="Q229" i="1"/>
  <c r="P229" i="1"/>
  <c r="S229" i="1"/>
  <c r="T229" i="1"/>
  <c r="V228" i="1"/>
  <c r="U229" i="1"/>
  <c r="W229" i="1"/>
  <c r="X229" i="1"/>
  <c r="AB229" i="1"/>
  <c r="L230" i="1"/>
  <c r="K230" i="1"/>
  <c r="M230" i="1"/>
  <c r="O230" i="1"/>
  <c r="Q230" i="1"/>
  <c r="P230" i="1"/>
  <c r="S230" i="1"/>
  <c r="T230" i="1"/>
  <c r="V229" i="1"/>
  <c r="U230" i="1"/>
  <c r="W230" i="1"/>
  <c r="X230" i="1"/>
  <c r="AB230" i="1"/>
  <c r="L231" i="1"/>
  <c r="K231" i="1"/>
  <c r="M231" i="1"/>
  <c r="O231" i="1"/>
  <c r="Q231" i="1"/>
  <c r="P231" i="1"/>
  <c r="S231" i="1"/>
  <c r="T231" i="1"/>
  <c r="V230" i="1"/>
  <c r="U231" i="1"/>
  <c r="W231" i="1"/>
  <c r="X231" i="1"/>
  <c r="AB231" i="1"/>
  <c r="L232" i="1"/>
  <c r="K232" i="1"/>
  <c r="M232" i="1"/>
  <c r="O232" i="1"/>
  <c r="Q232" i="1"/>
  <c r="P232" i="1"/>
  <c r="S232" i="1"/>
  <c r="T232" i="1"/>
  <c r="V231" i="1"/>
  <c r="U232" i="1"/>
  <c r="W232" i="1"/>
  <c r="X232" i="1"/>
  <c r="AB232" i="1"/>
  <c r="L233" i="1"/>
  <c r="K233" i="1"/>
  <c r="M233" i="1"/>
  <c r="O233" i="1"/>
  <c r="Q233" i="1"/>
  <c r="P233" i="1"/>
  <c r="S233" i="1"/>
  <c r="T233" i="1"/>
  <c r="V232" i="1"/>
  <c r="U233" i="1"/>
  <c r="W233" i="1"/>
  <c r="X233" i="1"/>
  <c r="AB233" i="1"/>
  <c r="L234" i="1"/>
  <c r="K234" i="1"/>
  <c r="M234" i="1"/>
  <c r="O234" i="1"/>
  <c r="Q234" i="1"/>
  <c r="P234" i="1"/>
  <c r="S234" i="1"/>
  <c r="T234" i="1"/>
  <c r="V233" i="1"/>
  <c r="U234" i="1"/>
  <c r="W234" i="1"/>
  <c r="X234" i="1"/>
  <c r="AB234" i="1"/>
  <c r="L235" i="1"/>
  <c r="K235" i="1"/>
  <c r="M235" i="1"/>
  <c r="O235" i="1"/>
  <c r="Q235" i="1"/>
  <c r="P235" i="1"/>
  <c r="S235" i="1"/>
  <c r="T235" i="1"/>
  <c r="V234" i="1"/>
  <c r="U235" i="1"/>
  <c r="W235" i="1"/>
  <c r="X235" i="1"/>
  <c r="AB235" i="1"/>
  <c r="L236" i="1"/>
  <c r="K236" i="1"/>
  <c r="M236" i="1"/>
  <c r="O236" i="1"/>
  <c r="Q236" i="1"/>
  <c r="P236" i="1"/>
  <c r="S236" i="1"/>
  <c r="T236" i="1"/>
  <c r="V235" i="1"/>
  <c r="U236" i="1"/>
  <c r="W236" i="1"/>
  <c r="X236" i="1"/>
  <c r="AB236" i="1"/>
  <c r="L237" i="1"/>
  <c r="K237" i="1"/>
  <c r="M237" i="1"/>
  <c r="O237" i="1"/>
  <c r="Q237" i="1"/>
  <c r="P237" i="1"/>
  <c r="S237" i="1"/>
  <c r="T237" i="1"/>
  <c r="V236" i="1"/>
  <c r="U237" i="1"/>
  <c r="W237" i="1"/>
  <c r="X237" i="1"/>
  <c r="AB237" i="1"/>
  <c r="L238" i="1"/>
  <c r="K238" i="1"/>
  <c r="M238" i="1"/>
  <c r="O238" i="1"/>
  <c r="Q238" i="1"/>
  <c r="P238" i="1"/>
  <c r="S238" i="1"/>
  <c r="T238" i="1"/>
  <c r="V237" i="1"/>
  <c r="U238" i="1"/>
  <c r="W238" i="1"/>
  <c r="X238" i="1"/>
  <c r="AB238" i="1"/>
  <c r="L239" i="1"/>
  <c r="K239" i="1"/>
  <c r="M239" i="1"/>
  <c r="O239" i="1"/>
  <c r="Q239" i="1"/>
  <c r="P239" i="1"/>
  <c r="S239" i="1"/>
  <c r="T239" i="1"/>
  <c r="V238" i="1"/>
  <c r="U239" i="1"/>
  <c r="W239" i="1"/>
  <c r="X239" i="1"/>
  <c r="AB239" i="1"/>
  <c r="L240" i="1"/>
  <c r="K240" i="1"/>
  <c r="M240" i="1"/>
  <c r="O240" i="1"/>
  <c r="Q240" i="1"/>
  <c r="P240" i="1"/>
  <c r="S240" i="1"/>
  <c r="T240" i="1"/>
  <c r="V239" i="1"/>
  <c r="U240" i="1"/>
  <c r="W240" i="1"/>
  <c r="X240" i="1"/>
  <c r="AB240" i="1"/>
  <c r="L241" i="1"/>
  <c r="K241" i="1"/>
  <c r="M241" i="1"/>
  <c r="O241" i="1"/>
  <c r="Q241" i="1"/>
  <c r="P241" i="1"/>
  <c r="S241" i="1"/>
  <c r="T241" i="1"/>
  <c r="V240" i="1"/>
  <c r="U241" i="1"/>
  <c r="W241" i="1"/>
  <c r="X241" i="1"/>
  <c r="AB241" i="1"/>
  <c r="L242" i="1"/>
  <c r="K242" i="1"/>
  <c r="M242" i="1"/>
  <c r="O242" i="1"/>
  <c r="Q242" i="1"/>
  <c r="P242" i="1"/>
  <c r="S242" i="1"/>
  <c r="T242" i="1"/>
  <c r="V241" i="1"/>
  <c r="U242" i="1"/>
  <c r="W242" i="1"/>
  <c r="X242" i="1"/>
  <c r="AB242" i="1"/>
  <c r="L243" i="1"/>
  <c r="K243" i="1"/>
  <c r="M243" i="1"/>
  <c r="O243" i="1"/>
  <c r="Q243" i="1"/>
  <c r="P243" i="1"/>
  <c r="S243" i="1"/>
  <c r="T243" i="1"/>
  <c r="V242" i="1"/>
  <c r="U243" i="1"/>
  <c r="W243" i="1"/>
  <c r="X243" i="1"/>
  <c r="AB243" i="1"/>
  <c r="L244" i="1"/>
  <c r="K244" i="1"/>
  <c r="M244" i="1"/>
  <c r="O244" i="1"/>
  <c r="Q244" i="1"/>
  <c r="P244" i="1"/>
  <c r="S244" i="1"/>
  <c r="T244" i="1"/>
  <c r="V243" i="1"/>
  <c r="U244" i="1"/>
  <c r="W244" i="1"/>
  <c r="X244" i="1"/>
  <c r="AB244" i="1"/>
  <c r="L245" i="1"/>
  <c r="K245" i="1"/>
  <c r="M245" i="1"/>
  <c r="O245" i="1"/>
  <c r="Q245" i="1"/>
  <c r="P245" i="1"/>
  <c r="S245" i="1"/>
  <c r="T245" i="1"/>
  <c r="V244" i="1"/>
  <c r="U245" i="1"/>
  <c r="W245" i="1"/>
  <c r="X245" i="1"/>
  <c r="AB245" i="1"/>
  <c r="L246" i="1"/>
  <c r="K246" i="1"/>
  <c r="M246" i="1"/>
  <c r="O246" i="1"/>
  <c r="Q246" i="1"/>
  <c r="P246" i="1"/>
  <c r="S246" i="1"/>
  <c r="T246" i="1"/>
  <c r="V245" i="1"/>
  <c r="U246" i="1"/>
  <c r="W246" i="1"/>
  <c r="X246" i="1"/>
  <c r="AB246" i="1"/>
  <c r="L247" i="1"/>
  <c r="K247" i="1"/>
  <c r="M247" i="1"/>
  <c r="O247" i="1"/>
  <c r="Q247" i="1"/>
  <c r="P247" i="1"/>
  <c r="S247" i="1"/>
  <c r="T247" i="1"/>
  <c r="V246" i="1"/>
  <c r="U247" i="1"/>
  <c r="W247" i="1"/>
  <c r="X247" i="1"/>
  <c r="AB247" i="1"/>
  <c r="L248" i="1"/>
  <c r="K248" i="1"/>
  <c r="M248" i="1"/>
  <c r="O248" i="1"/>
  <c r="Q248" i="1"/>
  <c r="P248" i="1"/>
  <c r="S248" i="1"/>
  <c r="T248" i="1"/>
  <c r="V247" i="1"/>
  <c r="U248" i="1"/>
  <c r="W248" i="1"/>
  <c r="X248" i="1"/>
  <c r="AB248" i="1"/>
  <c r="L249" i="1"/>
  <c r="K249" i="1"/>
  <c r="M249" i="1"/>
  <c r="O249" i="1"/>
  <c r="Q249" i="1"/>
  <c r="P249" i="1"/>
  <c r="S249" i="1"/>
  <c r="T249" i="1"/>
  <c r="V248" i="1"/>
  <c r="U249" i="1"/>
  <c r="W249" i="1"/>
  <c r="X249" i="1"/>
  <c r="AB249" i="1"/>
  <c r="L250" i="1"/>
  <c r="K250" i="1"/>
  <c r="M250" i="1"/>
  <c r="O250" i="1"/>
  <c r="Q250" i="1"/>
  <c r="P250" i="1"/>
  <c r="S250" i="1"/>
  <c r="T250" i="1"/>
  <c r="V249" i="1"/>
  <c r="U250" i="1"/>
  <c r="W250" i="1"/>
  <c r="X250" i="1"/>
  <c r="AB250" i="1"/>
  <c r="L251" i="1"/>
  <c r="K251" i="1"/>
  <c r="M251" i="1"/>
  <c r="O251" i="1"/>
  <c r="Q251" i="1"/>
  <c r="P251" i="1"/>
  <c r="S251" i="1"/>
  <c r="T251" i="1"/>
  <c r="V250" i="1"/>
  <c r="U251" i="1"/>
  <c r="W251" i="1"/>
  <c r="X251" i="1"/>
  <c r="AB251" i="1"/>
  <c r="L252" i="1"/>
  <c r="K252" i="1"/>
  <c r="M252" i="1"/>
  <c r="O252" i="1"/>
  <c r="Q252" i="1"/>
  <c r="P252" i="1"/>
  <c r="S252" i="1"/>
  <c r="T252" i="1"/>
  <c r="V251" i="1"/>
  <c r="U252" i="1"/>
  <c r="W252" i="1"/>
  <c r="X252" i="1"/>
  <c r="AB252" i="1"/>
  <c r="L253" i="1"/>
  <c r="K253" i="1"/>
  <c r="M253" i="1"/>
  <c r="O253" i="1"/>
  <c r="Q253" i="1"/>
  <c r="P253" i="1"/>
  <c r="S253" i="1"/>
  <c r="T253" i="1"/>
  <c r="V252" i="1"/>
  <c r="U253" i="1"/>
  <c r="W253" i="1"/>
  <c r="X253" i="1"/>
  <c r="AB253" i="1"/>
  <c r="L254" i="1"/>
  <c r="K254" i="1"/>
  <c r="M254" i="1"/>
  <c r="O254" i="1"/>
  <c r="Q254" i="1"/>
  <c r="P254" i="1"/>
  <c r="S254" i="1"/>
  <c r="T254" i="1"/>
  <c r="V253" i="1"/>
  <c r="U254" i="1"/>
  <c r="W254" i="1"/>
  <c r="X254" i="1"/>
  <c r="AB254" i="1"/>
  <c r="L255" i="1"/>
  <c r="K255" i="1"/>
  <c r="M255" i="1"/>
  <c r="O255" i="1"/>
  <c r="Q255" i="1"/>
  <c r="P255" i="1"/>
  <c r="S255" i="1"/>
  <c r="T255" i="1"/>
  <c r="V254" i="1"/>
  <c r="U255" i="1"/>
  <c r="W255" i="1"/>
  <c r="X255" i="1"/>
  <c r="AB255" i="1"/>
  <c r="L256" i="1"/>
  <c r="K256" i="1"/>
  <c r="M256" i="1"/>
  <c r="O256" i="1"/>
  <c r="Q256" i="1"/>
  <c r="P256" i="1"/>
  <c r="S256" i="1"/>
  <c r="T256" i="1"/>
  <c r="V255" i="1"/>
  <c r="U256" i="1"/>
  <c r="W256" i="1"/>
  <c r="X256" i="1"/>
  <c r="AB256" i="1"/>
  <c r="L257" i="1"/>
  <c r="K257" i="1"/>
  <c r="M257" i="1"/>
  <c r="O257" i="1"/>
  <c r="Q257" i="1"/>
  <c r="P257" i="1"/>
  <c r="S257" i="1"/>
  <c r="T257" i="1"/>
  <c r="V256" i="1"/>
  <c r="U257" i="1"/>
  <c r="W257" i="1"/>
  <c r="X257" i="1"/>
  <c r="AB257" i="1"/>
  <c r="L258" i="1"/>
  <c r="K258" i="1"/>
  <c r="M258" i="1"/>
  <c r="O258" i="1"/>
  <c r="Q258" i="1"/>
  <c r="P258" i="1"/>
  <c r="S258" i="1"/>
  <c r="J258" i="1"/>
  <c r="N258" i="1"/>
  <c r="T258" i="1"/>
  <c r="V257" i="1"/>
  <c r="U258" i="1"/>
  <c r="W258" i="1"/>
  <c r="X258" i="1"/>
  <c r="AB258" i="1"/>
  <c r="L259" i="1"/>
  <c r="K259" i="1"/>
  <c r="M259" i="1"/>
  <c r="O259" i="1"/>
  <c r="Q259" i="1"/>
  <c r="P259" i="1"/>
  <c r="S259" i="1"/>
  <c r="T259" i="1"/>
  <c r="V258" i="1"/>
  <c r="U259" i="1"/>
  <c r="W259" i="1"/>
  <c r="X259" i="1"/>
  <c r="AB259" i="1"/>
  <c r="L260" i="1"/>
  <c r="K260" i="1"/>
  <c r="M260" i="1"/>
  <c r="O260" i="1"/>
  <c r="Q260" i="1"/>
  <c r="P260" i="1"/>
  <c r="S260" i="1"/>
  <c r="T260" i="1"/>
  <c r="V259" i="1"/>
  <c r="U260" i="1"/>
  <c r="W260" i="1"/>
  <c r="X260" i="1"/>
  <c r="AB260" i="1"/>
  <c r="L261" i="1"/>
  <c r="K261" i="1"/>
  <c r="M261" i="1"/>
  <c r="O261" i="1"/>
  <c r="Q261" i="1"/>
  <c r="P261" i="1"/>
  <c r="S261" i="1"/>
  <c r="T261" i="1"/>
  <c r="V260" i="1"/>
  <c r="U261" i="1"/>
  <c r="W261" i="1"/>
  <c r="X261" i="1"/>
  <c r="AB261" i="1"/>
  <c r="L262" i="1"/>
  <c r="K262" i="1"/>
  <c r="M262" i="1"/>
  <c r="O262" i="1"/>
  <c r="Q262" i="1"/>
  <c r="P262" i="1"/>
  <c r="S262" i="1"/>
  <c r="T262" i="1"/>
  <c r="V261" i="1"/>
  <c r="U262" i="1"/>
  <c r="W262" i="1"/>
  <c r="X262" i="1"/>
  <c r="AB262" i="1"/>
  <c r="L263" i="1"/>
  <c r="K263" i="1"/>
  <c r="M263" i="1"/>
  <c r="O263" i="1"/>
  <c r="Q263" i="1"/>
  <c r="P263" i="1"/>
  <c r="S263" i="1"/>
  <c r="T263" i="1"/>
  <c r="V262" i="1"/>
  <c r="U263" i="1"/>
  <c r="W263" i="1"/>
  <c r="X263" i="1"/>
  <c r="AB263" i="1"/>
  <c r="L264" i="1"/>
  <c r="K264" i="1"/>
  <c r="M264" i="1"/>
  <c r="O264" i="1"/>
  <c r="Q264" i="1"/>
  <c r="P264" i="1"/>
  <c r="S264" i="1"/>
  <c r="T264" i="1"/>
  <c r="V263" i="1"/>
  <c r="U264" i="1"/>
  <c r="W264" i="1"/>
  <c r="X264" i="1"/>
  <c r="AB264" i="1"/>
  <c r="L265" i="1"/>
  <c r="K265" i="1"/>
  <c r="M265" i="1"/>
  <c r="O265" i="1"/>
  <c r="Q265" i="1"/>
  <c r="P265" i="1"/>
  <c r="S265" i="1"/>
  <c r="T265" i="1"/>
  <c r="V264" i="1"/>
  <c r="U265" i="1"/>
  <c r="W265" i="1"/>
  <c r="X265" i="1"/>
  <c r="AB265" i="1"/>
  <c r="L266" i="1"/>
  <c r="K266" i="1"/>
  <c r="M266" i="1"/>
  <c r="O266" i="1"/>
  <c r="Q266" i="1"/>
  <c r="P266" i="1"/>
  <c r="S266" i="1"/>
  <c r="T266" i="1"/>
  <c r="V265" i="1"/>
  <c r="U266" i="1"/>
  <c r="W266" i="1"/>
  <c r="X266" i="1"/>
  <c r="AB266" i="1"/>
  <c r="L267" i="1"/>
  <c r="K267" i="1"/>
  <c r="M267" i="1"/>
  <c r="O267" i="1"/>
  <c r="Q267" i="1"/>
  <c r="P267" i="1"/>
  <c r="S267" i="1"/>
  <c r="T267" i="1"/>
  <c r="V266" i="1"/>
  <c r="U267" i="1"/>
  <c r="W267" i="1"/>
  <c r="X267" i="1"/>
  <c r="AB267" i="1"/>
  <c r="L268" i="1"/>
  <c r="K268" i="1"/>
  <c r="M268" i="1"/>
  <c r="O268" i="1"/>
  <c r="Q268" i="1"/>
  <c r="P268" i="1"/>
  <c r="S268" i="1"/>
  <c r="T268" i="1"/>
  <c r="V267" i="1"/>
  <c r="U268" i="1"/>
  <c r="W268" i="1"/>
  <c r="X268" i="1"/>
  <c r="AB268" i="1"/>
  <c r="L269" i="1"/>
  <c r="K269" i="1"/>
  <c r="M269" i="1"/>
  <c r="O269" i="1"/>
  <c r="Q269" i="1"/>
  <c r="P269" i="1"/>
  <c r="S269" i="1"/>
  <c r="T269" i="1"/>
  <c r="V268" i="1"/>
  <c r="U269" i="1"/>
  <c r="W269" i="1"/>
  <c r="X269" i="1"/>
  <c r="AB269" i="1"/>
  <c r="L270" i="1"/>
  <c r="K270" i="1"/>
  <c r="M270" i="1"/>
  <c r="O270" i="1"/>
  <c r="Q270" i="1"/>
  <c r="P270" i="1"/>
  <c r="S270" i="1"/>
  <c r="T270" i="1"/>
  <c r="V269" i="1"/>
  <c r="U270" i="1"/>
  <c r="W270" i="1"/>
  <c r="X270" i="1"/>
  <c r="AB270" i="1"/>
  <c r="L271" i="1"/>
  <c r="K271" i="1"/>
  <c r="M271" i="1"/>
  <c r="O271" i="1"/>
  <c r="Q271" i="1"/>
  <c r="P271" i="1"/>
  <c r="S271" i="1"/>
  <c r="T271" i="1"/>
  <c r="V270" i="1"/>
  <c r="U271" i="1"/>
  <c r="W271" i="1"/>
  <c r="X271" i="1"/>
  <c r="AB271" i="1"/>
  <c r="L272" i="1"/>
  <c r="K272" i="1"/>
  <c r="M272" i="1"/>
  <c r="O272" i="1"/>
  <c r="Q272" i="1"/>
  <c r="P272" i="1"/>
  <c r="S272" i="1"/>
  <c r="T272" i="1"/>
  <c r="V271" i="1"/>
  <c r="U272" i="1"/>
  <c r="W272" i="1"/>
  <c r="X272" i="1"/>
  <c r="AB272" i="1"/>
  <c r="L273" i="1"/>
  <c r="K273" i="1"/>
  <c r="M273" i="1"/>
  <c r="O273" i="1"/>
  <c r="Q273" i="1"/>
  <c r="P273" i="1"/>
  <c r="S273" i="1"/>
  <c r="T273" i="1"/>
  <c r="V272" i="1"/>
  <c r="U273" i="1"/>
  <c r="W273" i="1"/>
  <c r="X273" i="1"/>
  <c r="AB273" i="1"/>
  <c r="L274" i="1"/>
  <c r="K274" i="1"/>
  <c r="M274" i="1"/>
  <c r="O274" i="1"/>
  <c r="Q274" i="1"/>
  <c r="P274" i="1"/>
  <c r="S274" i="1"/>
  <c r="T274" i="1"/>
  <c r="V273" i="1"/>
  <c r="U274" i="1"/>
  <c r="W274" i="1"/>
  <c r="X274" i="1"/>
  <c r="AB274" i="1"/>
  <c r="L275" i="1"/>
  <c r="K275" i="1"/>
  <c r="M275" i="1"/>
  <c r="O275" i="1"/>
  <c r="Q275" i="1"/>
  <c r="P275" i="1"/>
  <c r="S275" i="1"/>
  <c r="T275" i="1"/>
  <c r="V274" i="1"/>
  <c r="U275" i="1"/>
  <c r="W275" i="1"/>
  <c r="X275" i="1"/>
  <c r="AB275" i="1"/>
  <c r="L276" i="1"/>
  <c r="K276" i="1"/>
  <c r="M276" i="1"/>
  <c r="O276" i="1"/>
  <c r="Q276" i="1"/>
  <c r="P276" i="1"/>
  <c r="S276" i="1"/>
  <c r="T276" i="1"/>
  <c r="V275" i="1"/>
  <c r="U276" i="1"/>
  <c r="W276" i="1"/>
  <c r="X276" i="1"/>
  <c r="AB276" i="1"/>
  <c r="L277" i="1"/>
  <c r="K277" i="1"/>
  <c r="M277" i="1"/>
  <c r="O277" i="1"/>
  <c r="Q277" i="1"/>
  <c r="P277" i="1"/>
  <c r="S277" i="1"/>
  <c r="T277" i="1"/>
  <c r="V276" i="1"/>
  <c r="U277" i="1"/>
  <c r="W277" i="1"/>
  <c r="X277" i="1"/>
  <c r="AB277" i="1"/>
  <c r="L278" i="1"/>
  <c r="K278" i="1"/>
  <c r="M278" i="1"/>
  <c r="O278" i="1"/>
  <c r="Q278" i="1"/>
  <c r="P278" i="1"/>
  <c r="S278" i="1"/>
  <c r="T278" i="1"/>
  <c r="V277" i="1"/>
  <c r="U278" i="1"/>
  <c r="W278" i="1"/>
  <c r="X278" i="1"/>
  <c r="AB278" i="1"/>
  <c r="L279" i="1"/>
  <c r="K279" i="1"/>
  <c r="M279" i="1"/>
  <c r="O279" i="1"/>
  <c r="Q279" i="1"/>
  <c r="P279" i="1"/>
  <c r="S279" i="1"/>
  <c r="T279" i="1"/>
  <c r="V278" i="1"/>
  <c r="U279" i="1"/>
  <c r="W279" i="1"/>
  <c r="X279" i="1"/>
  <c r="AB279" i="1"/>
  <c r="L280" i="1"/>
  <c r="K280" i="1"/>
  <c r="M280" i="1"/>
  <c r="O280" i="1"/>
  <c r="Q280" i="1"/>
  <c r="P280" i="1"/>
  <c r="S280" i="1"/>
  <c r="T280" i="1"/>
  <c r="V279" i="1"/>
  <c r="U280" i="1"/>
  <c r="W280" i="1"/>
  <c r="X280" i="1"/>
  <c r="AB280" i="1"/>
  <c r="L281" i="1"/>
  <c r="K281" i="1"/>
  <c r="M281" i="1"/>
  <c r="O281" i="1"/>
  <c r="Q281" i="1"/>
  <c r="P281" i="1"/>
  <c r="S281" i="1"/>
  <c r="T281" i="1"/>
  <c r="V280" i="1"/>
  <c r="U281" i="1"/>
  <c r="W281" i="1"/>
  <c r="X281" i="1"/>
  <c r="AB281" i="1"/>
  <c r="L282" i="1"/>
  <c r="K282" i="1"/>
  <c r="M282" i="1"/>
  <c r="O282" i="1"/>
  <c r="Q282" i="1"/>
  <c r="P282" i="1"/>
  <c r="S282" i="1"/>
  <c r="T282" i="1"/>
  <c r="V281" i="1"/>
  <c r="U282" i="1"/>
  <c r="W282" i="1"/>
  <c r="X282" i="1"/>
  <c r="AB282" i="1"/>
  <c r="L283" i="1"/>
  <c r="K283" i="1"/>
  <c r="M283" i="1"/>
  <c r="O283" i="1"/>
  <c r="Q283" i="1"/>
  <c r="P283" i="1"/>
  <c r="S283" i="1"/>
  <c r="T283" i="1"/>
  <c r="V282" i="1"/>
  <c r="U283" i="1"/>
  <c r="W283" i="1"/>
  <c r="X283" i="1"/>
  <c r="AB283" i="1"/>
  <c r="L284" i="1"/>
  <c r="K284" i="1"/>
  <c r="M284" i="1"/>
  <c r="O284" i="1"/>
  <c r="Q284" i="1"/>
  <c r="P284" i="1"/>
  <c r="S284" i="1"/>
  <c r="T284" i="1"/>
  <c r="V283" i="1"/>
  <c r="U284" i="1"/>
  <c r="W284" i="1"/>
  <c r="X284" i="1"/>
  <c r="AB284" i="1"/>
  <c r="L285" i="1"/>
  <c r="K285" i="1"/>
  <c r="M285" i="1"/>
  <c r="O285" i="1"/>
  <c r="Q285" i="1"/>
  <c r="P285" i="1"/>
  <c r="S285" i="1"/>
  <c r="T285" i="1"/>
  <c r="V284" i="1"/>
  <c r="U285" i="1"/>
  <c r="W285" i="1"/>
  <c r="X285" i="1"/>
  <c r="AB285" i="1"/>
  <c r="L286" i="1"/>
  <c r="K286" i="1"/>
  <c r="M286" i="1"/>
  <c r="O286" i="1"/>
  <c r="Q286" i="1"/>
  <c r="P286" i="1"/>
  <c r="S286" i="1"/>
  <c r="T286" i="1"/>
  <c r="V285" i="1"/>
  <c r="U286" i="1"/>
  <c r="W286" i="1"/>
  <c r="X286" i="1"/>
  <c r="AB286" i="1"/>
  <c r="L287" i="1"/>
  <c r="K287" i="1"/>
  <c r="M287" i="1"/>
  <c r="O287" i="1"/>
  <c r="Q287" i="1"/>
  <c r="P287" i="1"/>
  <c r="S287" i="1"/>
  <c r="T287" i="1"/>
  <c r="V286" i="1"/>
  <c r="U287" i="1"/>
  <c r="W287" i="1"/>
  <c r="X287" i="1"/>
  <c r="AB287" i="1"/>
  <c r="L288" i="1"/>
  <c r="K288" i="1"/>
  <c r="M288" i="1"/>
  <c r="O288" i="1"/>
  <c r="Q288" i="1"/>
  <c r="P288" i="1"/>
  <c r="S288" i="1"/>
  <c r="T288" i="1"/>
  <c r="V287" i="1"/>
  <c r="U288" i="1"/>
  <c r="W288" i="1"/>
  <c r="X288" i="1"/>
  <c r="AB288" i="1"/>
  <c r="L289" i="1"/>
  <c r="K289" i="1"/>
  <c r="M289" i="1"/>
  <c r="O289" i="1"/>
  <c r="Q289" i="1"/>
  <c r="P289" i="1"/>
  <c r="S289" i="1"/>
  <c r="T289" i="1"/>
  <c r="V288" i="1"/>
  <c r="U289" i="1"/>
  <c r="W289" i="1"/>
  <c r="X289" i="1"/>
  <c r="AB289" i="1"/>
  <c r="L290" i="1"/>
  <c r="K290" i="1"/>
  <c r="M290" i="1"/>
  <c r="O290" i="1"/>
  <c r="Q290" i="1"/>
  <c r="P290" i="1"/>
  <c r="S290" i="1"/>
  <c r="T290" i="1"/>
  <c r="V289" i="1"/>
  <c r="U290" i="1"/>
  <c r="W290" i="1"/>
  <c r="X290" i="1"/>
  <c r="AB290" i="1"/>
  <c r="L291" i="1"/>
  <c r="K291" i="1"/>
  <c r="M291" i="1"/>
  <c r="O291" i="1"/>
  <c r="Q291" i="1"/>
  <c r="P291" i="1"/>
  <c r="S291" i="1"/>
  <c r="T291" i="1"/>
  <c r="V290" i="1"/>
  <c r="U291" i="1"/>
  <c r="W291" i="1"/>
  <c r="X291" i="1"/>
  <c r="AB291" i="1"/>
  <c r="L292" i="1"/>
  <c r="K292" i="1"/>
  <c r="M292" i="1"/>
  <c r="O292" i="1"/>
  <c r="Q292" i="1"/>
  <c r="P292" i="1"/>
  <c r="S292" i="1"/>
  <c r="T292" i="1"/>
  <c r="V291" i="1"/>
  <c r="U292" i="1"/>
  <c r="W292" i="1"/>
  <c r="X292" i="1"/>
  <c r="AB292" i="1"/>
  <c r="L293" i="1"/>
  <c r="K293" i="1"/>
  <c r="M293" i="1"/>
  <c r="O293" i="1"/>
  <c r="Q293" i="1"/>
  <c r="P293" i="1"/>
  <c r="S293" i="1"/>
  <c r="T293" i="1"/>
  <c r="V292" i="1"/>
  <c r="U293" i="1"/>
  <c r="W293" i="1"/>
  <c r="X293" i="1"/>
  <c r="AB293" i="1"/>
  <c r="L294" i="1"/>
  <c r="K294" i="1"/>
  <c r="M294" i="1"/>
  <c r="O294" i="1"/>
  <c r="Q294" i="1"/>
  <c r="P294" i="1"/>
  <c r="S294" i="1"/>
  <c r="T294" i="1"/>
  <c r="V293" i="1"/>
  <c r="U294" i="1"/>
  <c r="W294" i="1"/>
  <c r="X294" i="1"/>
  <c r="AB294" i="1"/>
  <c r="L295" i="1"/>
  <c r="K295" i="1"/>
  <c r="M295" i="1"/>
  <c r="O295" i="1"/>
  <c r="Q295" i="1"/>
  <c r="P295" i="1"/>
  <c r="S295" i="1"/>
  <c r="T295" i="1"/>
  <c r="V294" i="1"/>
  <c r="U295" i="1"/>
  <c r="W295" i="1"/>
  <c r="X295" i="1"/>
  <c r="AB295" i="1"/>
  <c r="L296" i="1"/>
  <c r="K296" i="1"/>
  <c r="M296" i="1"/>
  <c r="O296" i="1"/>
  <c r="Q296" i="1"/>
  <c r="P296" i="1"/>
  <c r="S296" i="1"/>
  <c r="T296" i="1"/>
  <c r="V295" i="1"/>
  <c r="U296" i="1"/>
  <c r="W296" i="1"/>
  <c r="X296" i="1"/>
  <c r="AB296" i="1"/>
  <c r="L297" i="1"/>
  <c r="K297" i="1"/>
  <c r="M297" i="1"/>
  <c r="O297" i="1"/>
  <c r="Q297" i="1"/>
  <c r="P297" i="1"/>
  <c r="S297" i="1"/>
  <c r="T297" i="1"/>
  <c r="V296" i="1"/>
  <c r="U297" i="1"/>
  <c r="W297" i="1"/>
  <c r="X297" i="1"/>
  <c r="AB297" i="1"/>
  <c r="L298" i="1"/>
  <c r="K298" i="1"/>
  <c r="M298" i="1"/>
  <c r="O298" i="1"/>
  <c r="Q298" i="1"/>
  <c r="P298" i="1"/>
  <c r="S298" i="1"/>
  <c r="T298" i="1"/>
  <c r="V297" i="1"/>
  <c r="U298" i="1"/>
  <c r="W298" i="1"/>
  <c r="X298" i="1"/>
  <c r="AB298" i="1"/>
  <c r="L299" i="1"/>
  <c r="K299" i="1"/>
  <c r="M299" i="1"/>
  <c r="O299" i="1"/>
  <c r="Q299" i="1"/>
  <c r="P299" i="1"/>
  <c r="S299" i="1"/>
  <c r="T299" i="1"/>
  <c r="V298" i="1"/>
  <c r="U299" i="1"/>
  <c r="W299" i="1"/>
  <c r="X299" i="1"/>
  <c r="AB299" i="1"/>
  <c r="L300" i="1"/>
  <c r="K300" i="1"/>
  <c r="M300" i="1"/>
  <c r="O300" i="1"/>
  <c r="Q300" i="1"/>
  <c r="P300" i="1"/>
  <c r="S300" i="1"/>
  <c r="T300" i="1"/>
  <c r="V299" i="1"/>
  <c r="U300" i="1"/>
  <c r="W300" i="1"/>
  <c r="X300" i="1"/>
  <c r="AB300" i="1"/>
  <c r="L301" i="1"/>
  <c r="K301" i="1"/>
  <c r="M301" i="1"/>
  <c r="O301" i="1"/>
  <c r="Q301" i="1"/>
  <c r="P301" i="1"/>
  <c r="S301" i="1"/>
  <c r="T301" i="1"/>
  <c r="V300" i="1"/>
  <c r="U301" i="1"/>
  <c r="W301" i="1"/>
  <c r="X301" i="1"/>
  <c r="AB301" i="1"/>
  <c r="L302" i="1"/>
  <c r="K302" i="1"/>
  <c r="M302" i="1"/>
  <c r="O302" i="1"/>
  <c r="Q302" i="1"/>
  <c r="P302" i="1"/>
  <c r="S302" i="1"/>
  <c r="J302" i="1"/>
  <c r="N302" i="1"/>
  <c r="T302" i="1"/>
  <c r="V301" i="1"/>
  <c r="U302" i="1"/>
  <c r="W302" i="1"/>
  <c r="X302" i="1"/>
  <c r="AB302" i="1"/>
  <c r="L303" i="1"/>
  <c r="K303" i="1"/>
  <c r="M303" i="1"/>
  <c r="O303" i="1"/>
  <c r="Q303" i="1"/>
  <c r="P303" i="1"/>
  <c r="S303" i="1"/>
  <c r="T303" i="1"/>
  <c r="V302" i="1"/>
  <c r="U303" i="1"/>
  <c r="W303" i="1"/>
  <c r="X303" i="1"/>
  <c r="AB303" i="1"/>
  <c r="L304" i="1"/>
  <c r="K304" i="1"/>
  <c r="M304" i="1"/>
  <c r="O304" i="1"/>
  <c r="Q304" i="1"/>
  <c r="P304" i="1"/>
  <c r="S304" i="1"/>
  <c r="T304" i="1"/>
  <c r="V303" i="1"/>
  <c r="U304" i="1"/>
  <c r="W304" i="1"/>
  <c r="X304" i="1"/>
  <c r="AB304" i="1"/>
  <c r="L305" i="1"/>
  <c r="K305" i="1"/>
  <c r="M305" i="1"/>
  <c r="O305" i="1"/>
  <c r="Q305" i="1"/>
  <c r="P305" i="1"/>
  <c r="S305" i="1"/>
  <c r="T305" i="1"/>
  <c r="V304" i="1"/>
  <c r="U305" i="1"/>
  <c r="W305" i="1"/>
  <c r="X305" i="1"/>
  <c r="AB305" i="1"/>
  <c r="L306" i="1"/>
  <c r="K306" i="1"/>
  <c r="M306" i="1"/>
  <c r="O306" i="1"/>
  <c r="Q306" i="1"/>
  <c r="P306" i="1"/>
  <c r="S306" i="1"/>
  <c r="T306" i="1"/>
  <c r="V305" i="1"/>
  <c r="U306" i="1"/>
  <c r="W306" i="1"/>
  <c r="X306" i="1"/>
  <c r="AB306" i="1"/>
  <c r="L307" i="1"/>
  <c r="K307" i="1"/>
  <c r="M307" i="1"/>
  <c r="O307" i="1"/>
  <c r="Q307" i="1"/>
  <c r="P307" i="1"/>
  <c r="S307" i="1"/>
  <c r="T307" i="1"/>
  <c r="V306" i="1"/>
  <c r="U307" i="1"/>
  <c r="W307" i="1"/>
  <c r="X307" i="1"/>
  <c r="AB307" i="1"/>
  <c r="L308" i="1"/>
  <c r="K308" i="1"/>
  <c r="M308" i="1"/>
  <c r="O308" i="1"/>
  <c r="Q308" i="1"/>
  <c r="P308" i="1"/>
  <c r="S308" i="1"/>
  <c r="T308" i="1"/>
  <c r="V307" i="1"/>
  <c r="U308" i="1"/>
  <c r="W308" i="1"/>
  <c r="X308" i="1"/>
  <c r="AB308" i="1"/>
  <c r="L309" i="1"/>
  <c r="K309" i="1"/>
  <c r="M309" i="1"/>
  <c r="O309" i="1"/>
  <c r="Q309" i="1"/>
  <c r="P309" i="1"/>
  <c r="S309" i="1"/>
  <c r="T309" i="1"/>
  <c r="V308" i="1"/>
  <c r="U309" i="1"/>
  <c r="W309" i="1"/>
  <c r="X309" i="1"/>
  <c r="AB309" i="1"/>
  <c r="L310" i="1"/>
  <c r="K310" i="1"/>
  <c r="M310" i="1"/>
  <c r="O310" i="1"/>
  <c r="Q310" i="1"/>
  <c r="P310" i="1"/>
  <c r="S310" i="1"/>
  <c r="T310" i="1"/>
  <c r="V309" i="1"/>
  <c r="U310" i="1"/>
  <c r="W310" i="1"/>
  <c r="X310" i="1"/>
  <c r="AB310" i="1"/>
  <c r="L311" i="1"/>
  <c r="K311" i="1"/>
  <c r="M311" i="1"/>
  <c r="O311" i="1"/>
  <c r="Q311" i="1"/>
  <c r="P311" i="1"/>
  <c r="S311" i="1"/>
  <c r="T311" i="1"/>
  <c r="V310" i="1"/>
  <c r="U311" i="1"/>
  <c r="W311" i="1"/>
  <c r="X311" i="1"/>
  <c r="AB311" i="1"/>
  <c r="L312" i="1"/>
  <c r="K312" i="1"/>
  <c r="M312" i="1"/>
  <c r="O312" i="1"/>
  <c r="Q312" i="1"/>
  <c r="P312" i="1"/>
  <c r="S312" i="1"/>
  <c r="T312" i="1"/>
  <c r="V311" i="1"/>
  <c r="U312" i="1"/>
  <c r="W312" i="1"/>
  <c r="X312" i="1"/>
  <c r="AB312" i="1"/>
  <c r="L313" i="1"/>
  <c r="K313" i="1"/>
  <c r="M313" i="1"/>
  <c r="O313" i="1"/>
  <c r="Q313" i="1"/>
  <c r="P313" i="1"/>
  <c r="S313" i="1"/>
  <c r="T313" i="1"/>
  <c r="V312" i="1"/>
  <c r="U313" i="1"/>
  <c r="W313" i="1"/>
  <c r="X313" i="1"/>
  <c r="AB313" i="1"/>
  <c r="L314" i="1"/>
  <c r="K314" i="1"/>
  <c r="M314" i="1"/>
  <c r="O314" i="1"/>
  <c r="Q314" i="1"/>
  <c r="P314" i="1"/>
  <c r="S314" i="1"/>
  <c r="T314" i="1"/>
  <c r="V313" i="1"/>
  <c r="U314" i="1"/>
  <c r="W314" i="1"/>
  <c r="X314" i="1"/>
  <c r="AB314" i="1"/>
  <c r="L315" i="1"/>
  <c r="K315" i="1"/>
  <c r="M315" i="1"/>
  <c r="O315" i="1"/>
  <c r="Q315" i="1"/>
  <c r="P315" i="1"/>
  <c r="S315" i="1"/>
  <c r="T315" i="1"/>
  <c r="V314" i="1"/>
  <c r="U315" i="1"/>
  <c r="W315" i="1"/>
  <c r="X315" i="1"/>
  <c r="AB315" i="1"/>
  <c r="L316" i="1"/>
  <c r="K316" i="1"/>
  <c r="M316" i="1"/>
  <c r="O316" i="1"/>
  <c r="Q316" i="1"/>
  <c r="P316" i="1"/>
  <c r="S316" i="1"/>
  <c r="T316" i="1"/>
  <c r="V315" i="1"/>
  <c r="U316" i="1"/>
  <c r="W316" i="1"/>
  <c r="X316" i="1"/>
  <c r="AB316" i="1"/>
  <c r="L317" i="1"/>
  <c r="K317" i="1"/>
  <c r="M317" i="1"/>
  <c r="O317" i="1"/>
  <c r="Q317" i="1"/>
  <c r="P317" i="1"/>
  <c r="S317" i="1"/>
  <c r="T317" i="1"/>
  <c r="V316" i="1"/>
  <c r="U317" i="1"/>
  <c r="W317" i="1"/>
  <c r="X317" i="1"/>
  <c r="AB317" i="1"/>
  <c r="L318" i="1"/>
  <c r="K318" i="1"/>
  <c r="M318" i="1"/>
  <c r="O318" i="1"/>
  <c r="Q318" i="1"/>
  <c r="P318" i="1"/>
  <c r="S318" i="1"/>
  <c r="T318" i="1"/>
  <c r="V317" i="1"/>
  <c r="U318" i="1"/>
  <c r="W318" i="1"/>
  <c r="X318" i="1"/>
  <c r="AB318" i="1"/>
  <c r="L319" i="1"/>
  <c r="K319" i="1"/>
  <c r="M319" i="1"/>
  <c r="O319" i="1"/>
  <c r="Q319" i="1"/>
  <c r="P319" i="1"/>
  <c r="S319" i="1"/>
  <c r="T319" i="1"/>
  <c r="V318" i="1"/>
  <c r="U319" i="1"/>
  <c r="W319" i="1"/>
  <c r="X319" i="1"/>
  <c r="AB319" i="1"/>
  <c r="L320" i="1"/>
  <c r="K320" i="1"/>
  <c r="M320" i="1"/>
  <c r="O320" i="1"/>
  <c r="Q320" i="1"/>
  <c r="P320" i="1"/>
  <c r="S320" i="1"/>
  <c r="T320" i="1"/>
  <c r="V319" i="1"/>
  <c r="U320" i="1"/>
  <c r="W320" i="1"/>
  <c r="X320" i="1"/>
  <c r="AB320" i="1"/>
  <c r="L321" i="1"/>
  <c r="K321" i="1"/>
  <c r="M321" i="1"/>
  <c r="O321" i="1"/>
  <c r="Q321" i="1"/>
  <c r="P321" i="1"/>
  <c r="S321" i="1"/>
  <c r="T321" i="1"/>
  <c r="V320" i="1"/>
  <c r="U321" i="1"/>
  <c r="W321" i="1"/>
  <c r="X321" i="1"/>
  <c r="AB321" i="1"/>
  <c r="L322" i="1"/>
  <c r="K322" i="1"/>
  <c r="M322" i="1"/>
  <c r="O322" i="1"/>
  <c r="Q322" i="1"/>
  <c r="P322" i="1"/>
  <c r="S322" i="1"/>
  <c r="T322" i="1"/>
  <c r="V321" i="1"/>
  <c r="U322" i="1"/>
  <c r="W322" i="1"/>
  <c r="X322" i="1"/>
  <c r="AB322" i="1"/>
  <c r="L323" i="1"/>
  <c r="K323" i="1"/>
  <c r="M323" i="1"/>
  <c r="O323" i="1"/>
  <c r="Q323" i="1"/>
  <c r="P323" i="1"/>
  <c r="S323" i="1"/>
  <c r="T323" i="1"/>
  <c r="V322" i="1"/>
  <c r="U323" i="1"/>
  <c r="W323" i="1"/>
  <c r="X323" i="1"/>
  <c r="AB323" i="1"/>
  <c r="L324" i="1"/>
  <c r="K324" i="1"/>
  <c r="M324" i="1"/>
  <c r="O324" i="1"/>
  <c r="Q324" i="1"/>
  <c r="P324" i="1"/>
  <c r="S324" i="1"/>
  <c r="T324" i="1"/>
  <c r="V323" i="1"/>
  <c r="U324" i="1"/>
  <c r="W324" i="1"/>
  <c r="X324" i="1"/>
  <c r="AB324" i="1"/>
  <c r="L325" i="1"/>
  <c r="K325" i="1"/>
  <c r="M325" i="1"/>
  <c r="O325" i="1"/>
  <c r="Q325" i="1"/>
  <c r="P325" i="1"/>
  <c r="S325" i="1"/>
  <c r="T325" i="1"/>
  <c r="V324" i="1"/>
  <c r="U325" i="1"/>
  <c r="W325" i="1"/>
  <c r="X325" i="1"/>
  <c r="AB325" i="1"/>
  <c r="L326" i="1"/>
  <c r="K326" i="1"/>
  <c r="M326" i="1"/>
  <c r="O326" i="1"/>
  <c r="Q326" i="1"/>
  <c r="P326" i="1"/>
  <c r="S326" i="1"/>
  <c r="T326" i="1"/>
  <c r="V325" i="1"/>
  <c r="U326" i="1"/>
  <c r="W326" i="1"/>
  <c r="X326" i="1"/>
  <c r="AB326" i="1"/>
  <c r="L327" i="1"/>
  <c r="K327" i="1"/>
  <c r="M327" i="1"/>
  <c r="O327" i="1"/>
  <c r="Q327" i="1"/>
  <c r="P327" i="1"/>
  <c r="S327" i="1"/>
  <c r="T327" i="1"/>
  <c r="V326" i="1"/>
  <c r="U327" i="1"/>
  <c r="W327" i="1"/>
  <c r="X327" i="1"/>
  <c r="AB327" i="1"/>
  <c r="L328" i="1"/>
  <c r="K328" i="1"/>
  <c r="M328" i="1"/>
  <c r="O328" i="1"/>
  <c r="Q328" i="1"/>
  <c r="P328" i="1"/>
  <c r="S328" i="1"/>
  <c r="T328" i="1"/>
  <c r="V327" i="1"/>
  <c r="U328" i="1"/>
  <c r="W328" i="1"/>
  <c r="X328" i="1"/>
  <c r="AB328" i="1"/>
  <c r="L329" i="1"/>
  <c r="K329" i="1"/>
  <c r="M329" i="1"/>
  <c r="O329" i="1"/>
  <c r="Q329" i="1"/>
  <c r="P329" i="1"/>
  <c r="S329" i="1"/>
  <c r="T329" i="1"/>
  <c r="V328" i="1"/>
  <c r="U329" i="1"/>
  <c r="W329" i="1"/>
  <c r="X329" i="1"/>
  <c r="AB329" i="1"/>
  <c r="L330" i="1"/>
  <c r="K330" i="1"/>
  <c r="M330" i="1"/>
  <c r="O330" i="1"/>
  <c r="Q330" i="1"/>
  <c r="P330" i="1"/>
  <c r="S330" i="1"/>
  <c r="T330" i="1"/>
  <c r="V329" i="1"/>
  <c r="U330" i="1"/>
  <c r="W330" i="1"/>
  <c r="X330" i="1"/>
  <c r="AB330" i="1"/>
  <c r="L331" i="1"/>
  <c r="K331" i="1"/>
  <c r="M331" i="1"/>
  <c r="O331" i="1"/>
  <c r="Q331" i="1"/>
  <c r="P331" i="1"/>
  <c r="S331" i="1"/>
  <c r="T331" i="1"/>
  <c r="V330" i="1"/>
  <c r="U331" i="1"/>
  <c r="W331" i="1"/>
  <c r="X331" i="1"/>
  <c r="AB331" i="1"/>
  <c r="L332" i="1"/>
  <c r="K332" i="1"/>
  <c r="M332" i="1"/>
  <c r="O332" i="1"/>
  <c r="Q332" i="1"/>
  <c r="P332" i="1"/>
  <c r="S332" i="1"/>
  <c r="T332" i="1"/>
  <c r="V331" i="1"/>
  <c r="U332" i="1"/>
  <c r="W332" i="1"/>
  <c r="X332" i="1"/>
  <c r="AB332" i="1"/>
  <c r="L333" i="1"/>
  <c r="K333" i="1"/>
  <c r="M333" i="1"/>
  <c r="O333" i="1"/>
  <c r="Q333" i="1"/>
  <c r="P333" i="1"/>
  <c r="S333" i="1"/>
  <c r="T333" i="1"/>
  <c r="V332" i="1"/>
  <c r="U333" i="1"/>
  <c r="W333" i="1"/>
  <c r="X333" i="1"/>
  <c r="AB333" i="1"/>
  <c r="L334" i="1"/>
  <c r="K334" i="1"/>
  <c r="M334" i="1"/>
  <c r="O334" i="1"/>
  <c r="Q334" i="1"/>
  <c r="P334" i="1"/>
  <c r="S334" i="1"/>
  <c r="T334" i="1"/>
  <c r="V333" i="1"/>
  <c r="U334" i="1"/>
  <c r="W334" i="1"/>
  <c r="X334" i="1"/>
  <c r="AB334" i="1"/>
  <c r="L335" i="1"/>
  <c r="K335" i="1"/>
  <c r="M335" i="1"/>
  <c r="O335" i="1"/>
  <c r="Q335" i="1"/>
  <c r="P335" i="1"/>
  <c r="S335" i="1"/>
  <c r="T335" i="1"/>
  <c r="V334" i="1"/>
  <c r="U335" i="1"/>
  <c r="W335" i="1"/>
  <c r="X335" i="1"/>
  <c r="AB335" i="1"/>
  <c r="L336" i="1"/>
  <c r="K336" i="1"/>
  <c r="M336" i="1"/>
  <c r="O336" i="1"/>
  <c r="Q336" i="1"/>
  <c r="P336" i="1"/>
  <c r="S336" i="1"/>
  <c r="T336" i="1"/>
  <c r="V335" i="1"/>
  <c r="U336" i="1"/>
  <c r="W336" i="1"/>
  <c r="X336" i="1"/>
  <c r="AB336" i="1"/>
  <c r="L337" i="1"/>
  <c r="K337" i="1"/>
  <c r="M337" i="1"/>
  <c r="O337" i="1"/>
  <c r="Q337" i="1"/>
  <c r="P337" i="1"/>
  <c r="S337" i="1"/>
  <c r="T337" i="1"/>
  <c r="V336" i="1"/>
  <c r="U337" i="1"/>
  <c r="W337" i="1"/>
  <c r="X337" i="1"/>
  <c r="AB337" i="1"/>
  <c r="L338" i="1"/>
  <c r="K338" i="1"/>
  <c r="M338" i="1"/>
  <c r="O338" i="1"/>
  <c r="Q338" i="1"/>
  <c r="P338" i="1"/>
  <c r="S338" i="1"/>
  <c r="T338" i="1"/>
  <c r="V337" i="1"/>
  <c r="U338" i="1"/>
  <c r="W338" i="1"/>
  <c r="X338" i="1"/>
  <c r="AB338" i="1"/>
  <c r="L339" i="1"/>
  <c r="K339" i="1"/>
  <c r="M339" i="1"/>
  <c r="O339" i="1"/>
  <c r="Q339" i="1"/>
  <c r="P339" i="1"/>
  <c r="S339" i="1"/>
  <c r="T339" i="1"/>
  <c r="V338" i="1"/>
  <c r="U339" i="1"/>
  <c r="W339" i="1"/>
  <c r="X339" i="1"/>
  <c r="AB339" i="1"/>
  <c r="L340" i="1"/>
  <c r="K340" i="1"/>
  <c r="M340" i="1"/>
  <c r="O340" i="1"/>
  <c r="Q340" i="1"/>
  <c r="P340" i="1"/>
  <c r="S340" i="1"/>
  <c r="T340" i="1"/>
  <c r="V339" i="1"/>
  <c r="U340" i="1"/>
  <c r="W340" i="1"/>
  <c r="X340" i="1"/>
  <c r="AB340" i="1"/>
  <c r="L341" i="1"/>
  <c r="K341" i="1"/>
  <c r="M341" i="1"/>
  <c r="O341" i="1"/>
  <c r="Q341" i="1"/>
  <c r="P341" i="1"/>
  <c r="S341" i="1"/>
  <c r="T341" i="1"/>
  <c r="V340" i="1"/>
  <c r="U341" i="1"/>
  <c r="W341" i="1"/>
  <c r="X341" i="1"/>
  <c r="AB341" i="1"/>
  <c r="L342" i="1"/>
  <c r="K342" i="1"/>
  <c r="M342" i="1"/>
  <c r="O342" i="1"/>
  <c r="Q342" i="1"/>
  <c r="P342" i="1"/>
  <c r="S342" i="1"/>
  <c r="T342" i="1"/>
  <c r="V341" i="1"/>
  <c r="U342" i="1"/>
  <c r="W342" i="1"/>
  <c r="X342" i="1"/>
  <c r="AB342" i="1"/>
  <c r="L343" i="1"/>
  <c r="K343" i="1"/>
  <c r="M343" i="1"/>
  <c r="O343" i="1"/>
  <c r="Q343" i="1"/>
  <c r="P343" i="1"/>
  <c r="S343" i="1"/>
  <c r="T343" i="1"/>
  <c r="V342" i="1"/>
  <c r="U343" i="1"/>
  <c r="W343" i="1"/>
  <c r="X343" i="1"/>
  <c r="AB343" i="1"/>
  <c r="L344" i="1"/>
  <c r="K344" i="1"/>
  <c r="M344" i="1"/>
  <c r="O344" i="1"/>
  <c r="Q344" i="1"/>
  <c r="P344" i="1"/>
  <c r="S344" i="1"/>
  <c r="T344" i="1"/>
  <c r="V343" i="1"/>
  <c r="U344" i="1"/>
  <c r="W344" i="1"/>
  <c r="X344" i="1"/>
  <c r="AB344" i="1"/>
  <c r="L345" i="1"/>
  <c r="K345" i="1"/>
  <c r="M345" i="1"/>
  <c r="O345" i="1"/>
  <c r="Q345" i="1"/>
  <c r="P345" i="1"/>
  <c r="S345" i="1"/>
  <c r="T345" i="1"/>
  <c r="V344" i="1"/>
  <c r="U345" i="1"/>
  <c r="W345" i="1"/>
  <c r="X345" i="1"/>
  <c r="AB345" i="1"/>
  <c r="L346" i="1"/>
  <c r="K346" i="1"/>
  <c r="M346" i="1"/>
  <c r="O346" i="1"/>
  <c r="Q346" i="1"/>
  <c r="P346" i="1"/>
  <c r="S346" i="1"/>
  <c r="T346" i="1"/>
  <c r="V345" i="1"/>
  <c r="U346" i="1"/>
  <c r="W346" i="1"/>
  <c r="X346" i="1"/>
  <c r="AB346" i="1"/>
  <c r="L347" i="1"/>
  <c r="K347" i="1"/>
  <c r="M347" i="1"/>
  <c r="O347" i="1"/>
  <c r="Q347" i="1"/>
  <c r="P347" i="1"/>
  <c r="S347" i="1"/>
  <c r="T347" i="1"/>
  <c r="V346" i="1"/>
  <c r="U347" i="1"/>
  <c r="W347" i="1"/>
  <c r="X347" i="1"/>
  <c r="AB347" i="1"/>
  <c r="L348" i="1"/>
  <c r="K348" i="1"/>
  <c r="M348" i="1"/>
  <c r="O348" i="1"/>
  <c r="Q348" i="1"/>
  <c r="P348" i="1"/>
  <c r="S348" i="1"/>
  <c r="J348" i="1"/>
  <c r="N348" i="1"/>
  <c r="T348" i="1"/>
  <c r="V347" i="1"/>
  <c r="U348" i="1"/>
  <c r="W348" i="1"/>
  <c r="X348" i="1"/>
  <c r="AB348" i="1"/>
  <c r="L349" i="1"/>
  <c r="K349" i="1"/>
  <c r="M349" i="1"/>
  <c r="O349" i="1"/>
  <c r="Q349" i="1"/>
  <c r="P349" i="1"/>
  <c r="S349" i="1"/>
  <c r="T349" i="1"/>
  <c r="V348" i="1"/>
  <c r="U349" i="1"/>
  <c r="W349" i="1"/>
  <c r="X349" i="1"/>
  <c r="AB349" i="1"/>
  <c r="L350" i="1"/>
  <c r="K350" i="1"/>
  <c r="M350" i="1"/>
  <c r="O350" i="1"/>
  <c r="Q350" i="1"/>
  <c r="P350" i="1"/>
  <c r="S350" i="1"/>
  <c r="T350" i="1"/>
  <c r="V349" i="1"/>
  <c r="U350" i="1"/>
  <c r="W350" i="1"/>
  <c r="X350" i="1"/>
  <c r="AB350" i="1"/>
  <c r="L351" i="1"/>
  <c r="K351" i="1"/>
  <c r="M351" i="1"/>
  <c r="O351" i="1"/>
  <c r="Q351" i="1"/>
  <c r="P351" i="1"/>
  <c r="S351" i="1"/>
  <c r="T351" i="1"/>
  <c r="V350" i="1"/>
  <c r="U351" i="1"/>
  <c r="W351" i="1"/>
  <c r="X351" i="1"/>
  <c r="AB351" i="1"/>
  <c r="L352" i="1"/>
  <c r="K352" i="1"/>
  <c r="M352" i="1"/>
  <c r="O352" i="1"/>
  <c r="Q352" i="1"/>
  <c r="P352" i="1"/>
  <c r="S352" i="1"/>
  <c r="T352" i="1"/>
  <c r="V351" i="1"/>
  <c r="U352" i="1"/>
  <c r="W352" i="1"/>
  <c r="X352" i="1"/>
  <c r="AB352" i="1"/>
  <c r="L353" i="1"/>
  <c r="K353" i="1"/>
  <c r="M353" i="1"/>
  <c r="O353" i="1"/>
  <c r="Q353" i="1"/>
  <c r="P353" i="1"/>
  <c r="S353" i="1"/>
  <c r="T353" i="1"/>
  <c r="V352" i="1"/>
  <c r="U353" i="1"/>
  <c r="W353" i="1"/>
  <c r="X353" i="1"/>
  <c r="AB353" i="1"/>
  <c r="L354" i="1"/>
  <c r="K354" i="1"/>
  <c r="M354" i="1"/>
  <c r="O354" i="1"/>
  <c r="Q354" i="1"/>
  <c r="P354" i="1"/>
  <c r="S354" i="1"/>
  <c r="T354" i="1"/>
  <c r="V353" i="1"/>
  <c r="U354" i="1"/>
  <c r="W354" i="1"/>
  <c r="X354" i="1"/>
  <c r="AB354" i="1"/>
  <c r="L355" i="1"/>
  <c r="K355" i="1"/>
  <c r="M355" i="1"/>
  <c r="O355" i="1"/>
  <c r="Q355" i="1"/>
  <c r="P355" i="1"/>
  <c r="S355" i="1"/>
  <c r="T355" i="1"/>
  <c r="V354" i="1"/>
  <c r="U355" i="1"/>
  <c r="W355" i="1"/>
  <c r="X355" i="1"/>
  <c r="AB355" i="1"/>
  <c r="L356" i="1"/>
  <c r="K356" i="1"/>
  <c r="M356" i="1"/>
  <c r="O356" i="1"/>
  <c r="Q356" i="1"/>
  <c r="P356" i="1"/>
  <c r="S356" i="1"/>
  <c r="T356" i="1"/>
  <c r="V355" i="1"/>
  <c r="U356" i="1"/>
  <c r="W356" i="1"/>
  <c r="X356" i="1"/>
  <c r="AB356" i="1"/>
  <c r="L357" i="1"/>
  <c r="K357" i="1"/>
  <c r="M357" i="1"/>
  <c r="O357" i="1"/>
  <c r="Q357" i="1"/>
  <c r="P357" i="1"/>
  <c r="S357" i="1"/>
  <c r="T357" i="1"/>
  <c r="V356" i="1"/>
  <c r="U357" i="1"/>
  <c r="W357" i="1"/>
  <c r="X357" i="1"/>
  <c r="AB357" i="1"/>
  <c r="L358" i="1"/>
  <c r="K358" i="1"/>
  <c r="M358" i="1"/>
  <c r="O358" i="1"/>
  <c r="Q358" i="1"/>
  <c r="P358" i="1"/>
  <c r="S358" i="1"/>
  <c r="T358" i="1"/>
  <c r="V357" i="1"/>
  <c r="U358" i="1"/>
  <c r="W358" i="1"/>
  <c r="X358" i="1"/>
  <c r="AB358" i="1"/>
  <c r="L359" i="1"/>
  <c r="K359" i="1"/>
  <c r="M359" i="1"/>
  <c r="O359" i="1"/>
  <c r="Q359" i="1"/>
  <c r="P359" i="1"/>
  <c r="S359" i="1"/>
  <c r="T359" i="1"/>
  <c r="V358" i="1"/>
  <c r="U359" i="1"/>
  <c r="W359" i="1"/>
  <c r="X359" i="1"/>
  <c r="AB359" i="1"/>
  <c r="L360" i="1"/>
  <c r="K360" i="1"/>
  <c r="M360" i="1"/>
  <c r="O360" i="1"/>
  <c r="Q360" i="1"/>
  <c r="P360" i="1"/>
  <c r="S360" i="1"/>
  <c r="T360" i="1"/>
  <c r="V359" i="1"/>
  <c r="U360" i="1"/>
  <c r="W360" i="1"/>
  <c r="X360" i="1"/>
  <c r="AB360" i="1"/>
  <c r="L361" i="1"/>
  <c r="K361" i="1"/>
  <c r="M361" i="1"/>
  <c r="O361" i="1"/>
  <c r="Q361" i="1"/>
  <c r="P361" i="1"/>
  <c r="S361" i="1"/>
  <c r="T361" i="1"/>
  <c r="V360" i="1"/>
  <c r="U361" i="1"/>
  <c r="W361" i="1"/>
  <c r="X361" i="1"/>
  <c r="AB361" i="1"/>
  <c r="L362" i="1"/>
  <c r="K362" i="1"/>
  <c r="M362" i="1"/>
  <c r="O362" i="1"/>
  <c r="Q362" i="1"/>
  <c r="P362" i="1"/>
  <c r="S362" i="1"/>
  <c r="T362" i="1"/>
  <c r="V361" i="1"/>
  <c r="U362" i="1"/>
  <c r="W362" i="1"/>
  <c r="X362" i="1"/>
  <c r="AB362" i="1"/>
  <c r="L363" i="1"/>
  <c r="K363" i="1"/>
  <c r="M363" i="1"/>
  <c r="O363" i="1"/>
  <c r="Q363" i="1"/>
  <c r="P363" i="1"/>
  <c r="S363" i="1"/>
  <c r="T363" i="1"/>
  <c r="V362" i="1"/>
  <c r="U363" i="1"/>
  <c r="W363" i="1"/>
  <c r="X363" i="1"/>
  <c r="AB363" i="1"/>
  <c r="L364" i="1"/>
  <c r="K364" i="1"/>
  <c r="M364" i="1"/>
  <c r="O364" i="1"/>
  <c r="Q364" i="1"/>
  <c r="P364" i="1"/>
  <c r="S364" i="1"/>
  <c r="T364" i="1"/>
  <c r="V363" i="1"/>
  <c r="U364" i="1"/>
  <c r="W364" i="1"/>
  <c r="X364" i="1"/>
  <c r="AB364" i="1"/>
  <c r="L365" i="1"/>
  <c r="K365" i="1"/>
  <c r="M365" i="1"/>
  <c r="O365" i="1"/>
  <c r="Q365" i="1"/>
  <c r="P365" i="1"/>
  <c r="S365" i="1"/>
  <c r="T365" i="1"/>
  <c r="V364" i="1"/>
  <c r="U365" i="1"/>
  <c r="W365" i="1"/>
  <c r="X365" i="1"/>
  <c r="AB365" i="1"/>
  <c r="L366" i="1"/>
  <c r="K366" i="1"/>
  <c r="M366" i="1"/>
  <c r="O366" i="1"/>
  <c r="Q366" i="1"/>
  <c r="P366" i="1"/>
  <c r="S366" i="1"/>
  <c r="T366" i="1"/>
  <c r="V365" i="1"/>
  <c r="U366" i="1"/>
  <c r="W366" i="1"/>
  <c r="X366" i="1"/>
  <c r="AB366" i="1"/>
  <c r="L367" i="1"/>
  <c r="K367" i="1"/>
  <c r="M367" i="1"/>
  <c r="O367" i="1"/>
  <c r="Q367" i="1"/>
  <c r="P367" i="1"/>
  <c r="S367" i="1"/>
  <c r="T367" i="1"/>
  <c r="V366" i="1"/>
  <c r="U367" i="1"/>
  <c r="W367" i="1"/>
  <c r="X367" i="1"/>
  <c r="AB367" i="1"/>
  <c r="L368" i="1"/>
  <c r="K368" i="1"/>
  <c r="M368" i="1"/>
  <c r="O368" i="1"/>
  <c r="Q368" i="1"/>
  <c r="P368" i="1"/>
  <c r="S368" i="1"/>
  <c r="T368" i="1"/>
  <c r="V367" i="1"/>
  <c r="U368" i="1"/>
  <c r="W368" i="1"/>
  <c r="X368" i="1"/>
  <c r="AB368" i="1"/>
  <c r="L369" i="1"/>
  <c r="K369" i="1"/>
  <c r="M369" i="1"/>
  <c r="O369" i="1"/>
  <c r="Q369" i="1"/>
  <c r="P369" i="1"/>
  <c r="S369" i="1"/>
  <c r="T369" i="1"/>
  <c r="V368" i="1"/>
  <c r="U369" i="1"/>
  <c r="W369" i="1"/>
  <c r="X369" i="1"/>
  <c r="AB369" i="1"/>
  <c r="L370" i="1"/>
  <c r="K370" i="1"/>
  <c r="M370" i="1"/>
  <c r="O370" i="1"/>
  <c r="Q370" i="1"/>
  <c r="P370" i="1"/>
  <c r="S370" i="1"/>
  <c r="T370" i="1"/>
  <c r="V369" i="1"/>
  <c r="U370" i="1"/>
  <c r="W370" i="1"/>
  <c r="X370" i="1"/>
  <c r="AB370" i="1"/>
  <c r="L371" i="1"/>
  <c r="K371" i="1"/>
  <c r="M371" i="1"/>
  <c r="O371" i="1"/>
  <c r="Q371" i="1"/>
  <c r="P371" i="1"/>
  <c r="S371" i="1"/>
  <c r="T371" i="1"/>
  <c r="V370" i="1"/>
  <c r="U371" i="1"/>
  <c r="W371" i="1"/>
  <c r="X371" i="1"/>
  <c r="AB371" i="1"/>
  <c r="L372" i="1"/>
  <c r="K372" i="1"/>
  <c r="M372" i="1"/>
  <c r="O372" i="1"/>
  <c r="Q372" i="1"/>
  <c r="P372" i="1"/>
  <c r="S372" i="1"/>
  <c r="T372" i="1"/>
  <c r="V371" i="1"/>
  <c r="U372" i="1"/>
  <c r="W372" i="1"/>
  <c r="X372" i="1"/>
  <c r="AB372" i="1"/>
  <c r="L373" i="1"/>
  <c r="K373" i="1"/>
  <c r="M373" i="1"/>
  <c r="O373" i="1"/>
  <c r="Q373" i="1"/>
  <c r="P373" i="1"/>
  <c r="S373" i="1"/>
  <c r="T373" i="1"/>
  <c r="V372" i="1"/>
  <c r="U373" i="1"/>
  <c r="W373" i="1"/>
  <c r="X373" i="1"/>
  <c r="AB373" i="1"/>
  <c r="L374" i="1"/>
  <c r="K374" i="1"/>
  <c r="M374" i="1"/>
  <c r="O374" i="1"/>
  <c r="Q374" i="1"/>
  <c r="P374" i="1"/>
  <c r="S374" i="1"/>
  <c r="T374" i="1"/>
  <c r="V373" i="1"/>
  <c r="U374" i="1"/>
  <c r="W374" i="1"/>
  <c r="X374" i="1"/>
  <c r="AB374" i="1"/>
  <c r="L375" i="1"/>
  <c r="K375" i="1"/>
  <c r="M375" i="1"/>
  <c r="O375" i="1"/>
  <c r="Q375" i="1"/>
  <c r="P375" i="1"/>
  <c r="S375" i="1"/>
  <c r="T375" i="1"/>
  <c r="V374" i="1"/>
  <c r="U375" i="1"/>
  <c r="W375" i="1"/>
  <c r="X375" i="1"/>
  <c r="AB375" i="1"/>
  <c r="L376" i="1"/>
  <c r="K376" i="1"/>
  <c r="M376" i="1"/>
  <c r="O376" i="1"/>
  <c r="Q376" i="1"/>
  <c r="P376" i="1"/>
  <c r="S376" i="1"/>
  <c r="T376" i="1"/>
  <c r="V375" i="1"/>
  <c r="U376" i="1"/>
  <c r="W376" i="1"/>
  <c r="X376" i="1"/>
  <c r="AB376" i="1"/>
  <c r="L377" i="1"/>
  <c r="K377" i="1"/>
  <c r="M377" i="1"/>
  <c r="O377" i="1"/>
  <c r="Q377" i="1"/>
  <c r="P377" i="1"/>
  <c r="S377" i="1"/>
  <c r="T377" i="1"/>
  <c r="V376" i="1"/>
  <c r="U377" i="1"/>
  <c r="W377" i="1"/>
  <c r="X377" i="1"/>
  <c r="AB377" i="1"/>
  <c r="L378" i="1"/>
  <c r="K378" i="1"/>
  <c r="M378" i="1"/>
  <c r="O378" i="1"/>
  <c r="Q378" i="1"/>
  <c r="P378" i="1"/>
  <c r="S378" i="1"/>
  <c r="T378" i="1"/>
  <c r="V377" i="1"/>
  <c r="U378" i="1"/>
  <c r="W378" i="1"/>
  <c r="X378" i="1"/>
  <c r="AB378" i="1"/>
  <c r="L379" i="1"/>
  <c r="K379" i="1"/>
  <c r="M379" i="1"/>
  <c r="O379" i="1"/>
  <c r="Q379" i="1"/>
  <c r="P379" i="1"/>
  <c r="S379" i="1"/>
  <c r="T379" i="1"/>
  <c r="V378" i="1"/>
  <c r="U379" i="1"/>
  <c r="W379" i="1"/>
  <c r="X379" i="1"/>
  <c r="AB379" i="1"/>
  <c r="L380" i="1"/>
  <c r="K380" i="1"/>
  <c r="M380" i="1"/>
  <c r="O380" i="1"/>
  <c r="Q380" i="1"/>
  <c r="P380" i="1"/>
  <c r="S380" i="1"/>
  <c r="T380" i="1"/>
  <c r="V379" i="1"/>
  <c r="U380" i="1"/>
  <c r="W380" i="1"/>
  <c r="X380" i="1"/>
  <c r="AB380" i="1"/>
  <c r="L381" i="1"/>
  <c r="K381" i="1"/>
  <c r="M381" i="1"/>
  <c r="O381" i="1"/>
  <c r="Q381" i="1"/>
  <c r="P381" i="1"/>
  <c r="S381" i="1"/>
  <c r="T381" i="1"/>
  <c r="V380" i="1"/>
  <c r="U381" i="1"/>
  <c r="W381" i="1"/>
  <c r="X381" i="1"/>
  <c r="AB381" i="1"/>
  <c r="L382" i="1"/>
  <c r="K382" i="1"/>
  <c r="M382" i="1"/>
  <c r="O382" i="1"/>
  <c r="Q382" i="1"/>
  <c r="P382" i="1"/>
  <c r="S382" i="1"/>
  <c r="T382" i="1"/>
  <c r="V381" i="1"/>
  <c r="U382" i="1"/>
  <c r="W382" i="1"/>
  <c r="X382" i="1"/>
  <c r="AB382" i="1"/>
  <c r="L383" i="1"/>
  <c r="K383" i="1"/>
  <c r="M383" i="1"/>
  <c r="O383" i="1"/>
  <c r="Q383" i="1"/>
  <c r="P383" i="1"/>
  <c r="S383" i="1"/>
  <c r="T383" i="1"/>
  <c r="V382" i="1"/>
  <c r="U383" i="1"/>
  <c r="W383" i="1"/>
  <c r="X383" i="1"/>
  <c r="AB383" i="1"/>
  <c r="L384" i="1"/>
  <c r="K384" i="1"/>
  <c r="M384" i="1"/>
  <c r="O384" i="1"/>
  <c r="Q384" i="1"/>
  <c r="P384" i="1"/>
  <c r="S384" i="1"/>
  <c r="T384" i="1"/>
  <c r="V383" i="1"/>
  <c r="U384" i="1"/>
  <c r="W384" i="1"/>
  <c r="X384" i="1"/>
  <c r="AB384" i="1"/>
  <c r="L385" i="1"/>
  <c r="K385" i="1"/>
  <c r="M385" i="1"/>
  <c r="O385" i="1"/>
  <c r="Q385" i="1"/>
  <c r="P385" i="1"/>
  <c r="S385" i="1"/>
  <c r="T385" i="1"/>
  <c r="V384" i="1"/>
  <c r="U385" i="1"/>
  <c r="W385" i="1"/>
  <c r="X385" i="1"/>
  <c r="AB385" i="1"/>
  <c r="L386" i="1"/>
  <c r="K386" i="1"/>
  <c r="M386" i="1"/>
  <c r="O386" i="1"/>
  <c r="Q386" i="1"/>
  <c r="P386" i="1"/>
  <c r="S386" i="1"/>
  <c r="T386" i="1"/>
  <c r="V385" i="1"/>
  <c r="U386" i="1"/>
  <c r="W386" i="1"/>
  <c r="X386" i="1"/>
  <c r="AB386" i="1"/>
  <c r="L387" i="1"/>
  <c r="K387" i="1"/>
  <c r="M387" i="1"/>
  <c r="O387" i="1"/>
  <c r="Q387" i="1"/>
  <c r="P387" i="1"/>
  <c r="S387" i="1"/>
  <c r="T387" i="1"/>
  <c r="V386" i="1"/>
  <c r="U387" i="1"/>
  <c r="W387" i="1"/>
  <c r="X387" i="1"/>
  <c r="AB387" i="1"/>
  <c r="L388" i="1"/>
  <c r="K388" i="1"/>
  <c r="M388" i="1"/>
  <c r="O388" i="1"/>
  <c r="Q388" i="1"/>
  <c r="P388" i="1"/>
  <c r="S388" i="1"/>
  <c r="T388" i="1"/>
  <c r="V387" i="1"/>
  <c r="U388" i="1"/>
  <c r="W388" i="1"/>
  <c r="X388" i="1"/>
  <c r="AB388" i="1"/>
  <c r="L389" i="1"/>
  <c r="K389" i="1"/>
  <c r="M389" i="1"/>
  <c r="O389" i="1"/>
  <c r="Q389" i="1"/>
  <c r="P389" i="1"/>
  <c r="S389" i="1"/>
  <c r="T389" i="1"/>
  <c r="V388" i="1"/>
  <c r="U389" i="1"/>
  <c r="W389" i="1"/>
  <c r="X389" i="1"/>
  <c r="AB389" i="1"/>
  <c r="L390" i="1"/>
  <c r="K390" i="1"/>
  <c r="M390" i="1"/>
  <c r="O390" i="1"/>
  <c r="Q390" i="1"/>
  <c r="P390" i="1"/>
  <c r="S390" i="1"/>
  <c r="T390" i="1"/>
  <c r="V389" i="1"/>
  <c r="U390" i="1"/>
  <c r="W390" i="1"/>
  <c r="X390" i="1"/>
  <c r="AB390" i="1"/>
  <c r="L391" i="1"/>
  <c r="K391" i="1"/>
  <c r="M391" i="1"/>
  <c r="O391" i="1"/>
  <c r="Q391" i="1"/>
  <c r="P391" i="1"/>
  <c r="S391" i="1"/>
  <c r="T391" i="1"/>
  <c r="V390" i="1"/>
  <c r="U391" i="1"/>
  <c r="W391" i="1"/>
  <c r="X391" i="1"/>
  <c r="AB391" i="1"/>
  <c r="L392" i="1"/>
  <c r="K392" i="1"/>
  <c r="M392" i="1"/>
  <c r="O392" i="1"/>
  <c r="Q392" i="1"/>
  <c r="P392" i="1"/>
  <c r="S392" i="1"/>
  <c r="T392" i="1"/>
  <c r="V391" i="1"/>
  <c r="U392" i="1"/>
  <c r="W392" i="1"/>
  <c r="X392" i="1"/>
  <c r="AB392" i="1"/>
  <c r="L393" i="1"/>
  <c r="K393" i="1"/>
  <c r="M393" i="1"/>
  <c r="O393" i="1"/>
  <c r="Q393" i="1"/>
  <c r="P393" i="1"/>
  <c r="S393" i="1"/>
  <c r="T393" i="1"/>
  <c r="V392" i="1"/>
  <c r="U393" i="1"/>
  <c r="W393" i="1"/>
  <c r="X393" i="1"/>
  <c r="AB393" i="1"/>
  <c r="L394" i="1"/>
  <c r="K394" i="1"/>
  <c r="M394" i="1"/>
  <c r="O394" i="1"/>
  <c r="Q394" i="1"/>
  <c r="P394" i="1"/>
  <c r="S394" i="1"/>
  <c r="T394" i="1"/>
  <c r="V393" i="1"/>
  <c r="U394" i="1"/>
  <c r="W394" i="1"/>
  <c r="X394" i="1"/>
  <c r="AB394" i="1"/>
  <c r="L395" i="1"/>
  <c r="K395" i="1"/>
  <c r="M395" i="1"/>
  <c r="O395" i="1"/>
  <c r="Q395" i="1"/>
  <c r="P395" i="1"/>
  <c r="S395" i="1"/>
  <c r="T395" i="1"/>
  <c r="V394" i="1"/>
  <c r="U395" i="1"/>
  <c r="W395" i="1"/>
  <c r="X395" i="1"/>
  <c r="AB395" i="1"/>
  <c r="L396" i="1"/>
  <c r="K396" i="1"/>
  <c r="M396" i="1"/>
  <c r="O396" i="1"/>
  <c r="Q396" i="1"/>
  <c r="P396" i="1"/>
  <c r="S396" i="1"/>
  <c r="T396" i="1"/>
  <c r="V395" i="1"/>
  <c r="U396" i="1"/>
  <c r="W396" i="1"/>
  <c r="X396" i="1"/>
  <c r="AB396" i="1"/>
  <c r="L397" i="1"/>
  <c r="K397" i="1"/>
  <c r="M397" i="1"/>
  <c r="O397" i="1"/>
  <c r="Q397" i="1"/>
  <c r="P397" i="1"/>
  <c r="S397" i="1"/>
  <c r="T397" i="1"/>
  <c r="V396" i="1"/>
  <c r="U397" i="1"/>
  <c r="W397" i="1"/>
  <c r="X397" i="1"/>
  <c r="AB397" i="1"/>
  <c r="L398" i="1"/>
  <c r="K398" i="1"/>
  <c r="M398" i="1"/>
  <c r="O398" i="1"/>
  <c r="Q398" i="1"/>
  <c r="P398" i="1"/>
  <c r="S398" i="1"/>
  <c r="T398" i="1"/>
  <c r="V397" i="1"/>
  <c r="U398" i="1"/>
  <c r="W398" i="1"/>
  <c r="X398" i="1"/>
  <c r="AB398" i="1"/>
  <c r="L399" i="1"/>
  <c r="K399" i="1"/>
  <c r="M399" i="1"/>
  <c r="O399" i="1"/>
  <c r="Q399" i="1"/>
  <c r="P399" i="1"/>
  <c r="S399" i="1"/>
  <c r="T399" i="1"/>
  <c r="V398" i="1"/>
  <c r="U399" i="1"/>
  <c r="W399" i="1"/>
  <c r="X399" i="1"/>
  <c r="AB399" i="1"/>
  <c r="L400" i="1"/>
  <c r="K400" i="1"/>
  <c r="M400" i="1"/>
  <c r="O400" i="1"/>
  <c r="Q400" i="1"/>
  <c r="P400" i="1"/>
  <c r="S400" i="1"/>
  <c r="T400" i="1"/>
  <c r="V399" i="1"/>
  <c r="U400" i="1"/>
  <c r="W400" i="1"/>
  <c r="X400" i="1"/>
  <c r="AB400" i="1"/>
  <c r="L401" i="1"/>
  <c r="K401" i="1"/>
  <c r="M401" i="1"/>
  <c r="O401" i="1"/>
  <c r="Q401" i="1"/>
  <c r="P401" i="1"/>
  <c r="S401" i="1"/>
  <c r="T401" i="1"/>
  <c r="V400" i="1"/>
  <c r="U401" i="1"/>
  <c r="W401" i="1"/>
  <c r="X401" i="1"/>
  <c r="AB401" i="1"/>
  <c r="L402" i="1"/>
  <c r="K402" i="1"/>
  <c r="M402" i="1"/>
  <c r="O402" i="1"/>
  <c r="Q402" i="1"/>
  <c r="P402" i="1"/>
  <c r="S402" i="1"/>
  <c r="T402" i="1"/>
  <c r="V401" i="1"/>
  <c r="U402" i="1"/>
  <c r="W402" i="1"/>
  <c r="X402" i="1"/>
  <c r="AB402" i="1"/>
  <c r="L403" i="1"/>
  <c r="K403" i="1"/>
  <c r="M403" i="1"/>
  <c r="O403" i="1"/>
  <c r="Q403" i="1"/>
  <c r="P403" i="1"/>
  <c r="S403" i="1"/>
  <c r="T403" i="1"/>
  <c r="V402" i="1"/>
  <c r="U403" i="1"/>
  <c r="W403" i="1"/>
  <c r="X403" i="1"/>
  <c r="AB403" i="1"/>
  <c r="L404" i="1"/>
  <c r="K404" i="1"/>
  <c r="M404" i="1"/>
  <c r="O404" i="1"/>
  <c r="Q404" i="1"/>
  <c r="P404" i="1"/>
  <c r="S404" i="1"/>
  <c r="T404" i="1"/>
  <c r="V403" i="1"/>
  <c r="U404" i="1"/>
  <c r="W404" i="1"/>
  <c r="X404" i="1"/>
  <c r="AB404" i="1"/>
  <c r="L405" i="1"/>
  <c r="K405" i="1"/>
  <c r="M405" i="1"/>
  <c r="O405" i="1"/>
  <c r="Q405" i="1"/>
  <c r="P405" i="1"/>
  <c r="S405" i="1"/>
  <c r="T405" i="1"/>
  <c r="V404" i="1"/>
  <c r="U405" i="1"/>
  <c r="W405" i="1"/>
  <c r="X405" i="1"/>
  <c r="AB405" i="1"/>
  <c r="L406" i="1"/>
  <c r="K406" i="1"/>
  <c r="M406" i="1"/>
  <c r="O406" i="1"/>
  <c r="Q406" i="1"/>
  <c r="P406" i="1"/>
  <c r="S406" i="1"/>
  <c r="T406" i="1"/>
  <c r="V405" i="1"/>
  <c r="U406" i="1"/>
  <c r="W406" i="1"/>
  <c r="X406" i="1"/>
  <c r="AB406" i="1"/>
  <c r="L407" i="1"/>
  <c r="K407" i="1"/>
  <c r="M407" i="1"/>
  <c r="O407" i="1"/>
  <c r="Q407" i="1"/>
  <c r="P407" i="1"/>
  <c r="S407" i="1"/>
  <c r="T407" i="1"/>
  <c r="V406" i="1"/>
  <c r="U407" i="1"/>
  <c r="W407" i="1"/>
  <c r="X407" i="1"/>
  <c r="AB407" i="1"/>
  <c r="L408" i="1"/>
  <c r="K408" i="1"/>
  <c r="M408" i="1"/>
  <c r="O408" i="1"/>
  <c r="Q408" i="1"/>
  <c r="P408" i="1"/>
  <c r="S408" i="1"/>
  <c r="T408" i="1"/>
  <c r="V407" i="1"/>
  <c r="U408" i="1"/>
  <c r="W408" i="1"/>
  <c r="X408" i="1"/>
  <c r="AB408" i="1"/>
  <c r="L409" i="1"/>
  <c r="K409" i="1"/>
  <c r="M409" i="1"/>
  <c r="O409" i="1"/>
  <c r="Q409" i="1"/>
  <c r="P409" i="1"/>
  <c r="S409" i="1"/>
  <c r="J409" i="1"/>
  <c r="N409" i="1"/>
  <c r="T409" i="1"/>
  <c r="V408" i="1"/>
  <c r="U409" i="1"/>
  <c r="W409" i="1"/>
  <c r="X409" i="1"/>
  <c r="AB409" i="1"/>
  <c r="L410" i="1"/>
  <c r="K410" i="1"/>
  <c r="M410" i="1"/>
  <c r="O410" i="1"/>
  <c r="Q410" i="1"/>
  <c r="P410" i="1"/>
  <c r="S410" i="1"/>
  <c r="T410" i="1"/>
  <c r="V409" i="1"/>
  <c r="U410" i="1"/>
  <c r="W410" i="1"/>
  <c r="X410" i="1"/>
  <c r="AB410" i="1"/>
  <c r="L411" i="1"/>
  <c r="K411" i="1"/>
  <c r="M411" i="1"/>
  <c r="O411" i="1"/>
  <c r="Q411" i="1"/>
  <c r="P411" i="1"/>
  <c r="S411" i="1"/>
  <c r="T411" i="1"/>
  <c r="V410" i="1"/>
  <c r="U411" i="1"/>
  <c r="W411" i="1"/>
  <c r="X411" i="1"/>
  <c r="AB411" i="1"/>
  <c r="L412" i="1"/>
  <c r="K412" i="1"/>
  <c r="M412" i="1"/>
  <c r="O412" i="1"/>
  <c r="Q412" i="1"/>
  <c r="P412" i="1"/>
  <c r="S412" i="1"/>
  <c r="T412" i="1"/>
  <c r="V411" i="1"/>
  <c r="U412" i="1"/>
  <c r="W412" i="1"/>
  <c r="X412" i="1"/>
  <c r="AB412" i="1"/>
  <c r="L413" i="1"/>
  <c r="K413" i="1"/>
  <c r="M413" i="1"/>
  <c r="O413" i="1"/>
  <c r="Q413" i="1"/>
  <c r="P413" i="1"/>
  <c r="S413" i="1"/>
  <c r="T413" i="1"/>
  <c r="V412" i="1"/>
  <c r="U413" i="1"/>
  <c r="W413" i="1"/>
  <c r="X413" i="1"/>
  <c r="AB413" i="1"/>
  <c r="L414" i="1"/>
  <c r="K414" i="1"/>
  <c r="M414" i="1"/>
  <c r="O414" i="1"/>
  <c r="Q414" i="1"/>
  <c r="P414" i="1"/>
  <c r="S414" i="1"/>
  <c r="T414" i="1"/>
  <c r="V413" i="1"/>
  <c r="U414" i="1"/>
  <c r="W414" i="1"/>
  <c r="X414" i="1"/>
  <c r="AB414" i="1"/>
  <c r="L415" i="1"/>
  <c r="K415" i="1"/>
  <c r="M415" i="1"/>
  <c r="O415" i="1"/>
  <c r="Q415" i="1"/>
  <c r="P415" i="1"/>
  <c r="S415" i="1"/>
  <c r="T415" i="1"/>
  <c r="V414" i="1"/>
  <c r="U415" i="1"/>
  <c r="W415" i="1"/>
  <c r="X415" i="1"/>
  <c r="AB415" i="1"/>
  <c r="L416" i="1"/>
  <c r="K416" i="1"/>
  <c r="M416" i="1"/>
  <c r="O416" i="1"/>
  <c r="Q416" i="1"/>
  <c r="P416" i="1"/>
  <c r="S416" i="1"/>
  <c r="T416" i="1"/>
  <c r="V415" i="1"/>
  <c r="U416" i="1"/>
  <c r="W416" i="1"/>
  <c r="X416" i="1"/>
  <c r="AB416" i="1"/>
  <c r="L417" i="1"/>
  <c r="K417" i="1"/>
  <c r="M417" i="1"/>
  <c r="O417" i="1"/>
  <c r="Q417" i="1"/>
  <c r="P417" i="1"/>
  <c r="S417" i="1"/>
  <c r="T417" i="1"/>
  <c r="V416" i="1"/>
  <c r="U417" i="1"/>
  <c r="W417" i="1"/>
  <c r="X417" i="1"/>
  <c r="AB417" i="1"/>
  <c r="L418" i="1"/>
  <c r="K418" i="1"/>
  <c r="M418" i="1"/>
  <c r="O418" i="1"/>
  <c r="Q418" i="1"/>
  <c r="P418" i="1"/>
  <c r="S418" i="1"/>
  <c r="T418" i="1"/>
  <c r="V417" i="1"/>
  <c r="U418" i="1"/>
  <c r="W418" i="1"/>
  <c r="X418" i="1"/>
  <c r="AB418" i="1"/>
  <c r="L419" i="1"/>
  <c r="K419" i="1"/>
  <c r="M419" i="1"/>
  <c r="O419" i="1"/>
  <c r="Q419" i="1"/>
  <c r="P419" i="1"/>
  <c r="S419" i="1"/>
  <c r="T419" i="1"/>
  <c r="V418" i="1"/>
  <c r="U419" i="1"/>
  <c r="W419" i="1"/>
  <c r="X419" i="1"/>
  <c r="AB419" i="1"/>
  <c r="L420" i="1"/>
  <c r="K420" i="1"/>
  <c r="M420" i="1"/>
  <c r="O420" i="1"/>
  <c r="Q420" i="1"/>
  <c r="P420" i="1"/>
  <c r="S420" i="1"/>
  <c r="T420" i="1"/>
  <c r="V419" i="1"/>
  <c r="U420" i="1"/>
  <c r="W420" i="1"/>
  <c r="X420" i="1"/>
  <c r="AB420" i="1"/>
  <c r="L421" i="1"/>
  <c r="K421" i="1"/>
  <c r="M421" i="1"/>
  <c r="O421" i="1"/>
  <c r="Q421" i="1"/>
  <c r="P421" i="1"/>
  <c r="S421" i="1"/>
  <c r="T421" i="1"/>
  <c r="V420" i="1"/>
  <c r="U421" i="1"/>
  <c r="W421" i="1"/>
  <c r="X421" i="1"/>
  <c r="AB421" i="1"/>
  <c r="L422" i="1"/>
  <c r="K422" i="1"/>
  <c r="M422" i="1"/>
  <c r="O422" i="1"/>
  <c r="Q422" i="1"/>
  <c r="P422" i="1"/>
  <c r="S422" i="1"/>
  <c r="T422" i="1"/>
  <c r="V421" i="1"/>
  <c r="U422" i="1"/>
  <c r="W422" i="1"/>
  <c r="X422" i="1"/>
  <c r="AB422" i="1"/>
  <c r="L423" i="1"/>
  <c r="K423" i="1"/>
  <c r="M423" i="1"/>
  <c r="O423" i="1"/>
  <c r="Q423" i="1"/>
  <c r="P423" i="1"/>
  <c r="S423" i="1"/>
  <c r="T423" i="1"/>
  <c r="V422" i="1"/>
  <c r="U423" i="1"/>
  <c r="W423" i="1"/>
  <c r="X423" i="1"/>
  <c r="AB423" i="1"/>
  <c r="L424" i="1"/>
  <c r="K424" i="1"/>
  <c r="M424" i="1"/>
  <c r="O424" i="1"/>
  <c r="Q424" i="1"/>
  <c r="P424" i="1"/>
  <c r="S424" i="1"/>
  <c r="T424" i="1"/>
  <c r="V423" i="1"/>
  <c r="U424" i="1"/>
  <c r="W424" i="1"/>
  <c r="X424" i="1"/>
  <c r="AB424" i="1"/>
  <c r="L425" i="1"/>
  <c r="K425" i="1"/>
  <c r="M425" i="1"/>
  <c r="O425" i="1"/>
  <c r="Q425" i="1"/>
  <c r="P425" i="1"/>
  <c r="S425" i="1"/>
  <c r="T425" i="1"/>
  <c r="V424" i="1"/>
  <c r="U425" i="1"/>
  <c r="W425" i="1"/>
  <c r="X425" i="1"/>
  <c r="AB425" i="1"/>
  <c r="L426" i="1"/>
  <c r="K426" i="1"/>
  <c r="M426" i="1"/>
  <c r="O426" i="1"/>
  <c r="Q426" i="1"/>
  <c r="P426" i="1"/>
  <c r="S426" i="1"/>
  <c r="T426" i="1"/>
  <c r="V425" i="1"/>
  <c r="U426" i="1"/>
  <c r="W426" i="1"/>
  <c r="X426" i="1"/>
  <c r="AB426" i="1"/>
  <c r="L427" i="1"/>
  <c r="K427" i="1"/>
  <c r="M427" i="1"/>
  <c r="O427" i="1"/>
  <c r="Q427" i="1"/>
  <c r="P427" i="1"/>
  <c r="S427" i="1"/>
  <c r="T427" i="1"/>
  <c r="V426" i="1"/>
  <c r="U427" i="1"/>
  <c r="W427" i="1"/>
  <c r="X427" i="1"/>
  <c r="AB427" i="1"/>
  <c r="L428" i="1"/>
  <c r="K428" i="1"/>
  <c r="M428" i="1"/>
  <c r="O428" i="1"/>
  <c r="Q428" i="1"/>
  <c r="P428" i="1"/>
  <c r="S428" i="1"/>
  <c r="T428" i="1"/>
  <c r="V427" i="1"/>
  <c r="U428" i="1"/>
  <c r="W428" i="1"/>
  <c r="X428" i="1"/>
  <c r="AB428" i="1"/>
  <c r="L429" i="1"/>
  <c r="K429" i="1"/>
  <c r="M429" i="1"/>
  <c r="O429" i="1"/>
  <c r="Q429" i="1"/>
  <c r="P429" i="1"/>
  <c r="S429" i="1"/>
  <c r="T429" i="1"/>
  <c r="V428" i="1"/>
  <c r="U429" i="1"/>
  <c r="W429" i="1"/>
  <c r="X429" i="1"/>
  <c r="AB429" i="1"/>
  <c r="L430" i="1"/>
  <c r="K430" i="1"/>
  <c r="M430" i="1"/>
  <c r="O430" i="1"/>
  <c r="Q430" i="1"/>
  <c r="P430" i="1"/>
  <c r="S430" i="1"/>
  <c r="T430" i="1"/>
  <c r="V429" i="1"/>
  <c r="U430" i="1"/>
  <c r="W430" i="1"/>
  <c r="X430" i="1"/>
  <c r="AB430" i="1"/>
  <c r="L431" i="1"/>
  <c r="K431" i="1"/>
  <c r="M431" i="1"/>
  <c r="O431" i="1"/>
  <c r="Q431" i="1"/>
  <c r="P431" i="1"/>
  <c r="S431" i="1"/>
  <c r="T431" i="1"/>
  <c r="V430" i="1"/>
  <c r="U431" i="1"/>
  <c r="W431" i="1"/>
  <c r="X431" i="1"/>
  <c r="AB431" i="1"/>
  <c r="L432" i="1"/>
  <c r="K432" i="1"/>
  <c r="M432" i="1"/>
  <c r="O432" i="1"/>
  <c r="Q432" i="1"/>
  <c r="P432" i="1"/>
  <c r="S432" i="1"/>
  <c r="T432" i="1"/>
  <c r="V431" i="1"/>
  <c r="U432" i="1"/>
  <c r="W432" i="1"/>
  <c r="X432" i="1"/>
  <c r="AB432" i="1"/>
  <c r="L433" i="1"/>
  <c r="K433" i="1"/>
  <c r="M433" i="1"/>
  <c r="O433" i="1"/>
  <c r="Q433" i="1"/>
  <c r="P433" i="1"/>
  <c r="S433" i="1"/>
  <c r="T433" i="1"/>
  <c r="V432" i="1"/>
  <c r="U433" i="1"/>
  <c r="W433" i="1"/>
  <c r="X433" i="1"/>
  <c r="AB433" i="1"/>
  <c r="L434" i="1"/>
  <c r="K434" i="1"/>
  <c r="M434" i="1"/>
  <c r="O434" i="1"/>
  <c r="Q434" i="1"/>
  <c r="P434" i="1"/>
  <c r="S434" i="1"/>
  <c r="T434" i="1"/>
  <c r="V433" i="1"/>
  <c r="U434" i="1"/>
  <c r="W434" i="1"/>
  <c r="X434" i="1"/>
  <c r="AB434" i="1"/>
  <c r="L435" i="1"/>
  <c r="K435" i="1"/>
  <c r="M435" i="1"/>
  <c r="O435" i="1"/>
  <c r="Q435" i="1"/>
  <c r="P435" i="1"/>
  <c r="S435" i="1"/>
  <c r="T435" i="1"/>
  <c r="V434" i="1"/>
  <c r="U435" i="1"/>
  <c r="W435" i="1"/>
  <c r="X435" i="1"/>
  <c r="AB435" i="1"/>
  <c r="L436" i="1"/>
  <c r="K436" i="1"/>
  <c r="M436" i="1"/>
  <c r="O436" i="1"/>
  <c r="Q436" i="1"/>
  <c r="P436" i="1"/>
  <c r="S436" i="1"/>
  <c r="T436" i="1"/>
  <c r="V435" i="1"/>
  <c r="U436" i="1"/>
  <c r="W436" i="1"/>
  <c r="X436" i="1"/>
  <c r="AB436" i="1"/>
  <c r="L437" i="1"/>
  <c r="K437" i="1"/>
  <c r="M437" i="1"/>
  <c r="O437" i="1"/>
  <c r="Q437" i="1"/>
  <c r="P437" i="1"/>
  <c r="S437" i="1"/>
  <c r="T437" i="1"/>
  <c r="V436" i="1"/>
  <c r="U437" i="1"/>
  <c r="W437" i="1"/>
  <c r="X437" i="1"/>
  <c r="AB437" i="1"/>
  <c r="L438" i="1"/>
  <c r="K438" i="1"/>
  <c r="M438" i="1"/>
  <c r="O438" i="1"/>
  <c r="Q438" i="1"/>
  <c r="P438" i="1"/>
  <c r="S438" i="1"/>
  <c r="T438" i="1"/>
  <c r="V437" i="1"/>
  <c r="U438" i="1"/>
  <c r="W438" i="1"/>
  <c r="X438" i="1"/>
  <c r="AB438" i="1"/>
  <c r="L439" i="1"/>
  <c r="K439" i="1"/>
  <c r="M439" i="1"/>
  <c r="O439" i="1"/>
  <c r="Q439" i="1"/>
  <c r="P439" i="1"/>
  <c r="S439" i="1"/>
  <c r="T439" i="1"/>
  <c r="V438" i="1"/>
  <c r="U439" i="1"/>
  <c r="W439" i="1"/>
  <c r="X439" i="1"/>
  <c r="AB439" i="1"/>
  <c r="L440" i="1"/>
  <c r="K440" i="1"/>
  <c r="M440" i="1"/>
  <c r="O440" i="1"/>
  <c r="Q440" i="1"/>
  <c r="P440" i="1"/>
  <c r="S440" i="1"/>
  <c r="T440" i="1"/>
  <c r="V439" i="1"/>
  <c r="U440" i="1"/>
  <c r="W440" i="1"/>
  <c r="X440" i="1"/>
  <c r="AB440" i="1"/>
  <c r="L441" i="1"/>
  <c r="K441" i="1"/>
  <c r="M441" i="1"/>
  <c r="O441" i="1"/>
  <c r="Q441" i="1"/>
  <c r="P441" i="1"/>
  <c r="S441" i="1"/>
  <c r="T441" i="1"/>
  <c r="V440" i="1"/>
  <c r="U441" i="1"/>
  <c r="W441" i="1"/>
  <c r="X441" i="1"/>
  <c r="AB441" i="1"/>
  <c r="L442" i="1"/>
  <c r="K442" i="1"/>
  <c r="M442" i="1"/>
  <c r="O442" i="1"/>
  <c r="Q442" i="1"/>
  <c r="P442" i="1"/>
  <c r="S442" i="1"/>
  <c r="T442" i="1"/>
  <c r="V441" i="1"/>
  <c r="U442" i="1"/>
  <c r="W442" i="1"/>
  <c r="X442" i="1"/>
  <c r="AB442" i="1"/>
  <c r="L443" i="1"/>
  <c r="K443" i="1"/>
  <c r="M443" i="1"/>
  <c r="O443" i="1"/>
  <c r="Q443" i="1"/>
  <c r="P443" i="1"/>
  <c r="S443" i="1"/>
  <c r="T443" i="1"/>
  <c r="V442" i="1"/>
  <c r="U443" i="1"/>
  <c r="W443" i="1"/>
  <c r="X443" i="1"/>
  <c r="AB443" i="1"/>
  <c r="L444" i="1"/>
  <c r="K444" i="1"/>
  <c r="M444" i="1"/>
  <c r="O444" i="1"/>
  <c r="Q444" i="1"/>
  <c r="P444" i="1"/>
  <c r="S444" i="1"/>
  <c r="T444" i="1"/>
  <c r="V443" i="1"/>
  <c r="U444" i="1"/>
  <c r="W444" i="1"/>
  <c r="X444" i="1"/>
  <c r="AB444" i="1"/>
  <c r="L445" i="1"/>
  <c r="K445" i="1"/>
  <c r="M445" i="1"/>
  <c r="O445" i="1"/>
  <c r="Q445" i="1"/>
  <c r="P445" i="1"/>
  <c r="S445" i="1"/>
  <c r="T445" i="1"/>
  <c r="V444" i="1"/>
  <c r="U445" i="1"/>
  <c r="W445" i="1"/>
  <c r="X445" i="1"/>
  <c r="AB445" i="1"/>
  <c r="L446" i="1"/>
  <c r="K446" i="1"/>
  <c r="M446" i="1"/>
  <c r="O446" i="1"/>
  <c r="Q446" i="1"/>
  <c r="P446" i="1"/>
  <c r="S446" i="1"/>
  <c r="T446" i="1"/>
  <c r="V445" i="1"/>
  <c r="U446" i="1"/>
  <c r="W446" i="1"/>
  <c r="X446" i="1"/>
  <c r="AB446" i="1"/>
  <c r="L447" i="1"/>
  <c r="K447" i="1"/>
  <c r="M447" i="1"/>
  <c r="O447" i="1"/>
  <c r="Q447" i="1"/>
  <c r="P447" i="1"/>
  <c r="S447" i="1"/>
  <c r="T447" i="1"/>
  <c r="V446" i="1"/>
  <c r="U447" i="1"/>
  <c r="W447" i="1"/>
  <c r="X447" i="1"/>
  <c r="AB447" i="1"/>
  <c r="L448" i="1"/>
  <c r="K448" i="1"/>
  <c r="M448" i="1"/>
  <c r="O448" i="1"/>
  <c r="Q448" i="1"/>
  <c r="P448" i="1"/>
  <c r="S448" i="1"/>
  <c r="T448" i="1"/>
  <c r="V447" i="1"/>
  <c r="U448" i="1"/>
  <c r="W448" i="1"/>
  <c r="X448" i="1"/>
  <c r="AB448" i="1"/>
  <c r="L449" i="1"/>
  <c r="K449" i="1"/>
  <c r="M449" i="1"/>
  <c r="O449" i="1"/>
  <c r="Q449" i="1"/>
  <c r="P449" i="1"/>
  <c r="S449" i="1"/>
  <c r="T449" i="1"/>
  <c r="V448" i="1"/>
  <c r="U449" i="1"/>
  <c r="W449" i="1"/>
  <c r="X449" i="1"/>
  <c r="AB449" i="1"/>
  <c r="L450" i="1"/>
  <c r="K450" i="1"/>
  <c r="M450" i="1"/>
  <c r="O450" i="1"/>
  <c r="Q450" i="1"/>
  <c r="P450" i="1"/>
  <c r="S450" i="1"/>
  <c r="T450" i="1"/>
  <c r="V449" i="1"/>
  <c r="U450" i="1"/>
  <c r="W450" i="1"/>
  <c r="X450" i="1"/>
  <c r="AB450" i="1"/>
  <c r="L451" i="1"/>
  <c r="K451" i="1"/>
  <c r="M451" i="1"/>
  <c r="O451" i="1"/>
  <c r="Q451" i="1"/>
  <c r="P451" i="1"/>
  <c r="S451" i="1"/>
  <c r="T451" i="1"/>
  <c r="V450" i="1"/>
  <c r="U451" i="1"/>
  <c r="W451" i="1"/>
  <c r="X451" i="1"/>
  <c r="AB451" i="1"/>
  <c r="L452" i="1"/>
  <c r="K452" i="1"/>
  <c r="M452" i="1"/>
  <c r="O452" i="1"/>
  <c r="Q452" i="1"/>
  <c r="P452" i="1"/>
  <c r="S452" i="1"/>
  <c r="T452" i="1"/>
  <c r="V451" i="1"/>
  <c r="U452" i="1"/>
  <c r="W452" i="1"/>
  <c r="X452" i="1"/>
  <c r="AB452" i="1"/>
  <c r="L453" i="1"/>
  <c r="K453" i="1"/>
  <c r="M453" i="1"/>
  <c r="O453" i="1"/>
  <c r="Q453" i="1"/>
  <c r="P453" i="1"/>
  <c r="S453" i="1"/>
  <c r="T453" i="1"/>
  <c r="V452" i="1"/>
  <c r="U453" i="1"/>
  <c r="W453" i="1"/>
  <c r="X453" i="1"/>
  <c r="AB453" i="1"/>
  <c r="L454" i="1"/>
  <c r="K454" i="1"/>
  <c r="M454" i="1"/>
  <c r="O454" i="1"/>
  <c r="Q454" i="1"/>
  <c r="P454" i="1"/>
  <c r="S454" i="1"/>
  <c r="T454" i="1"/>
  <c r="V453" i="1"/>
  <c r="U454" i="1"/>
  <c r="W454" i="1"/>
  <c r="X454" i="1"/>
  <c r="AB454" i="1"/>
  <c r="L455" i="1"/>
  <c r="K455" i="1"/>
  <c r="M455" i="1"/>
  <c r="O455" i="1"/>
  <c r="Q455" i="1"/>
  <c r="P455" i="1"/>
  <c r="S455" i="1"/>
  <c r="T455" i="1"/>
  <c r="V454" i="1"/>
  <c r="U455" i="1"/>
  <c r="W455" i="1"/>
  <c r="X455" i="1"/>
  <c r="AB455" i="1"/>
  <c r="L456" i="1"/>
  <c r="K456" i="1"/>
  <c r="M456" i="1"/>
  <c r="O456" i="1"/>
  <c r="Q456" i="1"/>
  <c r="P456" i="1"/>
  <c r="S456" i="1"/>
  <c r="T456" i="1"/>
  <c r="V455" i="1"/>
  <c r="U456" i="1"/>
  <c r="W456" i="1"/>
  <c r="X456" i="1"/>
  <c r="AB456" i="1"/>
  <c r="L457" i="1"/>
  <c r="K457" i="1"/>
  <c r="M457" i="1"/>
  <c r="O457" i="1"/>
  <c r="Q457" i="1"/>
  <c r="P457" i="1"/>
  <c r="S457" i="1"/>
  <c r="T457" i="1"/>
  <c r="V456" i="1"/>
  <c r="U457" i="1"/>
  <c r="W457" i="1"/>
  <c r="X457" i="1"/>
  <c r="AB457" i="1"/>
  <c r="L458" i="1"/>
  <c r="K458" i="1"/>
  <c r="M458" i="1"/>
  <c r="O458" i="1"/>
  <c r="Q458" i="1"/>
  <c r="P458" i="1"/>
  <c r="S458" i="1"/>
  <c r="T458" i="1"/>
  <c r="V457" i="1"/>
  <c r="U458" i="1"/>
  <c r="W458" i="1"/>
  <c r="X458" i="1"/>
  <c r="AB458" i="1"/>
  <c r="L459" i="1"/>
  <c r="K459" i="1"/>
  <c r="M459" i="1"/>
  <c r="O459" i="1"/>
  <c r="Q459" i="1"/>
  <c r="P459" i="1"/>
  <c r="S459" i="1"/>
  <c r="T459" i="1"/>
  <c r="V458" i="1"/>
  <c r="U459" i="1"/>
  <c r="W459" i="1"/>
  <c r="X459" i="1"/>
  <c r="AB459" i="1"/>
  <c r="L460" i="1"/>
  <c r="K460" i="1"/>
  <c r="M460" i="1"/>
  <c r="O460" i="1"/>
  <c r="Q460" i="1"/>
  <c r="P460" i="1"/>
  <c r="S460" i="1"/>
  <c r="T460" i="1"/>
  <c r="V459" i="1"/>
  <c r="U460" i="1"/>
  <c r="W460" i="1"/>
  <c r="X460" i="1"/>
  <c r="AB460" i="1"/>
  <c r="L461" i="1"/>
  <c r="K461" i="1"/>
  <c r="M461" i="1"/>
  <c r="O461" i="1"/>
  <c r="Q461" i="1"/>
  <c r="P461" i="1"/>
  <c r="S461" i="1"/>
  <c r="T461" i="1"/>
  <c r="V460" i="1"/>
  <c r="U461" i="1"/>
  <c r="W461" i="1"/>
  <c r="X461" i="1"/>
  <c r="AB461" i="1"/>
  <c r="L462" i="1"/>
  <c r="K462" i="1"/>
  <c r="M462" i="1"/>
  <c r="O462" i="1"/>
  <c r="Q462" i="1"/>
  <c r="P462" i="1"/>
  <c r="S462" i="1"/>
  <c r="T462" i="1"/>
  <c r="V461" i="1"/>
  <c r="U462" i="1"/>
  <c r="W462" i="1"/>
  <c r="X462" i="1"/>
  <c r="AB462" i="1"/>
  <c r="L463" i="1"/>
  <c r="K463" i="1"/>
  <c r="M463" i="1"/>
  <c r="O463" i="1"/>
  <c r="Q463" i="1"/>
  <c r="P463" i="1"/>
  <c r="S463" i="1"/>
  <c r="J463" i="1"/>
  <c r="N463" i="1"/>
  <c r="T463" i="1"/>
  <c r="V462" i="1"/>
  <c r="U463" i="1"/>
  <c r="W463" i="1"/>
  <c r="X463" i="1"/>
  <c r="AB463" i="1"/>
  <c r="L464" i="1"/>
  <c r="K464" i="1"/>
  <c r="M464" i="1"/>
  <c r="O464" i="1"/>
  <c r="Q464" i="1"/>
  <c r="P464" i="1"/>
  <c r="S464" i="1"/>
  <c r="T464" i="1"/>
  <c r="V463" i="1"/>
  <c r="U464" i="1"/>
  <c r="W464" i="1"/>
  <c r="X464" i="1"/>
  <c r="AB464" i="1"/>
  <c r="L465" i="1"/>
  <c r="K465" i="1"/>
  <c r="M465" i="1"/>
  <c r="O465" i="1"/>
  <c r="Q465" i="1"/>
  <c r="P465" i="1"/>
  <c r="S465" i="1"/>
  <c r="T465" i="1"/>
  <c r="V464" i="1"/>
  <c r="U465" i="1"/>
  <c r="W465" i="1"/>
  <c r="X465" i="1"/>
  <c r="AB465" i="1"/>
  <c r="L466" i="1"/>
  <c r="K466" i="1"/>
  <c r="M466" i="1"/>
  <c r="O466" i="1"/>
  <c r="Q466" i="1"/>
  <c r="P466" i="1"/>
  <c r="S466" i="1"/>
  <c r="T466" i="1"/>
  <c r="V465" i="1"/>
  <c r="U466" i="1"/>
  <c r="W466" i="1"/>
  <c r="X466" i="1"/>
  <c r="AB466" i="1"/>
  <c r="L467" i="1"/>
  <c r="K467" i="1"/>
  <c r="M467" i="1"/>
  <c r="O467" i="1"/>
  <c r="Q467" i="1"/>
  <c r="P467" i="1"/>
  <c r="S467" i="1"/>
  <c r="T467" i="1"/>
  <c r="V466" i="1"/>
  <c r="U467" i="1"/>
  <c r="W467" i="1"/>
  <c r="X467" i="1"/>
  <c r="AB467" i="1"/>
  <c r="L468" i="1"/>
  <c r="K468" i="1"/>
  <c r="M468" i="1"/>
  <c r="O468" i="1"/>
  <c r="Q468" i="1"/>
  <c r="P468" i="1"/>
  <c r="S468" i="1"/>
  <c r="T468" i="1"/>
  <c r="V467" i="1"/>
  <c r="U468" i="1"/>
  <c r="W468" i="1"/>
  <c r="X468" i="1"/>
  <c r="AB468" i="1"/>
  <c r="L469" i="1"/>
  <c r="K469" i="1"/>
  <c r="M469" i="1"/>
  <c r="O469" i="1"/>
  <c r="Q469" i="1"/>
  <c r="P469" i="1"/>
  <c r="S469" i="1"/>
  <c r="T469" i="1"/>
  <c r="V468" i="1"/>
  <c r="U469" i="1"/>
  <c r="W469" i="1"/>
  <c r="X469" i="1"/>
  <c r="AB469" i="1"/>
  <c r="L470" i="1"/>
  <c r="K470" i="1"/>
  <c r="M470" i="1"/>
  <c r="O470" i="1"/>
  <c r="Q470" i="1"/>
  <c r="P470" i="1"/>
  <c r="S470" i="1"/>
  <c r="T470" i="1"/>
  <c r="V469" i="1"/>
  <c r="U470" i="1"/>
  <c r="W470" i="1"/>
  <c r="X470" i="1"/>
  <c r="AB470" i="1"/>
  <c r="L471" i="1"/>
  <c r="K471" i="1"/>
  <c r="M471" i="1"/>
  <c r="O471" i="1"/>
  <c r="Q471" i="1"/>
  <c r="P471" i="1"/>
  <c r="S471" i="1"/>
  <c r="T471" i="1"/>
  <c r="V470" i="1"/>
  <c r="U471" i="1"/>
  <c r="W471" i="1"/>
  <c r="X471" i="1"/>
  <c r="AB471" i="1"/>
  <c r="L472" i="1"/>
  <c r="K472" i="1"/>
  <c r="M472" i="1"/>
  <c r="O472" i="1"/>
  <c r="Q472" i="1"/>
  <c r="P472" i="1"/>
  <c r="S472" i="1"/>
  <c r="T472" i="1"/>
  <c r="V471" i="1"/>
  <c r="U472" i="1"/>
  <c r="W472" i="1"/>
  <c r="X472" i="1"/>
  <c r="AB472" i="1"/>
  <c r="L473" i="1"/>
  <c r="K473" i="1"/>
  <c r="M473" i="1"/>
  <c r="O473" i="1"/>
  <c r="Q473" i="1"/>
  <c r="P473" i="1"/>
  <c r="S473" i="1"/>
  <c r="T473" i="1"/>
  <c r="V472" i="1"/>
  <c r="U473" i="1"/>
  <c r="W473" i="1"/>
  <c r="X473" i="1"/>
  <c r="AB473" i="1"/>
  <c r="L474" i="1"/>
  <c r="K474" i="1"/>
  <c r="M474" i="1"/>
  <c r="O474" i="1"/>
  <c r="Q474" i="1"/>
  <c r="P474" i="1"/>
  <c r="S474" i="1"/>
  <c r="T474" i="1"/>
  <c r="V473" i="1"/>
  <c r="U474" i="1"/>
  <c r="W474" i="1"/>
  <c r="X474" i="1"/>
  <c r="AB474" i="1"/>
  <c r="L475" i="1"/>
  <c r="K475" i="1"/>
  <c r="M475" i="1"/>
  <c r="O475" i="1"/>
  <c r="Q475" i="1"/>
  <c r="P475" i="1"/>
  <c r="S475" i="1"/>
  <c r="T475" i="1"/>
  <c r="V474" i="1"/>
  <c r="U475" i="1"/>
  <c r="W475" i="1"/>
  <c r="X475" i="1"/>
  <c r="AB475" i="1"/>
  <c r="L476" i="1"/>
  <c r="K476" i="1"/>
  <c r="M476" i="1"/>
  <c r="O476" i="1"/>
  <c r="Q476" i="1"/>
  <c r="P476" i="1"/>
  <c r="S476" i="1"/>
  <c r="T476" i="1"/>
  <c r="V475" i="1"/>
  <c r="U476" i="1"/>
  <c r="W476" i="1"/>
  <c r="X476" i="1"/>
  <c r="AB476" i="1"/>
  <c r="L477" i="1"/>
  <c r="K477" i="1"/>
  <c r="M477" i="1"/>
  <c r="O477" i="1"/>
  <c r="Q477" i="1"/>
  <c r="P477" i="1"/>
  <c r="S477" i="1"/>
  <c r="T477" i="1"/>
  <c r="V476" i="1"/>
  <c r="U477" i="1"/>
  <c r="W477" i="1"/>
  <c r="X477" i="1"/>
  <c r="AB477" i="1"/>
  <c r="L478" i="1"/>
  <c r="K478" i="1"/>
  <c r="M478" i="1"/>
  <c r="O478" i="1"/>
  <c r="Q478" i="1"/>
  <c r="P478" i="1"/>
  <c r="S478" i="1"/>
  <c r="T478" i="1"/>
  <c r="V477" i="1"/>
  <c r="U478" i="1"/>
  <c r="W478" i="1"/>
  <c r="X478" i="1"/>
  <c r="AB478" i="1"/>
  <c r="L479" i="1"/>
  <c r="K479" i="1"/>
  <c r="M479" i="1"/>
  <c r="O479" i="1"/>
  <c r="Q479" i="1"/>
  <c r="P479" i="1"/>
  <c r="S479" i="1"/>
  <c r="T479" i="1"/>
  <c r="V478" i="1"/>
  <c r="U479" i="1"/>
  <c r="W479" i="1"/>
  <c r="X479" i="1"/>
  <c r="AB479" i="1"/>
  <c r="L480" i="1"/>
  <c r="K480" i="1"/>
  <c r="M480" i="1"/>
  <c r="O480" i="1"/>
  <c r="Q480" i="1"/>
  <c r="P480" i="1"/>
  <c r="S480" i="1"/>
  <c r="T480" i="1"/>
  <c r="V479" i="1"/>
  <c r="U480" i="1"/>
  <c r="W480" i="1"/>
  <c r="X480" i="1"/>
  <c r="AB480" i="1"/>
  <c r="L481" i="1"/>
  <c r="K481" i="1"/>
  <c r="M481" i="1"/>
  <c r="O481" i="1"/>
  <c r="Q481" i="1"/>
  <c r="P481" i="1"/>
  <c r="S481" i="1"/>
  <c r="T481" i="1"/>
  <c r="V480" i="1"/>
  <c r="U481" i="1"/>
  <c r="W481" i="1"/>
  <c r="X481" i="1"/>
  <c r="AB481" i="1"/>
  <c r="L482" i="1"/>
  <c r="K482" i="1"/>
  <c r="M482" i="1"/>
  <c r="O482" i="1"/>
  <c r="Q482" i="1"/>
  <c r="P482" i="1"/>
  <c r="S482" i="1"/>
  <c r="T482" i="1"/>
  <c r="V481" i="1"/>
  <c r="U482" i="1"/>
  <c r="W482" i="1"/>
  <c r="X482" i="1"/>
  <c r="AB482" i="1"/>
  <c r="L483" i="1"/>
  <c r="K483" i="1"/>
  <c r="M483" i="1"/>
  <c r="O483" i="1"/>
  <c r="Q483" i="1"/>
  <c r="P483" i="1"/>
  <c r="S483" i="1"/>
  <c r="T483" i="1"/>
  <c r="V482" i="1"/>
  <c r="U483" i="1"/>
  <c r="W483" i="1"/>
  <c r="X483" i="1"/>
  <c r="AB483" i="1"/>
  <c r="L484" i="1"/>
  <c r="K484" i="1"/>
  <c r="M484" i="1"/>
  <c r="O484" i="1"/>
  <c r="Q484" i="1"/>
  <c r="P484" i="1"/>
  <c r="S484" i="1"/>
  <c r="T484" i="1"/>
  <c r="V483" i="1"/>
  <c r="U484" i="1"/>
  <c r="W484" i="1"/>
  <c r="X484" i="1"/>
  <c r="AB484" i="1"/>
  <c r="L485" i="1"/>
  <c r="K485" i="1"/>
  <c r="M485" i="1"/>
  <c r="O485" i="1"/>
  <c r="Q485" i="1"/>
  <c r="P485" i="1"/>
  <c r="S485" i="1"/>
  <c r="T485" i="1"/>
  <c r="V484" i="1"/>
  <c r="U485" i="1"/>
  <c r="W485" i="1"/>
  <c r="X485" i="1"/>
  <c r="AB485" i="1"/>
  <c r="L486" i="1"/>
  <c r="K486" i="1"/>
  <c r="M486" i="1"/>
  <c r="O486" i="1"/>
  <c r="Q486" i="1"/>
  <c r="P486" i="1"/>
  <c r="S486" i="1"/>
  <c r="T486" i="1"/>
  <c r="V485" i="1"/>
  <c r="U486" i="1"/>
  <c r="W486" i="1"/>
  <c r="X486" i="1"/>
  <c r="AB486" i="1"/>
  <c r="L487" i="1"/>
  <c r="K487" i="1"/>
  <c r="M487" i="1"/>
  <c r="O487" i="1"/>
  <c r="Q487" i="1"/>
  <c r="P487" i="1"/>
  <c r="S487" i="1"/>
  <c r="T487" i="1"/>
  <c r="V486" i="1"/>
  <c r="U487" i="1"/>
  <c r="W487" i="1"/>
  <c r="X487" i="1"/>
  <c r="AB487" i="1"/>
  <c r="L488" i="1"/>
  <c r="K488" i="1"/>
  <c r="M488" i="1"/>
  <c r="O488" i="1"/>
  <c r="Q488" i="1"/>
  <c r="P488" i="1"/>
  <c r="S488" i="1"/>
  <c r="T488" i="1"/>
  <c r="V487" i="1"/>
  <c r="U488" i="1"/>
  <c r="W488" i="1"/>
  <c r="X488" i="1"/>
  <c r="AB488" i="1"/>
  <c r="L489" i="1"/>
  <c r="K489" i="1"/>
  <c r="M489" i="1"/>
  <c r="O489" i="1"/>
  <c r="Q489" i="1"/>
  <c r="P489" i="1"/>
  <c r="S489" i="1"/>
  <c r="T489" i="1"/>
  <c r="V488" i="1"/>
  <c r="U489" i="1"/>
  <c r="W489" i="1"/>
  <c r="X489" i="1"/>
  <c r="AB489" i="1"/>
  <c r="L490" i="1"/>
  <c r="K490" i="1"/>
  <c r="M490" i="1"/>
  <c r="O490" i="1"/>
  <c r="Q490" i="1"/>
  <c r="P490" i="1"/>
  <c r="S490" i="1"/>
  <c r="T490" i="1"/>
  <c r="V489" i="1"/>
  <c r="U490" i="1"/>
  <c r="W490" i="1"/>
  <c r="X490" i="1"/>
  <c r="AB490" i="1"/>
  <c r="L491" i="1"/>
  <c r="K491" i="1"/>
  <c r="M491" i="1"/>
  <c r="O491" i="1"/>
  <c r="Q491" i="1"/>
  <c r="P491" i="1"/>
  <c r="S491" i="1"/>
  <c r="T491" i="1"/>
  <c r="V490" i="1"/>
  <c r="U491" i="1"/>
  <c r="W491" i="1"/>
  <c r="X491" i="1"/>
  <c r="AB491" i="1"/>
  <c r="L492" i="1"/>
  <c r="K492" i="1"/>
  <c r="M492" i="1"/>
  <c r="O492" i="1"/>
  <c r="Q492" i="1"/>
  <c r="P492" i="1"/>
  <c r="S492" i="1"/>
  <c r="T492" i="1"/>
  <c r="V491" i="1"/>
  <c r="U492" i="1"/>
  <c r="W492" i="1"/>
  <c r="X492" i="1"/>
  <c r="AB492" i="1"/>
  <c r="L493" i="1"/>
  <c r="K493" i="1"/>
  <c r="M493" i="1"/>
  <c r="O493" i="1"/>
  <c r="Q493" i="1"/>
  <c r="P493" i="1"/>
  <c r="S493" i="1"/>
  <c r="T493" i="1"/>
  <c r="V492" i="1"/>
  <c r="U493" i="1"/>
  <c r="W493" i="1"/>
  <c r="X493" i="1"/>
  <c r="AB493" i="1"/>
  <c r="L494" i="1"/>
  <c r="K494" i="1"/>
  <c r="M494" i="1"/>
  <c r="O494" i="1"/>
  <c r="Q494" i="1"/>
  <c r="P494" i="1"/>
  <c r="S494" i="1"/>
  <c r="T494" i="1"/>
  <c r="V493" i="1"/>
  <c r="U494" i="1"/>
  <c r="W494" i="1"/>
  <c r="X494" i="1"/>
  <c r="AB494" i="1"/>
  <c r="L495" i="1"/>
  <c r="K495" i="1"/>
  <c r="M495" i="1"/>
  <c r="O495" i="1"/>
  <c r="Q495" i="1"/>
  <c r="P495" i="1"/>
  <c r="S495" i="1"/>
  <c r="T495" i="1"/>
  <c r="V494" i="1"/>
  <c r="U495" i="1"/>
  <c r="W495" i="1"/>
  <c r="X495" i="1"/>
  <c r="AB495" i="1"/>
  <c r="L496" i="1"/>
  <c r="K496" i="1"/>
  <c r="M496" i="1"/>
  <c r="O496" i="1"/>
  <c r="Q496" i="1"/>
  <c r="P496" i="1"/>
  <c r="S496" i="1"/>
  <c r="T496" i="1"/>
  <c r="V495" i="1"/>
  <c r="U496" i="1"/>
  <c r="W496" i="1"/>
  <c r="X496" i="1"/>
  <c r="AB496" i="1"/>
  <c r="L497" i="1"/>
  <c r="K497" i="1"/>
  <c r="M497" i="1"/>
  <c r="O497" i="1"/>
  <c r="Q497" i="1"/>
  <c r="P497" i="1"/>
  <c r="S497" i="1"/>
  <c r="T497" i="1"/>
  <c r="V496" i="1"/>
  <c r="U497" i="1"/>
  <c r="W497" i="1"/>
  <c r="X497" i="1"/>
  <c r="AB497" i="1"/>
  <c r="L498" i="1"/>
  <c r="K498" i="1"/>
  <c r="M498" i="1"/>
  <c r="O498" i="1"/>
  <c r="Q498" i="1"/>
  <c r="P498" i="1"/>
  <c r="S498" i="1"/>
  <c r="T498" i="1"/>
  <c r="V497" i="1"/>
  <c r="U498" i="1"/>
  <c r="W498" i="1"/>
  <c r="X498" i="1"/>
  <c r="AB498" i="1"/>
  <c r="L499" i="1"/>
  <c r="K499" i="1"/>
  <c r="M499" i="1"/>
  <c r="O499" i="1"/>
  <c r="Q499" i="1"/>
  <c r="P499" i="1"/>
  <c r="S499" i="1"/>
  <c r="T499" i="1"/>
  <c r="V498" i="1"/>
  <c r="U499" i="1"/>
  <c r="W499" i="1"/>
  <c r="X499" i="1"/>
  <c r="AB499" i="1"/>
  <c r="L500" i="1"/>
  <c r="K500" i="1"/>
  <c r="M500" i="1"/>
  <c r="O500" i="1"/>
  <c r="Q500" i="1"/>
  <c r="P500" i="1"/>
  <c r="S500" i="1"/>
  <c r="T500" i="1"/>
  <c r="V499" i="1"/>
  <c r="U500" i="1"/>
  <c r="W500" i="1"/>
  <c r="X500" i="1"/>
  <c r="AB500" i="1"/>
  <c r="L501" i="1"/>
  <c r="K501" i="1"/>
  <c r="M501" i="1"/>
  <c r="O501" i="1"/>
  <c r="Q501" i="1"/>
  <c r="P501" i="1"/>
  <c r="S501" i="1"/>
  <c r="T501" i="1"/>
  <c r="V500" i="1"/>
  <c r="U501" i="1"/>
  <c r="W501" i="1"/>
  <c r="X501" i="1"/>
  <c r="AB501" i="1"/>
  <c r="L502" i="1"/>
  <c r="K502" i="1"/>
  <c r="M502" i="1"/>
  <c r="O502" i="1"/>
  <c r="Q502" i="1"/>
  <c r="P502" i="1"/>
  <c r="S502" i="1"/>
  <c r="T502" i="1"/>
  <c r="V501" i="1"/>
  <c r="U502" i="1"/>
  <c r="W502" i="1"/>
  <c r="X502" i="1"/>
  <c r="AB502" i="1"/>
  <c r="L503" i="1"/>
  <c r="K503" i="1"/>
  <c r="M503" i="1"/>
  <c r="O503" i="1"/>
  <c r="Q503" i="1"/>
  <c r="P503" i="1"/>
  <c r="S503" i="1"/>
  <c r="T503" i="1"/>
  <c r="V502" i="1"/>
  <c r="U503" i="1"/>
  <c r="W503" i="1"/>
  <c r="X503" i="1"/>
  <c r="AB503" i="1"/>
  <c r="L504" i="1"/>
  <c r="K504" i="1"/>
  <c r="M504" i="1"/>
  <c r="O504" i="1"/>
  <c r="Q504" i="1"/>
  <c r="P504" i="1"/>
  <c r="S504" i="1"/>
  <c r="T504" i="1"/>
  <c r="V503" i="1"/>
  <c r="U504" i="1"/>
  <c r="W504" i="1"/>
  <c r="X504" i="1"/>
  <c r="AB504" i="1"/>
  <c r="L505" i="1"/>
  <c r="K505" i="1"/>
  <c r="M505" i="1"/>
  <c r="O505" i="1"/>
  <c r="Q505" i="1"/>
  <c r="P505" i="1"/>
  <c r="S505" i="1"/>
  <c r="T505" i="1"/>
  <c r="V504" i="1"/>
  <c r="U505" i="1"/>
  <c r="W505" i="1"/>
  <c r="X505" i="1"/>
  <c r="AB505" i="1"/>
  <c r="L506" i="1"/>
  <c r="K506" i="1"/>
  <c r="M506" i="1"/>
  <c r="O506" i="1"/>
  <c r="Q506" i="1"/>
  <c r="P506" i="1"/>
  <c r="S506" i="1"/>
  <c r="T506" i="1"/>
  <c r="V505" i="1"/>
  <c r="U506" i="1"/>
  <c r="W506" i="1"/>
  <c r="X506" i="1"/>
  <c r="AB506" i="1"/>
  <c r="L507" i="1"/>
  <c r="K507" i="1"/>
  <c r="M507" i="1"/>
  <c r="O507" i="1"/>
  <c r="Q507" i="1"/>
  <c r="P507" i="1"/>
  <c r="S507" i="1"/>
  <c r="T507" i="1"/>
  <c r="V506" i="1"/>
  <c r="U507" i="1"/>
  <c r="W507" i="1"/>
  <c r="X507" i="1"/>
  <c r="AB507" i="1"/>
  <c r="L508" i="1"/>
  <c r="K508" i="1"/>
  <c r="M508" i="1"/>
  <c r="O508" i="1"/>
  <c r="Q508" i="1"/>
  <c r="P508" i="1"/>
  <c r="S508" i="1"/>
  <c r="T508" i="1"/>
  <c r="V507" i="1"/>
  <c r="U508" i="1"/>
  <c r="W508" i="1"/>
  <c r="X508" i="1"/>
  <c r="AB508" i="1"/>
  <c r="L509" i="1"/>
  <c r="K509" i="1"/>
  <c r="M509" i="1"/>
  <c r="O509" i="1"/>
  <c r="Q509" i="1"/>
  <c r="P509" i="1"/>
  <c r="S509" i="1"/>
  <c r="T509" i="1"/>
  <c r="V508" i="1"/>
  <c r="U509" i="1"/>
  <c r="W509" i="1"/>
  <c r="X509" i="1"/>
  <c r="AB509" i="1"/>
  <c r="L510" i="1"/>
  <c r="K510" i="1"/>
  <c r="M510" i="1"/>
  <c r="O510" i="1"/>
  <c r="Q510" i="1"/>
  <c r="P510" i="1"/>
  <c r="S510" i="1"/>
  <c r="T510" i="1"/>
  <c r="V509" i="1"/>
  <c r="U510" i="1"/>
  <c r="W510" i="1"/>
  <c r="X510" i="1"/>
  <c r="AB510" i="1"/>
  <c r="L511" i="1"/>
  <c r="K511" i="1"/>
  <c r="M511" i="1"/>
  <c r="O511" i="1"/>
  <c r="Q511" i="1"/>
  <c r="P511" i="1"/>
  <c r="S511" i="1"/>
  <c r="T511" i="1"/>
  <c r="V510" i="1"/>
  <c r="U511" i="1"/>
  <c r="W511" i="1"/>
  <c r="X511" i="1"/>
  <c r="AB511" i="1"/>
  <c r="L512" i="1"/>
  <c r="K512" i="1"/>
  <c r="M512" i="1"/>
  <c r="O512" i="1"/>
  <c r="Q512" i="1"/>
  <c r="P512" i="1"/>
  <c r="S512" i="1"/>
  <c r="T512" i="1"/>
  <c r="V511" i="1"/>
  <c r="U512" i="1"/>
  <c r="W512" i="1"/>
  <c r="X512" i="1"/>
  <c r="AB512" i="1"/>
  <c r="L513" i="1"/>
  <c r="K513" i="1"/>
  <c r="M513" i="1"/>
  <c r="O513" i="1"/>
  <c r="Q513" i="1"/>
  <c r="P513" i="1"/>
  <c r="S513" i="1"/>
  <c r="T513" i="1"/>
  <c r="V512" i="1"/>
  <c r="U513" i="1"/>
  <c r="W513" i="1"/>
  <c r="X513" i="1"/>
  <c r="AB513" i="1"/>
  <c r="L514" i="1"/>
  <c r="K514" i="1"/>
  <c r="M514" i="1"/>
  <c r="O514" i="1"/>
  <c r="Q514" i="1"/>
  <c r="P514" i="1"/>
  <c r="S514" i="1"/>
  <c r="J514" i="1"/>
  <c r="N514" i="1"/>
  <c r="T514" i="1"/>
  <c r="V513" i="1"/>
  <c r="U514" i="1"/>
  <c r="W514" i="1"/>
  <c r="X514" i="1"/>
  <c r="AB514" i="1"/>
  <c r="L515" i="1"/>
  <c r="K515" i="1"/>
  <c r="M515" i="1"/>
  <c r="O515" i="1"/>
  <c r="Q515" i="1"/>
  <c r="P515" i="1"/>
  <c r="S515" i="1"/>
  <c r="T515" i="1"/>
  <c r="V514" i="1"/>
  <c r="U515" i="1"/>
  <c r="W515" i="1"/>
  <c r="X515" i="1"/>
  <c r="AB515" i="1"/>
  <c r="L516" i="1"/>
  <c r="K516" i="1"/>
  <c r="M516" i="1"/>
  <c r="O516" i="1"/>
  <c r="Q516" i="1"/>
  <c r="P516" i="1"/>
  <c r="S516" i="1"/>
  <c r="T516" i="1"/>
  <c r="V515" i="1"/>
  <c r="U516" i="1"/>
  <c r="W516" i="1"/>
  <c r="X516" i="1"/>
  <c r="AB516" i="1"/>
  <c r="L517" i="1"/>
  <c r="K517" i="1"/>
  <c r="M517" i="1"/>
  <c r="O517" i="1"/>
  <c r="Q517" i="1"/>
  <c r="P517" i="1"/>
  <c r="S517" i="1"/>
  <c r="T517" i="1"/>
  <c r="V516" i="1"/>
  <c r="U517" i="1"/>
  <c r="W517" i="1"/>
  <c r="X517" i="1"/>
  <c r="AB517" i="1"/>
  <c r="L518" i="1"/>
  <c r="K518" i="1"/>
  <c r="M518" i="1"/>
  <c r="O518" i="1"/>
  <c r="Q518" i="1"/>
  <c r="P518" i="1"/>
  <c r="S518" i="1"/>
  <c r="T518" i="1"/>
  <c r="V517" i="1"/>
  <c r="U518" i="1"/>
  <c r="W518" i="1"/>
  <c r="X518" i="1"/>
  <c r="AB518" i="1"/>
  <c r="L519" i="1"/>
  <c r="K519" i="1"/>
  <c r="M519" i="1"/>
  <c r="O519" i="1"/>
  <c r="Q519" i="1"/>
  <c r="P519" i="1"/>
  <c r="S519" i="1"/>
  <c r="T519" i="1"/>
  <c r="V518" i="1"/>
  <c r="U519" i="1"/>
  <c r="W519" i="1"/>
  <c r="X519" i="1"/>
  <c r="AB519" i="1"/>
  <c r="L520" i="1"/>
  <c r="K520" i="1"/>
  <c r="M520" i="1"/>
  <c r="O520" i="1"/>
  <c r="Q520" i="1"/>
  <c r="P520" i="1"/>
  <c r="S520" i="1"/>
  <c r="T520" i="1"/>
  <c r="V519" i="1"/>
  <c r="U520" i="1"/>
  <c r="W520" i="1"/>
  <c r="X520" i="1"/>
  <c r="AB520" i="1"/>
  <c r="L521" i="1"/>
  <c r="K521" i="1"/>
  <c r="M521" i="1"/>
  <c r="O521" i="1"/>
  <c r="Q521" i="1"/>
  <c r="P521" i="1"/>
  <c r="S521" i="1"/>
  <c r="T521" i="1"/>
  <c r="V520" i="1"/>
  <c r="U521" i="1"/>
  <c r="W521" i="1"/>
  <c r="X521" i="1"/>
  <c r="AB521" i="1"/>
  <c r="L522" i="1"/>
  <c r="K522" i="1"/>
  <c r="M522" i="1"/>
  <c r="O522" i="1"/>
  <c r="Q522" i="1"/>
  <c r="P522" i="1"/>
  <c r="S522" i="1"/>
  <c r="T522" i="1"/>
  <c r="V521" i="1"/>
  <c r="U522" i="1"/>
  <c r="W522" i="1"/>
  <c r="X522" i="1"/>
  <c r="AB522" i="1"/>
  <c r="L523" i="1"/>
  <c r="K523" i="1"/>
  <c r="M523" i="1"/>
  <c r="O523" i="1"/>
  <c r="Q523" i="1"/>
  <c r="P523" i="1"/>
  <c r="S523" i="1"/>
  <c r="T523" i="1"/>
  <c r="V522" i="1"/>
  <c r="U523" i="1"/>
  <c r="W523" i="1"/>
  <c r="X523" i="1"/>
  <c r="AB523" i="1"/>
  <c r="L524" i="1"/>
  <c r="K524" i="1"/>
  <c r="M524" i="1"/>
  <c r="O524" i="1"/>
  <c r="Q524" i="1"/>
  <c r="P524" i="1"/>
  <c r="S524" i="1"/>
  <c r="T524" i="1"/>
  <c r="V523" i="1"/>
  <c r="U524" i="1"/>
  <c r="W524" i="1"/>
  <c r="X524" i="1"/>
  <c r="AB524" i="1"/>
  <c r="L525" i="1"/>
  <c r="K525" i="1"/>
  <c r="M525" i="1"/>
  <c r="O525" i="1"/>
  <c r="Q525" i="1"/>
  <c r="P525" i="1"/>
  <c r="S525" i="1"/>
  <c r="T525" i="1"/>
  <c r="V524" i="1"/>
  <c r="U525" i="1"/>
  <c r="W525" i="1"/>
  <c r="X525" i="1"/>
  <c r="AB525" i="1"/>
  <c r="L526" i="1"/>
  <c r="K526" i="1"/>
  <c r="M526" i="1"/>
  <c r="O526" i="1"/>
  <c r="Q526" i="1"/>
  <c r="P526" i="1"/>
  <c r="S526" i="1"/>
  <c r="T526" i="1"/>
  <c r="V525" i="1"/>
  <c r="U526" i="1"/>
  <c r="W526" i="1"/>
  <c r="X526" i="1"/>
  <c r="AB526" i="1"/>
  <c r="L527" i="1"/>
  <c r="K527" i="1"/>
  <c r="M527" i="1"/>
  <c r="O527" i="1"/>
  <c r="Q527" i="1"/>
  <c r="P527" i="1"/>
  <c r="S527" i="1"/>
  <c r="T527" i="1"/>
  <c r="V526" i="1"/>
  <c r="U527" i="1"/>
  <c r="W527" i="1"/>
  <c r="X527" i="1"/>
  <c r="AB527" i="1"/>
  <c r="L528" i="1"/>
  <c r="K528" i="1"/>
  <c r="M528" i="1"/>
  <c r="O528" i="1"/>
  <c r="Q528" i="1"/>
  <c r="P528" i="1"/>
  <c r="S528" i="1"/>
  <c r="T528" i="1"/>
  <c r="V527" i="1"/>
  <c r="U528" i="1"/>
  <c r="W528" i="1"/>
  <c r="X528" i="1"/>
  <c r="AB528" i="1"/>
  <c r="L529" i="1"/>
  <c r="K529" i="1"/>
  <c r="M529" i="1"/>
  <c r="O529" i="1"/>
  <c r="Q529" i="1"/>
  <c r="P529" i="1"/>
  <c r="S529" i="1"/>
  <c r="T529" i="1"/>
  <c r="V528" i="1"/>
  <c r="U529" i="1"/>
  <c r="W529" i="1"/>
  <c r="X529" i="1"/>
  <c r="AB529" i="1"/>
  <c r="L530" i="1"/>
  <c r="K530" i="1"/>
  <c r="M530" i="1"/>
  <c r="O530" i="1"/>
  <c r="Q530" i="1"/>
  <c r="P530" i="1"/>
  <c r="S530" i="1"/>
  <c r="T530" i="1"/>
  <c r="V529" i="1"/>
  <c r="U530" i="1"/>
  <c r="W530" i="1"/>
  <c r="X530" i="1"/>
  <c r="AB530" i="1"/>
  <c r="L531" i="1"/>
  <c r="K531" i="1"/>
  <c r="M531" i="1"/>
  <c r="O531" i="1"/>
  <c r="Q531" i="1"/>
  <c r="P531" i="1"/>
  <c r="S531" i="1"/>
  <c r="T531" i="1"/>
  <c r="V530" i="1"/>
  <c r="U531" i="1"/>
  <c r="W531" i="1"/>
  <c r="X531" i="1"/>
  <c r="AB531" i="1"/>
  <c r="L532" i="1"/>
  <c r="K532" i="1"/>
  <c r="M532" i="1"/>
  <c r="O532" i="1"/>
  <c r="Q532" i="1"/>
  <c r="P532" i="1"/>
  <c r="S532" i="1"/>
  <c r="T532" i="1"/>
  <c r="V531" i="1"/>
  <c r="U532" i="1"/>
  <c r="W532" i="1"/>
  <c r="X532" i="1"/>
  <c r="AB532" i="1"/>
  <c r="L533" i="1"/>
  <c r="K533" i="1"/>
  <c r="M533" i="1"/>
  <c r="O533" i="1"/>
  <c r="Q533" i="1"/>
  <c r="P533" i="1"/>
  <c r="S533" i="1"/>
  <c r="T533" i="1"/>
  <c r="V532" i="1"/>
  <c r="U533" i="1"/>
  <c r="W533" i="1"/>
  <c r="X533" i="1"/>
  <c r="AB533" i="1"/>
  <c r="L534" i="1"/>
  <c r="K534" i="1"/>
  <c r="M534" i="1"/>
  <c r="O534" i="1"/>
  <c r="Q534" i="1"/>
  <c r="P534" i="1"/>
  <c r="S534" i="1"/>
  <c r="T534" i="1"/>
  <c r="V533" i="1"/>
  <c r="U534" i="1"/>
  <c r="W534" i="1"/>
  <c r="X534" i="1"/>
  <c r="AB534" i="1"/>
  <c r="L535" i="1"/>
  <c r="K535" i="1"/>
  <c r="M535" i="1"/>
  <c r="O535" i="1"/>
  <c r="Q535" i="1"/>
  <c r="P535" i="1"/>
  <c r="S535" i="1"/>
  <c r="T535" i="1"/>
  <c r="V534" i="1"/>
  <c r="U535" i="1"/>
  <c r="W535" i="1"/>
  <c r="X535" i="1"/>
  <c r="AB535" i="1"/>
  <c r="L536" i="1"/>
  <c r="K536" i="1"/>
  <c r="M536" i="1"/>
  <c r="O536" i="1"/>
  <c r="Q536" i="1"/>
  <c r="P536" i="1"/>
  <c r="S536" i="1"/>
  <c r="T536" i="1"/>
  <c r="V535" i="1"/>
  <c r="U536" i="1"/>
  <c r="W536" i="1"/>
  <c r="X536" i="1"/>
  <c r="AB536" i="1"/>
  <c r="L537" i="1"/>
  <c r="K537" i="1"/>
  <c r="M537" i="1"/>
  <c r="O537" i="1"/>
  <c r="Q537" i="1"/>
  <c r="P537" i="1"/>
  <c r="S537" i="1"/>
  <c r="T537" i="1"/>
  <c r="V536" i="1"/>
  <c r="U537" i="1"/>
  <c r="W537" i="1"/>
  <c r="X537" i="1"/>
  <c r="AB537" i="1"/>
  <c r="L538" i="1"/>
  <c r="K538" i="1"/>
  <c r="M538" i="1"/>
  <c r="O538" i="1"/>
  <c r="Q538" i="1"/>
  <c r="P538" i="1"/>
  <c r="S538" i="1"/>
  <c r="T538" i="1"/>
  <c r="V537" i="1"/>
  <c r="U538" i="1"/>
  <c r="W538" i="1"/>
  <c r="X538" i="1"/>
  <c r="AB538" i="1"/>
  <c r="L539" i="1"/>
  <c r="K539" i="1"/>
  <c r="M539" i="1"/>
  <c r="O539" i="1"/>
  <c r="Q539" i="1"/>
  <c r="P539" i="1"/>
  <c r="S539" i="1"/>
  <c r="T539" i="1"/>
  <c r="V538" i="1"/>
  <c r="U539" i="1"/>
  <c r="W539" i="1"/>
  <c r="X539" i="1"/>
  <c r="AB539" i="1"/>
  <c r="L540" i="1"/>
  <c r="K540" i="1"/>
  <c r="M540" i="1"/>
  <c r="O540" i="1"/>
  <c r="Q540" i="1"/>
  <c r="P540" i="1"/>
  <c r="S540" i="1"/>
  <c r="T540" i="1"/>
  <c r="V539" i="1"/>
  <c r="U540" i="1"/>
  <c r="W540" i="1"/>
  <c r="X540" i="1"/>
  <c r="AB540" i="1"/>
  <c r="L541" i="1"/>
  <c r="K541" i="1"/>
  <c r="M541" i="1"/>
  <c r="O541" i="1"/>
  <c r="Q541" i="1"/>
  <c r="P541" i="1"/>
  <c r="S541" i="1"/>
  <c r="T541" i="1"/>
  <c r="V540" i="1"/>
  <c r="U541" i="1"/>
  <c r="W541" i="1"/>
  <c r="X541" i="1"/>
  <c r="AB541" i="1"/>
  <c r="L542" i="1"/>
  <c r="K542" i="1"/>
  <c r="M542" i="1"/>
  <c r="O542" i="1"/>
  <c r="Q542" i="1"/>
  <c r="P542" i="1"/>
  <c r="S542" i="1"/>
  <c r="T542" i="1"/>
  <c r="V541" i="1"/>
  <c r="U542" i="1"/>
  <c r="W542" i="1"/>
  <c r="X542" i="1"/>
  <c r="AB542" i="1"/>
  <c r="L543" i="1"/>
  <c r="K543" i="1"/>
  <c r="M543" i="1"/>
  <c r="O543" i="1"/>
  <c r="Q543" i="1"/>
  <c r="P543" i="1"/>
  <c r="S543" i="1"/>
  <c r="T543" i="1"/>
  <c r="V542" i="1"/>
  <c r="U543" i="1"/>
  <c r="W543" i="1"/>
  <c r="X543" i="1"/>
  <c r="AB543" i="1"/>
  <c r="L544" i="1"/>
  <c r="K544" i="1"/>
  <c r="M544" i="1"/>
  <c r="O544" i="1"/>
  <c r="Q544" i="1"/>
  <c r="P544" i="1"/>
  <c r="S544" i="1"/>
  <c r="T544" i="1"/>
  <c r="V543" i="1"/>
  <c r="U544" i="1"/>
  <c r="W544" i="1"/>
  <c r="X544" i="1"/>
  <c r="AB544" i="1"/>
  <c r="L545" i="1"/>
  <c r="K545" i="1"/>
  <c r="M545" i="1"/>
  <c r="O545" i="1"/>
  <c r="Q545" i="1"/>
  <c r="P545" i="1"/>
  <c r="S545" i="1"/>
  <c r="T545" i="1"/>
  <c r="V544" i="1"/>
  <c r="U545" i="1"/>
  <c r="W545" i="1"/>
  <c r="X545" i="1"/>
  <c r="AB545" i="1"/>
  <c r="L546" i="1"/>
  <c r="K546" i="1"/>
  <c r="M546" i="1"/>
  <c r="O546" i="1"/>
  <c r="Q546" i="1"/>
  <c r="P546" i="1"/>
  <c r="S546" i="1"/>
  <c r="T546" i="1"/>
  <c r="V545" i="1"/>
  <c r="U546" i="1"/>
  <c r="W546" i="1"/>
  <c r="X546" i="1"/>
  <c r="AB546" i="1"/>
  <c r="L547" i="1"/>
  <c r="K547" i="1"/>
  <c r="M547" i="1"/>
  <c r="O547" i="1"/>
  <c r="Q547" i="1"/>
  <c r="P547" i="1"/>
  <c r="S547" i="1"/>
  <c r="T547" i="1"/>
  <c r="V546" i="1"/>
  <c r="U547" i="1"/>
  <c r="W547" i="1"/>
  <c r="X547" i="1"/>
  <c r="AB547" i="1"/>
  <c r="L548" i="1"/>
  <c r="K548" i="1"/>
  <c r="M548" i="1"/>
  <c r="O548" i="1"/>
  <c r="Q548" i="1"/>
  <c r="P548" i="1"/>
  <c r="S548" i="1"/>
  <c r="T548" i="1"/>
  <c r="V547" i="1"/>
  <c r="U548" i="1"/>
  <c r="W548" i="1"/>
  <c r="X548" i="1"/>
  <c r="AB548" i="1"/>
  <c r="L549" i="1"/>
  <c r="K549" i="1"/>
  <c r="M549" i="1"/>
  <c r="O549" i="1"/>
  <c r="Q549" i="1"/>
  <c r="P549" i="1"/>
  <c r="S549" i="1"/>
  <c r="T549" i="1"/>
  <c r="V548" i="1"/>
  <c r="U549" i="1"/>
  <c r="W549" i="1"/>
  <c r="X549" i="1"/>
  <c r="AB549" i="1"/>
  <c r="L550" i="1"/>
  <c r="K550" i="1"/>
  <c r="M550" i="1"/>
  <c r="O550" i="1"/>
  <c r="Q550" i="1"/>
  <c r="P550" i="1"/>
  <c r="S550" i="1"/>
  <c r="T550" i="1"/>
  <c r="V549" i="1"/>
  <c r="U550" i="1"/>
  <c r="W550" i="1"/>
  <c r="X550" i="1"/>
  <c r="AB550" i="1"/>
  <c r="L551" i="1"/>
  <c r="K551" i="1"/>
  <c r="M551" i="1"/>
  <c r="O551" i="1"/>
  <c r="Q551" i="1"/>
  <c r="P551" i="1"/>
  <c r="S551" i="1"/>
  <c r="T551" i="1"/>
  <c r="V550" i="1"/>
  <c r="U551" i="1"/>
  <c r="W551" i="1"/>
  <c r="X551" i="1"/>
  <c r="AB551" i="1"/>
  <c r="L552" i="1"/>
  <c r="K552" i="1"/>
  <c r="M552" i="1"/>
  <c r="O552" i="1"/>
  <c r="Q552" i="1"/>
  <c r="P552" i="1"/>
  <c r="S552" i="1"/>
  <c r="T552" i="1"/>
  <c r="V551" i="1"/>
  <c r="U552" i="1"/>
  <c r="W552" i="1"/>
  <c r="X552" i="1"/>
  <c r="AB552" i="1"/>
  <c r="L553" i="1"/>
  <c r="K553" i="1"/>
  <c r="M553" i="1"/>
  <c r="O553" i="1"/>
  <c r="Q553" i="1"/>
  <c r="P553" i="1"/>
  <c r="S553" i="1"/>
  <c r="T553" i="1"/>
  <c r="V552" i="1"/>
  <c r="U553" i="1"/>
  <c r="W553" i="1"/>
  <c r="X553" i="1"/>
  <c r="AB553" i="1"/>
  <c r="L554" i="1"/>
  <c r="K554" i="1"/>
  <c r="M554" i="1"/>
  <c r="O554" i="1"/>
  <c r="Q554" i="1"/>
  <c r="P554" i="1"/>
  <c r="S554" i="1"/>
  <c r="T554" i="1"/>
  <c r="V553" i="1"/>
  <c r="U554" i="1"/>
  <c r="W554" i="1"/>
  <c r="X554" i="1"/>
  <c r="AB554" i="1"/>
  <c r="L555" i="1"/>
  <c r="K555" i="1"/>
  <c r="M555" i="1"/>
  <c r="O555" i="1"/>
  <c r="Q555" i="1"/>
  <c r="P555" i="1"/>
  <c r="S555" i="1"/>
  <c r="T555" i="1"/>
  <c r="V554" i="1"/>
  <c r="U555" i="1"/>
  <c r="W555" i="1"/>
  <c r="X555" i="1"/>
  <c r="AB555" i="1"/>
  <c r="L556" i="1"/>
  <c r="K556" i="1"/>
  <c r="M556" i="1"/>
  <c r="O556" i="1"/>
  <c r="Q556" i="1"/>
  <c r="P556" i="1"/>
  <c r="S556" i="1"/>
  <c r="T556" i="1"/>
  <c r="V555" i="1"/>
  <c r="U556" i="1"/>
  <c r="W556" i="1"/>
  <c r="X556" i="1"/>
  <c r="AB556" i="1"/>
  <c r="L557" i="1"/>
  <c r="K557" i="1"/>
  <c r="M557" i="1"/>
  <c r="O557" i="1"/>
  <c r="Q557" i="1"/>
  <c r="P557" i="1"/>
  <c r="S557" i="1"/>
  <c r="T557" i="1"/>
  <c r="V556" i="1"/>
  <c r="U557" i="1"/>
  <c r="W557" i="1"/>
  <c r="X557" i="1"/>
  <c r="AB557" i="1"/>
  <c r="L558" i="1"/>
  <c r="K558" i="1"/>
  <c r="M558" i="1"/>
  <c r="O558" i="1"/>
  <c r="Q558" i="1"/>
  <c r="P558" i="1"/>
  <c r="S558" i="1"/>
  <c r="T558" i="1"/>
  <c r="V557" i="1"/>
  <c r="U558" i="1"/>
  <c r="W558" i="1"/>
  <c r="X558" i="1"/>
  <c r="AB558" i="1"/>
  <c r="L559" i="1"/>
  <c r="K559" i="1"/>
  <c r="M559" i="1"/>
  <c r="O559" i="1"/>
  <c r="Q559" i="1"/>
  <c r="P559" i="1"/>
  <c r="S559" i="1"/>
  <c r="T559" i="1"/>
  <c r="V558" i="1"/>
  <c r="U559" i="1"/>
  <c r="W559" i="1"/>
  <c r="X559" i="1"/>
  <c r="AB559" i="1"/>
  <c r="L560" i="1"/>
  <c r="K560" i="1"/>
  <c r="M560" i="1"/>
  <c r="O560" i="1"/>
  <c r="Q560" i="1"/>
  <c r="P560" i="1"/>
  <c r="S560" i="1"/>
  <c r="T560" i="1"/>
  <c r="V559" i="1"/>
  <c r="U560" i="1"/>
  <c r="W560" i="1"/>
  <c r="X560" i="1"/>
  <c r="AB560" i="1"/>
  <c r="L561" i="1"/>
  <c r="K561" i="1"/>
  <c r="M561" i="1"/>
  <c r="O561" i="1"/>
  <c r="Q561" i="1"/>
  <c r="P561" i="1"/>
  <c r="S561" i="1"/>
  <c r="T561" i="1"/>
  <c r="V560" i="1"/>
  <c r="U561" i="1"/>
  <c r="W561" i="1"/>
  <c r="X561" i="1"/>
  <c r="AB561" i="1"/>
  <c r="L562" i="1"/>
  <c r="K562" i="1"/>
  <c r="M562" i="1"/>
  <c r="O562" i="1"/>
  <c r="Q562" i="1"/>
  <c r="P562" i="1"/>
  <c r="S562" i="1"/>
  <c r="T562" i="1"/>
  <c r="V561" i="1"/>
  <c r="U562" i="1"/>
  <c r="W562" i="1"/>
  <c r="X562" i="1"/>
  <c r="AB562" i="1"/>
  <c r="L563" i="1"/>
  <c r="K563" i="1"/>
  <c r="M563" i="1"/>
  <c r="O563" i="1"/>
  <c r="Q563" i="1"/>
  <c r="P563" i="1"/>
  <c r="S563" i="1"/>
  <c r="T563" i="1"/>
  <c r="V562" i="1"/>
  <c r="U563" i="1"/>
  <c r="W563" i="1"/>
  <c r="X563" i="1"/>
  <c r="AB563" i="1"/>
  <c r="L564" i="1"/>
  <c r="K564" i="1"/>
  <c r="M564" i="1"/>
  <c r="O564" i="1"/>
  <c r="Q564" i="1"/>
  <c r="P564" i="1"/>
  <c r="S564" i="1"/>
  <c r="T564" i="1"/>
  <c r="V563" i="1"/>
  <c r="U564" i="1"/>
  <c r="W564" i="1"/>
  <c r="X564" i="1"/>
  <c r="AB564" i="1"/>
  <c r="L565" i="1"/>
  <c r="K565" i="1"/>
  <c r="M565" i="1"/>
  <c r="O565" i="1"/>
  <c r="Q565" i="1"/>
  <c r="P565" i="1"/>
  <c r="S565" i="1"/>
  <c r="T565" i="1"/>
  <c r="V564" i="1"/>
  <c r="U565" i="1"/>
  <c r="W565" i="1"/>
  <c r="X565" i="1"/>
  <c r="AB565" i="1"/>
  <c r="L566" i="1"/>
  <c r="K566" i="1"/>
  <c r="M566" i="1"/>
  <c r="O566" i="1"/>
  <c r="Q566" i="1"/>
  <c r="P566" i="1"/>
  <c r="S566" i="1"/>
  <c r="T566" i="1"/>
  <c r="V565" i="1"/>
  <c r="U566" i="1"/>
  <c r="W566" i="1"/>
  <c r="X566" i="1"/>
  <c r="AB566" i="1"/>
  <c r="L567" i="1"/>
  <c r="K567" i="1"/>
  <c r="M567" i="1"/>
  <c r="O567" i="1"/>
  <c r="Q567" i="1"/>
  <c r="P567" i="1"/>
  <c r="S567" i="1"/>
  <c r="T567" i="1"/>
  <c r="V566" i="1"/>
  <c r="U567" i="1"/>
  <c r="W567" i="1"/>
  <c r="X567" i="1"/>
  <c r="AB567" i="1"/>
  <c r="L568" i="1"/>
  <c r="K568" i="1"/>
  <c r="M568" i="1"/>
  <c r="O568" i="1"/>
  <c r="Q568" i="1"/>
  <c r="P568" i="1"/>
  <c r="S568" i="1"/>
  <c r="T568" i="1"/>
  <c r="V567" i="1"/>
  <c r="U568" i="1"/>
  <c r="W568" i="1"/>
  <c r="X568" i="1"/>
  <c r="AB568" i="1"/>
  <c r="L569" i="1"/>
  <c r="K569" i="1"/>
  <c r="M569" i="1"/>
  <c r="O569" i="1"/>
  <c r="Q569" i="1"/>
  <c r="P569" i="1"/>
  <c r="S569" i="1"/>
  <c r="T569" i="1"/>
  <c r="V568" i="1"/>
  <c r="U569" i="1"/>
  <c r="W569" i="1"/>
  <c r="X569" i="1"/>
  <c r="AB569" i="1"/>
  <c r="L570" i="1"/>
  <c r="K570" i="1"/>
  <c r="M570" i="1"/>
  <c r="O570" i="1"/>
  <c r="Q570" i="1"/>
  <c r="P570" i="1"/>
  <c r="S570" i="1"/>
  <c r="T570" i="1"/>
  <c r="V569" i="1"/>
  <c r="U570" i="1"/>
  <c r="W570" i="1"/>
  <c r="X570" i="1"/>
  <c r="AB570" i="1"/>
  <c r="L571" i="1"/>
  <c r="K571" i="1"/>
  <c r="M571" i="1"/>
  <c r="O571" i="1"/>
  <c r="Q571" i="1"/>
  <c r="P571" i="1"/>
  <c r="S571" i="1"/>
  <c r="T571" i="1"/>
  <c r="V570" i="1"/>
  <c r="U571" i="1"/>
  <c r="W571" i="1"/>
  <c r="X571" i="1"/>
  <c r="AB571" i="1"/>
  <c r="L572" i="1"/>
  <c r="K572" i="1"/>
  <c r="M572" i="1"/>
  <c r="O572" i="1"/>
  <c r="Q572" i="1"/>
  <c r="P572" i="1"/>
  <c r="S572" i="1"/>
  <c r="T572" i="1"/>
  <c r="V571" i="1"/>
  <c r="U572" i="1"/>
  <c r="W572" i="1"/>
  <c r="X572" i="1"/>
  <c r="AB572" i="1"/>
  <c r="L573" i="1"/>
  <c r="K573" i="1"/>
  <c r="M573" i="1"/>
  <c r="O573" i="1"/>
  <c r="Q573" i="1"/>
  <c r="P573" i="1"/>
  <c r="S573" i="1"/>
  <c r="T573" i="1"/>
  <c r="V572" i="1"/>
  <c r="U573" i="1"/>
  <c r="W573" i="1"/>
  <c r="X573" i="1"/>
  <c r="AB573" i="1"/>
  <c r="L574" i="1"/>
  <c r="K574" i="1"/>
  <c r="M574" i="1"/>
  <c r="O574" i="1"/>
  <c r="Q574" i="1"/>
  <c r="P574" i="1"/>
  <c r="S574" i="1"/>
  <c r="T574" i="1"/>
  <c r="V573" i="1"/>
  <c r="U574" i="1"/>
  <c r="W574" i="1"/>
  <c r="X574" i="1"/>
  <c r="AB574" i="1"/>
  <c r="L575" i="1"/>
  <c r="K575" i="1"/>
  <c r="M575" i="1"/>
  <c r="O575" i="1"/>
  <c r="Q575" i="1"/>
  <c r="P575" i="1"/>
  <c r="S575" i="1"/>
  <c r="J575" i="1"/>
  <c r="N575" i="1"/>
  <c r="T575" i="1"/>
  <c r="V574" i="1"/>
  <c r="U575" i="1"/>
  <c r="W575" i="1"/>
  <c r="X575" i="1"/>
  <c r="AB575" i="1"/>
  <c r="L576" i="1"/>
  <c r="K576" i="1"/>
  <c r="M576" i="1"/>
  <c r="O576" i="1"/>
  <c r="Q576" i="1"/>
  <c r="P576" i="1"/>
  <c r="S576" i="1"/>
  <c r="T576" i="1"/>
  <c r="V575" i="1"/>
  <c r="U576" i="1"/>
  <c r="W576" i="1"/>
  <c r="X576" i="1"/>
  <c r="AB576" i="1"/>
  <c r="L577" i="1"/>
  <c r="K577" i="1"/>
  <c r="M577" i="1"/>
  <c r="O577" i="1"/>
  <c r="Q577" i="1"/>
  <c r="P577" i="1"/>
  <c r="S577" i="1"/>
  <c r="T577" i="1"/>
  <c r="V576" i="1"/>
  <c r="U577" i="1"/>
  <c r="W577" i="1"/>
  <c r="X577" i="1"/>
  <c r="AB577" i="1"/>
  <c r="L578" i="1"/>
  <c r="K578" i="1"/>
  <c r="M578" i="1"/>
  <c r="O578" i="1"/>
  <c r="Q578" i="1"/>
  <c r="P578" i="1"/>
  <c r="S578" i="1"/>
  <c r="T578" i="1"/>
  <c r="V577" i="1"/>
  <c r="U578" i="1"/>
  <c r="W578" i="1"/>
  <c r="X578" i="1"/>
  <c r="AB578" i="1"/>
  <c r="L579" i="1"/>
  <c r="K579" i="1"/>
  <c r="M579" i="1"/>
  <c r="O579" i="1"/>
  <c r="Q579" i="1"/>
  <c r="P579" i="1"/>
  <c r="S579" i="1"/>
  <c r="T579" i="1"/>
  <c r="V578" i="1"/>
  <c r="U579" i="1"/>
  <c r="W579" i="1"/>
  <c r="X579" i="1"/>
  <c r="AB579" i="1"/>
  <c r="L580" i="1"/>
  <c r="K580" i="1"/>
  <c r="M580" i="1"/>
  <c r="O580" i="1"/>
  <c r="Q580" i="1"/>
  <c r="P580" i="1"/>
  <c r="S580" i="1"/>
  <c r="T580" i="1"/>
  <c r="V579" i="1"/>
  <c r="U580" i="1"/>
  <c r="W580" i="1"/>
  <c r="X580" i="1"/>
  <c r="AB580" i="1"/>
  <c r="L581" i="1"/>
  <c r="K581" i="1"/>
  <c r="M581" i="1"/>
  <c r="O581" i="1"/>
  <c r="Q581" i="1"/>
  <c r="P581" i="1"/>
  <c r="S581" i="1"/>
  <c r="T581" i="1"/>
  <c r="V580" i="1"/>
  <c r="U581" i="1"/>
  <c r="W581" i="1"/>
  <c r="X581" i="1"/>
  <c r="AB581" i="1"/>
  <c r="L582" i="1"/>
  <c r="K582" i="1"/>
  <c r="M582" i="1"/>
  <c r="O582" i="1"/>
  <c r="Q582" i="1"/>
  <c r="P582" i="1"/>
  <c r="S582" i="1"/>
  <c r="T582" i="1"/>
  <c r="V581" i="1"/>
  <c r="U582" i="1"/>
  <c r="W582" i="1"/>
  <c r="X582" i="1"/>
  <c r="AB582" i="1"/>
  <c r="L583" i="1"/>
  <c r="K583" i="1"/>
  <c r="M583" i="1"/>
  <c r="O583" i="1"/>
  <c r="Q583" i="1"/>
  <c r="P583" i="1"/>
  <c r="S583" i="1"/>
  <c r="T583" i="1"/>
  <c r="V582" i="1"/>
  <c r="U583" i="1"/>
  <c r="W583" i="1"/>
  <c r="X583" i="1"/>
  <c r="AB583" i="1"/>
  <c r="L584" i="1"/>
  <c r="K584" i="1"/>
  <c r="M584" i="1"/>
  <c r="O584" i="1"/>
  <c r="Q584" i="1"/>
  <c r="P584" i="1"/>
  <c r="S584" i="1"/>
  <c r="T584" i="1"/>
  <c r="V583" i="1"/>
  <c r="U584" i="1"/>
  <c r="W584" i="1"/>
  <c r="X584" i="1"/>
  <c r="AB584" i="1"/>
  <c r="L585" i="1"/>
  <c r="K585" i="1"/>
  <c r="M585" i="1"/>
  <c r="O585" i="1"/>
  <c r="Q585" i="1"/>
  <c r="P585" i="1"/>
  <c r="S585" i="1"/>
  <c r="T585" i="1"/>
  <c r="V584" i="1"/>
  <c r="U585" i="1"/>
  <c r="W585" i="1"/>
  <c r="X585" i="1"/>
  <c r="AB585" i="1"/>
  <c r="L586" i="1"/>
  <c r="K586" i="1"/>
  <c r="M586" i="1"/>
  <c r="O586" i="1"/>
  <c r="Q586" i="1"/>
  <c r="P586" i="1"/>
  <c r="S586" i="1"/>
  <c r="T586" i="1"/>
  <c r="V585" i="1"/>
  <c r="U586" i="1"/>
  <c r="W586" i="1"/>
  <c r="X586" i="1"/>
  <c r="AB586" i="1"/>
  <c r="L587" i="1"/>
  <c r="K587" i="1"/>
  <c r="M587" i="1"/>
  <c r="O587" i="1"/>
  <c r="Q587" i="1"/>
  <c r="P587" i="1"/>
  <c r="S587" i="1"/>
  <c r="T587" i="1"/>
  <c r="V586" i="1"/>
  <c r="U587" i="1"/>
  <c r="W587" i="1"/>
  <c r="X587" i="1"/>
  <c r="AB587" i="1"/>
  <c r="L588" i="1"/>
  <c r="K588" i="1"/>
  <c r="M588" i="1"/>
  <c r="O588" i="1"/>
  <c r="Q588" i="1"/>
  <c r="P588" i="1"/>
  <c r="S588" i="1"/>
  <c r="T588" i="1"/>
  <c r="V587" i="1"/>
  <c r="U588" i="1"/>
  <c r="W588" i="1"/>
  <c r="X588" i="1"/>
  <c r="AB588" i="1"/>
  <c r="L589" i="1"/>
  <c r="K589" i="1"/>
  <c r="M589" i="1"/>
  <c r="O589" i="1"/>
  <c r="Q589" i="1"/>
  <c r="P589" i="1"/>
  <c r="S589" i="1"/>
  <c r="T589" i="1"/>
  <c r="V588" i="1"/>
  <c r="U589" i="1"/>
  <c r="W589" i="1"/>
  <c r="X589" i="1"/>
  <c r="AB589" i="1"/>
  <c r="L590" i="1"/>
  <c r="K590" i="1"/>
  <c r="M590" i="1"/>
  <c r="O590" i="1"/>
  <c r="Q590" i="1"/>
  <c r="P590" i="1"/>
  <c r="S590" i="1"/>
  <c r="T590" i="1"/>
  <c r="V589" i="1"/>
  <c r="U590" i="1"/>
  <c r="W590" i="1"/>
  <c r="X590" i="1"/>
  <c r="AB590" i="1"/>
  <c r="L591" i="1"/>
  <c r="K591" i="1"/>
  <c r="M591" i="1"/>
  <c r="O591" i="1"/>
  <c r="Q591" i="1"/>
  <c r="P591" i="1"/>
  <c r="S591" i="1"/>
  <c r="T591" i="1"/>
  <c r="V590" i="1"/>
  <c r="U591" i="1"/>
  <c r="W591" i="1"/>
  <c r="X591" i="1"/>
  <c r="AB591" i="1"/>
  <c r="L592" i="1"/>
  <c r="K592" i="1"/>
  <c r="M592" i="1"/>
  <c r="O592" i="1"/>
  <c r="Q592" i="1"/>
  <c r="P592" i="1"/>
  <c r="S592" i="1"/>
  <c r="T592" i="1"/>
  <c r="V591" i="1"/>
  <c r="U592" i="1"/>
  <c r="W592" i="1"/>
  <c r="X592" i="1"/>
  <c r="AB592" i="1"/>
  <c r="L593" i="1"/>
  <c r="K593" i="1"/>
  <c r="M593" i="1"/>
  <c r="O593" i="1"/>
  <c r="Q593" i="1"/>
  <c r="P593" i="1"/>
  <c r="S593" i="1"/>
  <c r="T593" i="1"/>
  <c r="V592" i="1"/>
  <c r="U593" i="1"/>
  <c r="W593" i="1"/>
  <c r="X593" i="1"/>
  <c r="AB593" i="1"/>
  <c r="L594" i="1"/>
  <c r="K594" i="1"/>
  <c r="M594" i="1"/>
  <c r="O594" i="1"/>
  <c r="Q594" i="1"/>
  <c r="P594" i="1"/>
  <c r="S594" i="1"/>
  <c r="T594" i="1"/>
  <c r="V593" i="1"/>
  <c r="U594" i="1"/>
  <c r="W594" i="1"/>
  <c r="X594" i="1"/>
  <c r="AB594" i="1"/>
  <c r="L595" i="1"/>
  <c r="K595" i="1"/>
  <c r="M595" i="1"/>
  <c r="O595" i="1"/>
  <c r="Q595" i="1"/>
  <c r="P595" i="1"/>
  <c r="S595" i="1"/>
  <c r="T595" i="1"/>
  <c r="V594" i="1"/>
  <c r="U595" i="1"/>
  <c r="W595" i="1"/>
  <c r="X595" i="1"/>
  <c r="AB595" i="1"/>
  <c r="L596" i="1"/>
  <c r="K596" i="1"/>
  <c r="M596" i="1"/>
  <c r="O596" i="1"/>
  <c r="Q596" i="1"/>
  <c r="P596" i="1"/>
  <c r="S596" i="1"/>
  <c r="T596" i="1"/>
  <c r="V595" i="1"/>
  <c r="U596" i="1"/>
  <c r="W596" i="1"/>
  <c r="X596" i="1"/>
  <c r="AB596" i="1"/>
  <c r="L597" i="1"/>
  <c r="K597" i="1"/>
  <c r="M597" i="1"/>
  <c r="O597" i="1"/>
  <c r="Q597" i="1"/>
  <c r="P597" i="1"/>
  <c r="S597" i="1"/>
  <c r="T597" i="1"/>
  <c r="V596" i="1"/>
  <c r="U597" i="1"/>
  <c r="W597" i="1"/>
  <c r="X597" i="1"/>
  <c r="AB597" i="1"/>
  <c r="L598" i="1"/>
  <c r="K598" i="1"/>
  <c r="M598" i="1"/>
  <c r="O598" i="1"/>
  <c r="Q598" i="1"/>
  <c r="P598" i="1"/>
  <c r="S598" i="1"/>
  <c r="T598" i="1"/>
  <c r="V597" i="1"/>
  <c r="U598" i="1"/>
  <c r="W598" i="1"/>
  <c r="X598" i="1"/>
  <c r="AB598" i="1"/>
  <c r="L599" i="1"/>
  <c r="K599" i="1"/>
  <c r="M599" i="1"/>
  <c r="O599" i="1"/>
  <c r="Q599" i="1"/>
  <c r="P599" i="1"/>
  <c r="S599" i="1"/>
  <c r="T599" i="1"/>
  <c r="V598" i="1"/>
  <c r="U599" i="1"/>
  <c r="W599" i="1"/>
  <c r="X599" i="1"/>
  <c r="AB599" i="1"/>
  <c r="L600" i="1"/>
  <c r="K600" i="1"/>
  <c r="M600" i="1"/>
  <c r="O600" i="1"/>
  <c r="Q600" i="1"/>
  <c r="P600" i="1"/>
  <c r="S600" i="1"/>
  <c r="T600" i="1"/>
  <c r="V599" i="1"/>
  <c r="U600" i="1"/>
  <c r="W600" i="1"/>
  <c r="X600" i="1"/>
  <c r="AB600" i="1"/>
  <c r="L601" i="1"/>
  <c r="K601" i="1"/>
  <c r="M601" i="1"/>
  <c r="O601" i="1"/>
  <c r="Q601" i="1"/>
  <c r="P601" i="1"/>
  <c r="S601" i="1"/>
  <c r="T601" i="1"/>
  <c r="V600" i="1"/>
  <c r="U601" i="1"/>
  <c r="W601" i="1"/>
  <c r="X601" i="1"/>
  <c r="AB601" i="1"/>
  <c r="L602" i="1"/>
  <c r="K602" i="1"/>
  <c r="M602" i="1"/>
  <c r="O602" i="1"/>
  <c r="Q602" i="1"/>
  <c r="P602" i="1"/>
  <c r="S602" i="1"/>
  <c r="T602" i="1"/>
  <c r="V601" i="1"/>
  <c r="U602" i="1"/>
  <c r="W602" i="1"/>
  <c r="X602" i="1"/>
  <c r="AB602" i="1"/>
  <c r="L603" i="1"/>
  <c r="K603" i="1"/>
  <c r="M603" i="1"/>
  <c r="O603" i="1"/>
  <c r="Q603" i="1"/>
  <c r="P603" i="1"/>
  <c r="S603" i="1"/>
  <c r="T603" i="1"/>
  <c r="V602" i="1"/>
  <c r="U603" i="1"/>
  <c r="W603" i="1"/>
  <c r="X603" i="1"/>
  <c r="AB603" i="1"/>
  <c r="L604" i="1"/>
  <c r="K604" i="1"/>
  <c r="M604" i="1"/>
  <c r="O604" i="1"/>
  <c r="Q604" i="1"/>
  <c r="P604" i="1"/>
  <c r="S604" i="1"/>
  <c r="T604" i="1"/>
  <c r="V603" i="1"/>
  <c r="U604" i="1"/>
  <c r="W604" i="1"/>
  <c r="X604" i="1"/>
  <c r="AB604" i="1"/>
  <c r="L605" i="1"/>
  <c r="K605" i="1"/>
  <c r="M605" i="1"/>
  <c r="O605" i="1"/>
  <c r="Q605" i="1"/>
  <c r="P605" i="1"/>
  <c r="S605" i="1"/>
  <c r="T605" i="1"/>
  <c r="V604" i="1"/>
  <c r="U605" i="1"/>
  <c r="W605" i="1"/>
  <c r="X605" i="1"/>
  <c r="AB605" i="1"/>
  <c r="L606" i="1"/>
  <c r="K606" i="1"/>
  <c r="M606" i="1"/>
  <c r="O606" i="1"/>
  <c r="Q606" i="1"/>
  <c r="P606" i="1"/>
  <c r="S606" i="1"/>
  <c r="T606" i="1"/>
  <c r="V605" i="1"/>
  <c r="U606" i="1"/>
  <c r="W606" i="1"/>
  <c r="X606" i="1"/>
  <c r="AB606" i="1"/>
  <c r="L607" i="1"/>
  <c r="K607" i="1"/>
  <c r="M607" i="1"/>
  <c r="O607" i="1"/>
  <c r="Q607" i="1"/>
  <c r="P607" i="1"/>
  <c r="S607" i="1"/>
  <c r="T607" i="1"/>
  <c r="V606" i="1"/>
  <c r="U607" i="1"/>
  <c r="W607" i="1"/>
  <c r="X607" i="1"/>
  <c r="AB607" i="1"/>
  <c r="L608" i="1"/>
  <c r="K608" i="1"/>
  <c r="M608" i="1"/>
  <c r="O608" i="1"/>
  <c r="Q608" i="1"/>
  <c r="P608" i="1"/>
  <c r="S608" i="1"/>
  <c r="T608" i="1"/>
  <c r="V607" i="1"/>
  <c r="U608" i="1"/>
  <c r="W608" i="1"/>
  <c r="X608" i="1"/>
  <c r="AB608" i="1"/>
  <c r="L609" i="1"/>
  <c r="K609" i="1"/>
  <c r="M609" i="1"/>
  <c r="O609" i="1"/>
  <c r="Q609" i="1"/>
  <c r="P609" i="1"/>
  <c r="S609" i="1"/>
  <c r="T609" i="1"/>
  <c r="V608" i="1"/>
  <c r="U609" i="1"/>
  <c r="W609" i="1"/>
  <c r="X609" i="1"/>
  <c r="AB609" i="1"/>
  <c r="L610" i="1"/>
  <c r="K610" i="1"/>
  <c r="M610" i="1"/>
  <c r="O610" i="1"/>
  <c r="Q610" i="1"/>
  <c r="P610" i="1"/>
  <c r="S610" i="1"/>
  <c r="T610" i="1"/>
  <c r="V609" i="1"/>
  <c r="U610" i="1"/>
  <c r="W610" i="1"/>
  <c r="X610" i="1"/>
  <c r="AB610" i="1"/>
  <c r="L611" i="1"/>
  <c r="K611" i="1"/>
  <c r="M611" i="1"/>
  <c r="O611" i="1"/>
  <c r="Q611" i="1"/>
  <c r="P611" i="1"/>
  <c r="S611" i="1"/>
  <c r="T611" i="1"/>
  <c r="V610" i="1"/>
  <c r="U611" i="1"/>
  <c r="W611" i="1"/>
  <c r="X611" i="1"/>
  <c r="AB611" i="1"/>
  <c r="L612" i="1"/>
  <c r="K612" i="1"/>
  <c r="M612" i="1"/>
  <c r="O612" i="1"/>
  <c r="Q612" i="1"/>
  <c r="P612" i="1"/>
  <c r="S612" i="1"/>
  <c r="T612" i="1"/>
  <c r="V611" i="1"/>
  <c r="U612" i="1"/>
  <c r="W612" i="1"/>
  <c r="X612" i="1"/>
  <c r="AB612" i="1"/>
  <c r="L613" i="1"/>
  <c r="K613" i="1"/>
  <c r="M613" i="1"/>
  <c r="O613" i="1"/>
  <c r="Q613" i="1"/>
  <c r="P613" i="1"/>
  <c r="S613" i="1"/>
  <c r="T613" i="1"/>
  <c r="V612" i="1"/>
  <c r="U613" i="1"/>
  <c r="W613" i="1"/>
  <c r="X613" i="1"/>
  <c r="AB613" i="1"/>
  <c r="L614" i="1"/>
  <c r="K614" i="1"/>
  <c r="M614" i="1"/>
  <c r="O614" i="1"/>
  <c r="Q614" i="1"/>
  <c r="P614" i="1"/>
  <c r="S614" i="1"/>
  <c r="T614" i="1"/>
  <c r="V613" i="1"/>
  <c r="U614" i="1"/>
  <c r="W614" i="1"/>
  <c r="X614" i="1"/>
  <c r="AB614" i="1"/>
  <c r="L615" i="1"/>
  <c r="K615" i="1"/>
  <c r="M615" i="1"/>
  <c r="O615" i="1"/>
  <c r="Q615" i="1"/>
  <c r="P615" i="1"/>
  <c r="S615" i="1"/>
  <c r="T615" i="1"/>
  <c r="V614" i="1"/>
  <c r="U615" i="1"/>
  <c r="W615" i="1"/>
  <c r="X615" i="1"/>
  <c r="AB615" i="1"/>
  <c r="L616" i="1"/>
  <c r="K616" i="1"/>
  <c r="M616" i="1"/>
  <c r="O616" i="1"/>
  <c r="Q616" i="1"/>
  <c r="P616" i="1"/>
  <c r="S616" i="1"/>
  <c r="T616" i="1"/>
  <c r="V615" i="1"/>
  <c r="U616" i="1"/>
  <c r="W616" i="1"/>
  <c r="X616" i="1"/>
  <c r="AB616" i="1"/>
  <c r="L617" i="1"/>
  <c r="K617" i="1"/>
  <c r="M617" i="1"/>
  <c r="O617" i="1"/>
  <c r="Q617" i="1"/>
  <c r="P617" i="1"/>
  <c r="S617" i="1"/>
  <c r="T617" i="1"/>
  <c r="V616" i="1"/>
  <c r="U617" i="1"/>
  <c r="W617" i="1"/>
  <c r="X617" i="1"/>
  <c r="AB617" i="1"/>
  <c r="L618" i="1"/>
  <c r="K618" i="1"/>
  <c r="M618" i="1"/>
  <c r="O618" i="1"/>
  <c r="Q618" i="1"/>
  <c r="P618" i="1"/>
  <c r="S618" i="1"/>
  <c r="T618" i="1"/>
  <c r="V617" i="1"/>
  <c r="U618" i="1"/>
  <c r="W618" i="1"/>
  <c r="X618" i="1"/>
  <c r="AB618" i="1"/>
  <c r="L619" i="1"/>
  <c r="K619" i="1"/>
  <c r="M619" i="1"/>
  <c r="O619" i="1"/>
  <c r="Q619" i="1"/>
  <c r="P619" i="1"/>
  <c r="S619" i="1"/>
  <c r="T619" i="1"/>
  <c r="V618" i="1"/>
  <c r="U619" i="1"/>
  <c r="W619" i="1"/>
  <c r="X619" i="1"/>
  <c r="AB619" i="1"/>
  <c r="L620" i="1"/>
  <c r="K620" i="1"/>
  <c r="M620" i="1"/>
  <c r="O620" i="1"/>
  <c r="Q620" i="1"/>
  <c r="P620" i="1"/>
  <c r="S620" i="1"/>
  <c r="T620" i="1"/>
  <c r="V619" i="1"/>
  <c r="U620" i="1"/>
  <c r="W620" i="1"/>
  <c r="X620" i="1"/>
  <c r="AB620" i="1"/>
  <c r="L621" i="1"/>
  <c r="K621" i="1"/>
  <c r="M621" i="1"/>
  <c r="O621" i="1"/>
  <c r="Q621" i="1"/>
  <c r="P621" i="1"/>
  <c r="S621" i="1"/>
  <c r="T621" i="1"/>
  <c r="V620" i="1"/>
  <c r="U621" i="1"/>
  <c r="W621" i="1"/>
  <c r="X621" i="1"/>
  <c r="AB621" i="1"/>
  <c r="L622" i="1"/>
  <c r="K622" i="1"/>
  <c r="M622" i="1"/>
  <c r="O622" i="1"/>
  <c r="Q622" i="1"/>
  <c r="P622" i="1"/>
  <c r="S622" i="1"/>
  <c r="T622" i="1"/>
  <c r="V621" i="1"/>
  <c r="U622" i="1"/>
  <c r="W622" i="1"/>
  <c r="X622" i="1"/>
  <c r="AB622" i="1"/>
  <c r="L623" i="1"/>
  <c r="K623" i="1"/>
  <c r="M623" i="1"/>
  <c r="O623" i="1"/>
  <c r="Q623" i="1"/>
  <c r="P623" i="1"/>
  <c r="S623" i="1"/>
  <c r="J623" i="1"/>
  <c r="N623" i="1"/>
  <c r="T623" i="1"/>
  <c r="V622" i="1"/>
  <c r="U623" i="1"/>
  <c r="W623" i="1"/>
  <c r="X623" i="1"/>
  <c r="AB623" i="1"/>
  <c r="L624" i="1"/>
  <c r="K624" i="1"/>
  <c r="M624" i="1"/>
  <c r="O624" i="1"/>
  <c r="Q624" i="1"/>
  <c r="P624" i="1"/>
  <c r="S624" i="1"/>
  <c r="T624" i="1"/>
  <c r="V623" i="1"/>
  <c r="U624" i="1"/>
  <c r="W624" i="1"/>
  <c r="X624" i="1"/>
  <c r="AB624" i="1"/>
  <c r="L625" i="1"/>
  <c r="K625" i="1"/>
  <c r="M625" i="1"/>
  <c r="O625" i="1"/>
  <c r="Q625" i="1"/>
  <c r="P625" i="1"/>
  <c r="S625" i="1"/>
  <c r="T625" i="1"/>
  <c r="V624" i="1"/>
  <c r="U625" i="1"/>
  <c r="W625" i="1"/>
  <c r="X625" i="1"/>
  <c r="AB625" i="1"/>
  <c r="L626" i="1"/>
  <c r="K626" i="1"/>
  <c r="M626" i="1"/>
  <c r="O626" i="1"/>
  <c r="Q626" i="1"/>
  <c r="P626" i="1"/>
  <c r="S626" i="1"/>
  <c r="T626" i="1"/>
  <c r="V625" i="1"/>
  <c r="U626" i="1"/>
  <c r="W626" i="1"/>
  <c r="X626" i="1"/>
  <c r="AB626" i="1"/>
  <c r="L627" i="1"/>
  <c r="K627" i="1"/>
  <c r="M627" i="1"/>
  <c r="O627" i="1"/>
  <c r="Q627" i="1"/>
  <c r="P627" i="1"/>
  <c r="S627" i="1"/>
  <c r="T627" i="1"/>
  <c r="V626" i="1"/>
  <c r="U627" i="1"/>
  <c r="W627" i="1"/>
  <c r="X627" i="1"/>
  <c r="AB627" i="1"/>
  <c r="L628" i="1"/>
  <c r="K628" i="1"/>
  <c r="M628" i="1"/>
  <c r="O628" i="1"/>
  <c r="Q628" i="1"/>
  <c r="P628" i="1"/>
  <c r="S628" i="1"/>
  <c r="T628" i="1"/>
  <c r="V627" i="1"/>
  <c r="U628" i="1"/>
  <c r="W628" i="1"/>
  <c r="X628" i="1"/>
  <c r="AB628" i="1"/>
  <c r="L629" i="1"/>
  <c r="K629" i="1"/>
  <c r="M629" i="1"/>
  <c r="O629" i="1"/>
  <c r="Q629" i="1"/>
  <c r="P629" i="1"/>
  <c r="S629" i="1"/>
  <c r="T629" i="1"/>
  <c r="V628" i="1"/>
  <c r="U629" i="1"/>
  <c r="W629" i="1"/>
  <c r="X629" i="1"/>
  <c r="AB629" i="1"/>
  <c r="L630" i="1"/>
  <c r="K630" i="1"/>
  <c r="M630" i="1"/>
  <c r="O630" i="1"/>
  <c r="Q630" i="1"/>
  <c r="P630" i="1"/>
  <c r="S630" i="1"/>
  <c r="T630" i="1"/>
  <c r="V629" i="1"/>
  <c r="U630" i="1"/>
  <c r="W630" i="1"/>
  <c r="X630" i="1"/>
  <c r="AB630" i="1"/>
  <c r="L631" i="1"/>
  <c r="K631" i="1"/>
  <c r="M631" i="1"/>
  <c r="O631" i="1"/>
  <c r="Q631" i="1"/>
  <c r="P631" i="1"/>
  <c r="S631" i="1"/>
  <c r="T631" i="1"/>
  <c r="V630" i="1"/>
  <c r="U631" i="1"/>
  <c r="W631" i="1"/>
  <c r="X631" i="1"/>
  <c r="AB631" i="1"/>
  <c r="L632" i="1"/>
  <c r="K632" i="1"/>
  <c r="M632" i="1"/>
  <c r="O632" i="1"/>
  <c r="Q632" i="1"/>
  <c r="P632" i="1"/>
  <c r="S632" i="1"/>
  <c r="T632" i="1"/>
  <c r="V631" i="1"/>
  <c r="U632" i="1"/>
  <c r="W632" i="1"/>
  <c r="X632" i="1"/>
  <c r="AB632" i="1"/>
  <c r="L633" i="1"/>
  <c r="K633" i="1"/>
  <c r="M633" i="1"/>
  <c r="O633" i="1"/>
  <c r="Q633" i="1"/>
  <c r="P633" i="1"/>
  <c r="S633" i="1"/>
  <c r="T633" i="1"/>
  <c r="V632" i="1"/>
  <c r="U633" i="1"/>
  <c r="W633" i="1"/>
  <c r="X633" i="1"/>
  <c r="AB633" i="1"/>
  <c r="L634" i="1"/>
  <c r="K634" i="1"/>
  <c r="M634" i="1"/>
  <c r="O634" i="1"/>
  <c r="Q634" i="1"/>
  <c r="P634" i="1"/>
  <c r="S634" i="1"/>
  <c r="T634" i="1"/>
  <c r="V633" i="1"/>
  <c r="U634" i="1"/>
  <c r="W634" i="1"/>
  <c r="X634" i="1"/>
  <c r="AB634" i="1"/>
  <c r="L635" i="1"/>
  <c r="K635" i="1"/>
  <c r="M635" i="1"/>
  <c r="O635" i="1"/>
  <c r="Q635" i="1"/>
  <c r="P635" i="1"/>
  <c r="S635" i="1"/>
  <c r="T635" i="1"/>
  <c r="V634" i="1"/>
  <c r="U635" i="1"/>
  <c r="W635" i="1"/>
  <c r="X635" i="1"/>
  <c r="AB635" i="1"/>
  <c r="L636" i="1"/>
  <c r="K636" i="1"/>
  <c r="M636" i="1"/>
  <c r="O636" i="1"/>
  <c r="Q636" i="1"/>
  <c r="P636" i="1"/>
  <c r="S636" i="1"/>
  <c r="T636" i="1"/>
  <c r="V635" i="1"/>
  <c r="U636" i="1"/>
  <c r="W636" i="1"/>
  <c r="X636" i="1"/>
  <c r="AB636" i="1"/>
  <c r="L637" i="1"/>
  <c r="K637" i="1"/>
  <c r="M637" i="1"/>
  <c r="O637" i="1"/>
  <c r="Q637" i="1"/>
  <c r="P637" i="1"/>
  <c r="S637" i="1"/>
  <c r="T637" i="1"/>
  <c r="V636" i="1"/>
  <c r="U637" i="1"/>
  <c r="W637" i="1"/>
  <c r="X637" i="1"/>
  <c r="AB637" i="1"/>
  <c r="L638" i="1"/>
  <c r="K638" i="1"/>
  <c r="M638" i="1"/>
  <c r="O638" i="1"/>
  <c r="Q638" i="1"/>
  <c r="P638" i="1"/>
  <c r="S638" i="1"/>
  <c r="T638" i="1"/>
  <c r="V637" i="1"/>
  <c r="U638" i="1"/>
  <c r="W638" i="1"/>
  <c r="X638" i="1"/>
  <c r="AB638" i="1"/>
  <c r="L639" i="1"/>
  <c r="K639" i="1"/>
  <c r="M639" i="1"/>
  <c r="O639" i="1"/>
  <c r="Q639" i="1"/>
  <c r="P639" i="1"/>
  <c r="S639" i="1"/>
  <c r="T639" i="1"/>
  <c r="V638" i="1"/>
  <c r="U639" i="1"/>
  <c r="W639" i="1"/>
  <c r="X639" i="1"/>
  <c r="AB639" i="1"/>
  <c r="L640" i="1"/>
  <c r="K640" i="1"/>
  <c r="M640" i="1"/>
  <c r="O640" i="1"/>
  <c r="Q640" i="1"/>
  <c r="P640" i="1"/>
  <c r="S640" i="1"/>
  <c r="T640" i="1"/>
  <c r="V639" i="1"/>
  <c r="U640" i="1"/>
  <c r="W640" i="1"/>
  <c r="X640" i="1"/>
  <c r="AB640" i="1"/>
  <c r="L641" i="1"/>
  <c r="K641" i="1"/>
  <c r="M641" i="1"/>
  <c r="O641" i="1"/>
  <c r="Q641" i="1"/>
  <c r="P641" i="1"/>
  <c r="S641" i="1"/>
  <c r="T641" i="1"/>
  <c r="V640" i="1"/>
  <c r="U641" i="1"/>
  <c r="W641" i="1"/>
  <c r="X641" i="1"/>
  <c r="AB641" i="1"/>
  <c r="L642" i="1"/>
  <c r="K642" i="1"/>
  <c r="M642" i="1"/>
  <c r="O642" i="1"/>
  <c r="Q642" i="1"/>
  <c r="P642" i="1"/>
  <c r="S642" i="1"/>
  <c r="T642" i="1"/>
  <c r="V641" i="1"/>
  <c r="U642" i="1"/>
  <c r="W642" i="1"/>
  <c r="X642" i="1"/>
  <c r="AB642" i="1"/>
  <c r="L643" i="1"/>
  <c r="K643" i="1"/>
  <c r="M643" i="1"/>
  <c r="O643" i="1"/>
  <c r="Q643" i="1"/>
  <c r="P643" i="1"/>
  <c r="S643" i="1"/>
  <c r="T643" i="1"/>
  <c r="V642" i="1"/>
  <c r="U643" i="1"/>
  <c r="W643" i="1"/>
  <c r="X643" i="1"/>
  <c r="AB643" i="1"/>
  <c r="L644" i="1"/>
  <c r="K644" i="1"/>
  <c r="M644" i="1"/>
  <c r="O644" i="1"/>
  <c r="Q644" i="1"/>
  <c r="P644" i="1"/>
  <c r="S644" i="1"/>
  <c r="T644" i="1"/>
  <c r="V643" i="1"/>
  <c r="U644" i="1"/>
  <c r="W644" i="1"/>
  <c r="X644" i="1"/>
  <c r="AB644" i="1"/>
  <c r="L645" i="1"/>
  <c r="K645" i="1"/>
  <c r="M645" i="1"/>
  <c r="O645" i="1"/>
  <c r="Q645" i="1"/>
  <c r="P645" i="1"/>
  <c r="S645" i="1"/>
  <c r="T645" i="1"/>
  <c r="V644" i="1"/>
  <c r="U645" i="1"/>
  <c r="W645" i="1"/>
  <c r="X645" i="1"/>
  <c r="AB645" i="1"/>
  <c r="L646" i="1"/>
  <c r="K646" i="1"/>
  <c r="M646" i="1"/>
  <c r="O646" i="1"/>
  <c r="Q646" i="1"/>
  <c r="P646" i="1"/>
  <c r="S646" i="1"/>
  <c r="T646" i="1"/>
  <c r="V645" i="1"/>
  <c r="U646" i="1"/>
  <c r="W646" i="1"/>
  <c r="X646" i="1"/>
  <c r="AB646" i="1"/>
  <c r="L647" i="1"/>
  <c r="K647" i="1"/>
  <c r="M647" i="1"/>
  <c r="O647" i="1"/>
  <c r="Q647" i="1"/>
  <c r="P647" i="1"/>
  <c r="S647" i="1"/>
  <c r="T647" i="1"/>
  <c r="V646" i="1"/>
  <c r="U647" i="1"/>
  <c r="W647" i="1"/>
  <c r="X647" i="1"/>
  <c r="AB647" i="1"/>
  <c r="L648" i="1"/>
  <c r="K648" i="1"/>
  <c r="M648" i="1"/>
  <c r="O648" i="1"/>
  <c r="Q648" i="1"/>
  <c r="P648" i="1"/>
  <c r="S648" i="1"/>
  <c r="T648" i="1"/>
  <c r="V647" i="1"/>
  <c r="U648" i="1"/>
  <c r="W648" i="1"/>
  <c r="X648" i="1"/>
  <c r="AB648" i="1"/>
  <c r="L649" i="1"/>
  <c r="K649" i="1"/>
  <c r="M649" i="1"/>
  <c r="O649" i="1"/>
  <c r="Q649" i="1"/>
  <c r="P649" i="1"/>
  <c r="S649" i="1"/>
  <c r="T649" i="1"/>
  <c r="V648" i="1"/>
  <c r="U649" i="1"/>
  <c r="W649" i="1"/>
  <c r="X649" i="1"/>
  <c r="AB649" i="1"/>
  <c r="L650" i="1"/>
  <c r="K650" i="1"/>
  <c r="M650" i="1"/>
  <c r="O650" i="1"/>
  <c r="Q650" i="1"/>
  <c r="P650" i="1"/>
  <c r="S650" i="1"/>
  <c r="T650" i="1"/>
  <c r="V649" i="1"/>
  <c r="U650" i="1"/>
  <c r="W650" i="1"/>
  <c r="X650" i="1"/>
  <c r="AB650" i="1"/>
  <c r="L651" i="1"/>
  <c r="K651" i="1"/>
  <c r="M651" i="1"/>
  <c r="O651" i="1"/>
  <c r="Q651" i="1"/>
  <c r="P651" i="1"/>
  <c r="S651" i="1"/>
  <c r="T651" i="1"/>
  <c r="V650" i="1"/>
  <c r="U651" i="1"/>
  <c r="W651" i="1"/>
  <c r="X651" i="1"/>
  <c r="AB651" i="1"/>
  <c r="L652" i="1"/>
  <c r="K652" i="1"/>
  <c r="M652" i="1"/>
  <c r="O652" i="1"/>
  <c r="Q652" i="1"/>
  <c r="P652" i="1"/>
  <c r="S652" i="1"/>
  <c r="T652" i="1"/>
  <c r="V651" i="1"/>
  <c r="U652" i="1"/>
  <c r="W652" i="1"/>
  <c r="X652" i="1"/>
  <c r="AB652" i="1"/>
  <c r="L653" i="1"/>
  <c r="K653" i="1"/>
  <c r="M653" i="1"/>
  <c r="O653" i="1"/>
  <c r="Q653" i="1"/>
  <c r="P653" i="1"/>
  <c r="S653" i="1"/>
  <c r="T653" i="1"/>
  <c r="V652" i="1"/>
  <c r="U653" i="1"/>
  <c r="W653" i="1"/>
  <c r="X653" i="1"/>
  <c r="AB653" i="1"/>
  <c r="L654" i="1"/>
  <c r="K654" i="1"/>
  <c r="M654" i="1"/>
  <c r="O654" i="1"/>
  <c r="Q654" i="1"/>
  <c r="P654" i="1"/>
  <c r="S654" i="1"/>
  <c r="T654" i="1"/>
  <c r="V653" i="1"/>
  <c r="U654" i="1"/>
  <c r="W654" i="1"/>
  <c r="X654" i="1"/>
  <c r="AB654" i="1"/>
  <c r="L655" i="1"/>
  <c r="K655" i="1"/>
  <c r="M655" i="1"/>
  <c r="O655" i="1"/>
  <c r="Q655" i="1"/>
  <c r="P655" i="1"/>
  <c r="S655" i="1"/>
  <c r="T655" i="1"/>
  <c r="V654" i="1"/>
  <c r="U655" i="1"/>
  <c r="W655" i="1"/>
  <c r="X655" i="1"/>
  <c r="AB655" i="1"/>
  <c r="L656" i="1"/>
  <c r="K656" i="1"/>
  <c r="M656" i="1"/>
  <c r="O656" i="1"/>
  <c r="Q656" i="1"/>
  <c r="P656" i="1"/>
  <c r="S656" i="1"/>
  <c r="T656" i="1"/>
  <c r="V655" i="1"/>
  <c r="U656" i="1"/>
  <c r="W656" i="1"/>
  <c r="X656" i="1"/>
  <c r="AB656" i="1"/>
  <c r="L657" i="1"/>
  <c r="K657" i="1"/>
  <c r="M657" i="1"/>
  <c r="O657" i="1"/>
  <c r="Q657" i="1"/>
  <c r="P657" i="1"/>
  <c r="S657" i="1"/>
  <c r="T657" i="1"/>
  <c r="V656" i="1"/>
  <c r="U657" i="1"/>
  <c r="W657" i="1"/>
  <c r="X657" i="1"/>
  <c r="AB657" i="1"/>
  <c r="L658" i="1"/>
  <c r="K658" i="1"/>
  <c r="M658" i="1"/>
  <c r="O658" i="1"/>
  <c r="Q658" i="1"/>
  <c r="P658" i="1"/>
  <c r="S658" i="1"/>
  <c r="T658" i="1"/>
  <c r="V657" i="1"/>
  <c r="U658" i="1"/>
  <c r="W658" i="1"/>
  <c r="X658" i="1"/>
  <c r="AB658" i="1"/>
  <c r="L659" i="1"/>
  <c r="K659" i="1"/>
  <c r="M659" i="1"/>
  <c r="O659" i="1"/>
  <c r="Q659" i="1"/>
  <c r="P659" i="1"/>
  <c r="S659" i="1"/>
  <c r="T659" i="1"/>
  <c r="V658" i="1"/>
  <c r="U659" i="1"/>
  <c r="W659" i="1"/>
  <c r="X659" i="1"/>
  <c r="AB659" i="1"/>
  <c r="L660" i="1"/>
  <c r="K660" i="1"/>
  <c r="M660" i="1"/>
  <c r="O660" i="1"/>
  <c r="Q660" i="1"/>
  <c r="P660" i="1"/>
  <c r="S660" i="1"/>
  <c r="T660" i="1"/>
  <c r="V659" i="1"/>
  <c r="U660" i="1"/>
  <c r="W660" i="1"/>
  <c r="X660" i="1"/>
  <c r="AB660" i="1"/>
  <c r="L661" i="1"/>
  <c r="K661" i="1"/>
  <c r="M661" i="1"/>
  <c r="O661" i="1"/>
  <c r="Q661" i="1"/>
  <c r="P661" i="1"/>
  <c r="S661" i="1"/>
  <c r="T661" i="1"/>
  <c r="V660" i="1"/>
  <c r="U661" i="1"/>
  <c r="W661" i="1"/>
  <c r="X661" i="1"/>
  <c r="AB661" i="1"/>
  <c r="L662" i="1"/>
  <c r="K662" i="1"/>
  <c r="M662" i="1"/>
  <c r="O662" i="1"/>
  <c r="Q662" i="1"/>
  <c r="P662" i="1"/>
  <c r="S662" i="1"/>
  <c r="T662" i="1"/>
  <c r="V661" i="1"/>
  <c r="U662" i="1"/>
  <c r="W662" i="1"/>
  <c r="X662" i="1"/>
  <c r="AB662" i="1"/>
  <c r="L663" i="1"/>
  <c r="K663" i="1"/>
  <c r="M663" i="1"/>
  <c r="O663" i="1"/>
  <c r="Q663" i="1"/>
  <c r="P663" i="1"/>
  <c r="S663" i="1"/>
  <c r="T663" i="1"/>
  <c r="V662" i="1"/>
  <c r="U663" i="1"/>
  <c r="W663" i="1"/>
  <c r="X663" i="1"/>
  <c r="AB663" i="1"/>
  <c r="L664" i="1"/>
  <c r="K664" i="1"/>
  <c r="M664" i="1"/>
  <c r="O664" i="1"/>
  <c r="Q664" i="1"/>
  <c r="P664" i="1"/>
  <c r="S664" i="1"/>
  <c r="T664" i="1"/>
  <c r="V663" i="1"/>
  <c r="U664" i="1"/>
  <c r="W664" i="1"/>
  <c r="X664" i="1"/>
  <c r="AB664" i="1"/>
  <c r="L665" i="1"/>
  <c r="K665" i="1"/>
  <c r="M665" i="1"/>
  <c r="O665" i="1"/>
  <c r="Q665" i="1"/>
  <c r="P665" i="1"/>
  <c r="S665" i="1"/>
  <c r="T665" i="1"/>
  <c r="V664" i="1"/>
  <c r="U665" i="1"/>
  <c r="W665" i="1"/>
  <c r="X665" i="1"/>
  <c r="AB665" i="1"/>
  <c r="L666" i="1"/>
  <c r="K666" i="1"/>
  <c r="M666" i="1"/>
  <c r="O666" i="1"/>
  <c r="Q666" i="1"/>
  <c r="P666" i="1"/>
  <c r="S666" i="1"/>
  <c r="T666" i="1"/>
  <c r="V665" i="1"/>
  <c r="U666" i="1"/>
  <c r="W666" i="1"/>
  <c r="X666" i="1"/>
  <c r="AB666" i="1"/>
  <c r="L667" i="1"/>
  <c r="K667" i="1"/>
  <c r="M667" i="1"/>
  <c r="O667" i="1"/>
  <c r="Q667" i="1"/>
  <c r="P667" i="1"/>
  <c r="S667" i="1"/>
  <c r="T667" i="1"/>
  <c r="V666" i="1"/>
  <c r="U667" i="1"/>
  <c r="W667" i="1"/>
  <c r="X667" i="1"/>
  <c r="AB667" i="1"/>
  <c r="L668" i="1"/>
  <c r="K668" i="1"/>
  <c r="M668" i="1"/>
  <c r="O668" i="1"/>
  <c r="Q668" i="1"/>
  <c r="P668" i="1"/>
  <c r="S668" i="1"/>
  <c r="T668" i="1"/>
  <c r="V667" i="1"/>
  <c r="U668" i="1"/>
  <c r="W668" i="1"/>
  <c r="X668" i="1"/>
  <c r="AB668" i="1"/>
  <c r="L669" i="1"/>
  <c r="K669" i="1"/>
  <c r="M669" i="1"/>
  <c r="O669" i="1"/>
  <c r="Q669" i="1"/>
  <c r="P669" i="1"/>
  <c r="S669" i="1"/>
  <c r="T669" i="1"/>
  <c r="V668" i="1"/>
  <c r="U669" i="1"/>
  <c r="W669" i="1"/>
  <c r="X669" i="1"/>
  <c r="AB669" i="1"/>
  <c r="L670" i="1"/>
  <c r="K670" i="1"/>
  <c r="M670" i="1"/>
  <c r="O670" i="1"/>
  <c r="Q670" i="1"/>
  <c r="P670" i="1"/>
  <c r="S670" i="1"/>
  <c r="T670" i="1"/>
  <c r="V669" i="1"/>
  <c r="U670" i="1"/>
  <c r="W670" i="1"/>
  <c r="X670" i="1"/>
  <c r="AB670" i="1"/>
  <c r="L671" i="1"/>
  <c r="K671" i="1"/>
  <c r="M671" i="1"/>
  <c r="O671" i="1"/>
  <c r="Q671" i="1"/>
  <c r="P671" i="1"/>
  <c r="S671" i="1"/>
  <c r="T671" i="1"/>
  <c r="V670" i="1"/>
  <c r="U671" i="1"/>
  <c r="W671" i="1"/>
  <c r="X671" i="1"/>
  <c r="AB671" i="1"/>
  <c r="L672" i="1"/>
  <c r="K672" i="1"/>
  <c r="M672" i="1"/>
  <c r="O672" i="1"/>
  <c r="Q672" i="1"/>
  <c r="P672" i="1"/>
  <c r="S672" i="1"/>
  <c r="T672" i="1"/>
  <c r="V671" i="1"/>
  <c r="U672" i="1"/>
  <c r="W672" i="1"/>
  <c r="X672" i="1"/>
  <c r="AB672" i="1"/>
  <c r="L673" i="1"/>
  <c r="K673" i="1"/>
  <c r="M673" i="1"/>
  <c r="O673" i="1"/>
  <c r="Q673" i="1"/>
  <c r="P673" i="1"/>
  <c r="S673" i="1"/>
  <c r="T673" i="1"/>
  <c r="V672" i="1"/>
  <c r="U673" i="1"/>
  <c r="W673" i="1"/>
  <c r="X673" i="1"/>
  <c r="AB673" i="1"/>
  <c r="L674" i="1"/>
  <c r="K674" i="1"/>
  <c r="M674" i="1"/>
  <c r="O674" i="1"/>
  <c r="Q674" i="1"/>
  <c r="P674" i="1"/>
  <c r="S674" i="1"/>
  <c r="T674" i="1"/>
  <c r="V673" i="1"/>
  <c r="U674" i="1"/>
  <c r="W674" i="1"/>
  <c r="X674" i="1"/>
  <c r="AB674" i="1"/>
  <c r="L675" i="1"/>
  <c r="K675" i="1"/>
  <c r="M675" i="1"/>
  <c r="O675" i="1"/>
  <c r="Q675" i="1"/>
  <c r="P675" i="1"/>
  <c r="S675" i="1"/>
  <c r="T675" i="1"/>
  <c r="V674" i="1"/>
  <c r="U675" i="1"/>
  <c r="W675" i="1"/>
  <c r="X675" i="1"/>
  <c r="AB675" i="1"/>
  <c r="L676" i="1"/>
  <c r="K676" i="1"/>
  <c r="M676" i="1"/>
  <c r="O676" i="1"/>
  <c r="Q676" i="1"/>
  <c r="P676" i="1"/>
  <c r="S676" i="1"/>
  <c r="T676" i="1"/>
  <c r="V675" i="1"/>
  <c r="U676" i="1"/>
  <c r="W676" i="1"/>
  <c r="X676" i="1"/>
  <c r="AB676" i="1"/>
  <c r="L677" i="1"/>
  <c r="K677" i="1"/>
  <c r="M677" i="1"/>
  <c r="O677" i="1"/>
  <c r="Q677" i="1"/>
  <c r="P677" i="1"/>
  <c r="S677" i="1"/>
  <c r="T677" i="1"/>
  <c r="V676" i="1"/>
  <c r="U677" i="1"/>
  <c r="W677" i="1"/>
  <c r="X677" i="1"/>
  <c r="AB677" i="1"/>
  <c r="L678" i="1"/>
  <c r="K678" i="1"/>
  <c r="M678" i="1"/>
  <c r="O678" i="1"/>
  <c r="Q678" i="1"/>
  <c r="P678" i="1"/>
  <c r="S678" i="1"/>
  <c r="T678" i="1"/>
  <c r="V677" i="1"/>
  <c r="U678" i="1"/>
  <c r="W678" i="1"/>
  <c r="X678" i="1"/>
  <c r="AB678" i="1"/>
  <c r="L679" i="1"/>
  <c r="K679" i="1"/>
  <c r="M679" i="1"/>
  <c r="O679" i="1"/>
  <c r="Q679" i="1"/>
  <c r="P679" i="1"/>
  <c r="S679" i="1"/>
  <c r="T679" i="1"/>
  <c r="V678" i="1"/>
  <c r="U679" i="1"/>
  <c r="W679" i="1"/>
  <c r="X679" i="1"/>
  <c r="AB679" i="1"/>
  <c r="L680" i="1"/>
  <c r="K680" i="1"/>
  <c r="M680" i="1"/>
  <c r="O680" i="1"/>
  <c r="Q680" i="1"/>
  <c r="P680" i="1"/>
  <c r="S680" i="1"/>
  <c r="T680" i="1"/>
  <c r="V679" i="1"/>
  <c r="U680" i="1"/>
  <c r="W680" i="1"/>
  <c r="X680" i="1"/>
  <c r="AB680" i="1"/>
  <c r="L681" i="1"/>
  <c r="K681" i="1"/>
  <c r="M681" i="1"/>
  <c r="O681" i="1"/>
  <c r="Q681" i="1"/>
  <c r="P681" i="1"/>
  <c r="S681" i="1"/>
  <c r="T681" i="1"/>
  <c r="V680" i="1"/>
  <c r="U681" i="1"/>
  <c r="W681" i="1"/>
  <c r="X681" i="1"/>
  <c r="AB681" i="1"/>
  <c r="L682" i="1"/>
  <c r="K682" i="1"/>
  <c r="M682" i="1"/>
  <c r="O682" i="1"/>
  <c r="Q682" i="1"/>
  <c r="P682" i="1"/>
  <c r="S682" i="1"/>
  <c r="T682" i="1"/>
  <c r="V681" i="1"/>
  <c r="U682" i="1"/>
  <c r="W682" i="1"/>
  <c r="X682" i="1"/>
  <c r="AB682" i="1"/>
  <c r="L683" i="1"/>
  <c r="K683" i="1"/>
  <c r="M683" i="1"/>
  <c r="O683" i="1"/>
  <c r="Q683" i="1"/>
  <c r="P683" i="1"/>
  <c r="S683" i="1"/>
  <c r="T683" i="1"/>
  <c r="V682" i="1"/>
  <c r="U683" i="1"/>
  <c r="W683" i="1"/>
  <c r="X683" i="1"/>
  <c r="AB683" i="1"/>
  <c r="L684" i="1"/>
  <c r="K684" i="1"/>
  <c r="M684" i="1"/>
  <c r="O684" i="1"/>
  <c r="Q684" i="1"/>
  <c r="P684" i="1"/>
  <c r="S684" i="1"/>
  <c r="T684" i="1"/>
  <c r="V683" i="1"/>
  <c r="U684" i="1"/>
  <c r="W684" i="1"/>
  <c r="X684" i="1"/>
  <c r="AB684" i="1"/>
  <c r="L685" i="1"/>
  <c r="K685" i="1"/>
  <c r="M685" i="1"/>
  <c r="O685" i="1"/>
  <c r="Q685" i="1"/>
  <c r="P685" i="1"/>
  <c r="S685" i="1"/>
  <c r="J685" i="1"/>
  <c r="N685" i="1"/>
  <c r="T685" i="1"/>
  <c r="V684" i="1"/>
  <c r="U685" i="1"/>
  <c r="W685" i="1"/>
  <c r="X685" i="1"/>
  <c r="AB685" i="1"/>
  <c r="L686" i="1"/>
  <c r="K686" i="1"/>
  <c r="M686" i="1"/>
  <c r="O686" i="1"/>
  <c r="Q686" i="1"/>
  <c r="P686" i="1"/>
  <c r="S686" i="1"/>
  <c r="T686" i="1"/>
  <c r="V685" i="1"/>
  <c r="U686" i="1"/>
  <c r="W686" i="1"/>
  <c r="X686" i="1"/>
  <c r="AB686" i="1"/>
  <c r="L687" i="1"/>
  <c r="K687" i="1"/>
  <c r="M687" i="1"/>
  <c r="O687" i="1"/>
  <c r="Q687" i="1"/>
  <c r="P687" i="1"/>
  <c r="S687" i="1"/>
  <c r="T687" i="1"/>
  <c r="V686" i="1"/>
  <c r="U687" i="1"/>
  <c r="W687" i="1"/>
  <c r="X687" i="1"/>
  <c r="AB687" i="1"/>
  <c r="L688" i="1"/>
  <c r="K688" i="1"/>
  <c r="M688" i="1"/>
  <c r="O688" i="1"/>
  <c r="Q688" i="1"/>
  <c r="P688" i="1"/>
  <c r="S688" i="1"/>
  <c r="T688" i="1"/>
  <c r="V687" i="1"/>
  <c r="U688" i="1"/>
  <c r="W688" i="1"/>
  <c r="X688" i="1"/>
  <c r="AB688" i="1"/>
  <c r="L689" i="1"/>
  <c r="K689" i="1"/>
  <c r="M689" i="1"/>
  <c r="O689" i="1"/>
  <c r="Q689" i="1"/>
  <c r="P689" i="1"/>
  <c r="S689" i="1"/>
  <c r="T689" i="1"/>
  <c r="V688" i="1"/>
  <c r="U689" i="1"/>
  <c r="W689" i="1"/>
  <c r="X689" i="1"/>
  <c r="AB689" i="1"/>
  <c r="L690" i="1"/>
  <c r="K690" i="1"/>
  <c r="M690" i="1"/>
  <c r="O690" i="1"/>
  <c r="Q690" i="1"/>
  <c r="P690" i="1"/>
  <c r="S690" i="1"/>
  <c r="T690" i="1"/>
  <c r="V689" i="1"/>
  <c r="U690" i="1"/>
  <c r="W690" i="1"/>
  <c r="X690" i="1"/>
  <c r="AB690" i="1"/>
  <c r="L691" i="1"/>
  <c r="K691" i="1"/>
  <c r="M691" i="1"/>
  <c r="O691" i="1"/>
  <c r="Q691" i="1"/>
  <c r="P691" i="1"/>
  <c r="S691" i="1"/>
  <c r="T691" i="1"/>
  <c r="V690" i="1"/>
  <c r="U691" i="1"/>
  <c r="W691" i="1"/>
  <c r="X691" i="1"/>
  <c r="AB691" i="1"/>
  <c r="L692" i="1"/>
  <c r="K692" i="1"/>
  <c r="M692" i="1"/>
  <c r="O692" i="1"/>
  <c r="Q692" i="1"/>
  <c r="P692" i="1"/>
  <c r="S692" i="1"/>
  <c r="T692" i="1"/>
  <c r="V691" i="1"/>
  <c r="U692" i="1"/>
  <c r="W692" i="1"/>
  <c r="X692" i="1"/>
  <c r="AB692" i="1"/>
  <c r="L693" i="1"/>
  <c r="K693" i="1"/>
  <c r="M693" i="1"/>
  <c r="O693" i="1"/>
  <c r="Q693" i="1"/>
  <c r="P693" i="1"/>
  <c r="S693" i="1"/>
  <c r="T693" i="1"/>
  <c r="V692" i="1"/>
  <c r="U693" i="1"/>
  <c r="W693" i="1"/>
  <c r="X693" i="1"/>
  <c r="AB693" i="1"/>
  <c r="L694" i="1"/>
  <c r="K694" i="1"/>
  <c r="M694" i="1"/>
  <c r="O694" i="1"/>
  <c r="Q694" i="1"/>
  <c r="P694" i="1"/>
  <c r="S694" i="1"/>
  <c r="T694" i="1"/>
  <c r="V693" i="1"/>
  <c r="U694" i="1"/>
  <c r="W694" i="1"/>
  <c r="X694" i="1"/>
  <c r="AB694" i="1"/>
  <c r="L695" i="1"/>
  <c r="K695" i="1"/>
  <c r="M695" i="1"/>
  <c r="O695" i="1"/>
  <c r="Q695" i="1"/>
  <c r="P695" i="1"/>
  <c r="S695" i="1"/>
  <c r="T695" i="1"/>
  <c r="V694" i="1"/>
  <c r="U695" i="1"/>
  <c r="W695" i="1"/>
  <c r="X695" i="1"/>
  <c r="AB695" i="1"/>
  <c r="L696" i="1"/>
  <c r="K696" i="1"/>
  <c r="M696" i="1"/>
  <c r="O696" i="1"/>
  <c r="Q696" i="1"/>
  <c r="P696" i="1"/>
  <c r="S696" i="1"/>
  <c r="T696" i="1"/>
  <c r="V695" i="1"/>
  <c r="U696" i="1"/>
  <c r="W696" i="1"/>
  <c r="X696" i="1"/>
  <c r="AB696" i="1"/>
  <c r="L697" i="1"/>
  <c r="K697" i="1"/>
  <c r="M697" i="1"/>
  <c r="O697" i="1"/>
  <c r="Q697" i="1"/>
  <c r="P697" i="1"/>
  <c r="S697" i="1"/>
  <c r="T697" i="1"/>
  <c r="V696" i="1"/>
  <c r="U697" i="1"/>
  <c r="W697" i="1"/>
  <c r="X697" i="1"/>
  <c r="AB697" i="1"/>
  <c r="L698" i="1"/>
  <c r="K698" i="1"/>
  <c r="M698" i="1"/>
  <c r="O698" i="1"/>
  <c r="Q698" i="1"/>
  <c r="P698" i="1"/>
  <c r="S698" i="1"/>
  <c r="T698" i="1"/>
  <c r="V697" i="1"/>
  <c r="U698" i="1"/>
  <c r="W698" i="1"/>
  <c r="X698" i="1"/>
  <c r="AB698" i="1"/>
  <c r="L699" i="1"/>
  <c r="K699" i="1"/>
  <c r="M699" i="1"/>
  <c r="O699" i="1"/>
  <c r="Q699" i="1"/>
  <c r="P699" i="1"/>
  <c r="S699" i="1"/>
  <c r="T699" i="1"/>
  <c r="V698" i="1"/>
  <c r="U699" i="1"/>
  <c r="W699" i="1"/>
  <c r="X699" i="1"/>
  <c r="AB699" i="1"/>
  <c r="L700" i="1"/>
  <c r="K700" i="1"/>
  <c r="M700" i="1"/>
  <c r="O700" i="1"/>
  <c r="Q700" i="1"/>
  <c r="P700" i="1"/>
  <c r="S700" i="1"/>
  <c r="T700" i="1"/>
  <c r="V699" i="1"/>
  <c r="U700" i="1"/>
  <c r="W700" i="1"/>
  <c r="X700" i="1"/>
  <c r="AB700" i="1"/>
  <c r="L701" i="1"/>
  <c r="K701" i="1"/>
  <c r="M701" i="1"/>
  <c r="O701" i="1"/>
  <c r="Q701" i="1"/>
  <c r="P701" i="1"/>
  <c r="S701" i="1"/>
  <c r="T701" i="1"/>
  <c r="V700" i="1"/>
  <c r="U701" i="1"/>
  <c r="W701" i="1"/>
  <c r="X701" i="1"/>
  <c r="AB701" i="1"/>
  <c r="L702" i="1"/>
  <c r="K702" i="1"/>
  <c r="M702" i="1"/>
  <c r="O702" i="1"/>
  <c r="Q702" i="1"/>
  <c r="P702" i="1"/>
  <c r="S702" i="1"/>
  <c r="T702" i="1"/>
  <c r="V701" i="1"/>
  <c r="U702" i="1"/>
  <c r="W702" i="1"/>
  <c r="X702" i="1"/>
  <c r="AB702" i="1"/>
  <c r="L703" i="1"/>
  <c r="K703" i="1"/>
  <c r="M703" i="1"/>
  <c r="O703" i="1"/>
  <c r="Q703" i="1"/>
  <c r="P703" i="1"/>
  <c r="S703" i="1"/>
  <c r="T703" i="1"/>
  <c r="V702" i="1"/>
  <c r="U703" i="1"/>
  <c r="W703" i="1"/>
  <c r="X703" i="1"/>
  <c r="AB703" i="1"/>
  <c r="L704" i="1"/>
  <c r="K704" i="1"/>
  <c r="M704" i="1"/>
  <c r="O704" i="1"/>
  <c r="Q704" i="1"/>
  <c r="P704" i="1"/>
  <c r="S704" i="1"/>
  <c r="T704" i="1"/>
  <c r="V703" i="1"/>
  <c r="U704" i="1"/>
  <c r="W704" i="1"/>
  <c r="X704" i="1"/>
  <c r="AB704" i="1"/>
  <c r="L705" i="1"/>
  <c r="K705" i="1"/>
  <c r="M705" i="1"/>
  <c r="O705" i="1"/>
  <c r="Q705" i="1"/>
  <c r="P705" i="1"/>
  <c r="S705" i="1"/>
  <c r="T705" i="1"/>
  <c r="V704" i="1"/>
  <c r="U705" i="1"/>
  <c r="W705" i="1"/>
  <c r="X705" i="1"/>
  <c r="AB705" i="1"/>
  <c r="L706" i="1"/>
  <c r="K706" i="1"/>
  <c r="M706" i="1"/>
  <c r="O706" i="1"/>
  <c r="Q706" i="1"/>
  <c r="P706" i="1"/>
  <c r="S706" i="1"/>
  <c r="T706" i="1"/>
  <c r="V705" i="1"/>
  <c r="U706" i="1"/>
  <c r="W706" i="1"/>
  <c r="X706" i="1"/>
  <c r="AB706" i="1"/>
  <c r="L707" i="1"/>
  <c r="K707" i="1"/>
  <c r="M707" i="1"/>
  <c r="O707" i="1"/>
  <c r="Q707" i="1"/>
  <c r="P707" i="1"/>
  <c r="S707" i="1"/>
  <c r="T707" i="1"/>
  <c r="V706" i="1"/>
  <c r="U707" i="1"/>
  <c r="W707" i="1"/>
  <c r="X707" i="1"/>
  <c r="AB707" i="1"/>
  <c r="L708" i="1"/>
  <c r="K708" i="1"/>
  <c r="M708" i="1"/>
  <c r="O708" i="1"/>
  <c r="Q708" i="1"/>
  <c r="P708" i="1"/>
  <c r="S708" i="1"/>
  <c r="T708" i="1"/>
  <c r="V707" i="1"/>
  <c r="U708" i="1"/>
  <c r="W708" i="1"/>
  <c r="X708" i="1"/>
  <c r="AB708" i="1"/>
  <c r="L709" i="1"/>
  <c r="K709" i="1"/>
  <c r="M709" i="1"/>
  <c r="O709" i="1"/>
  <c r="Q709" i="1"/>
  <c r="P709" i="1"/>
  <c r="S709" i="1"/>
  <c r="T709" i="1"/>
  <c r="V708" i="1"/>
  <c r="U709" i="1"/>
  <c r="W709" i="1"/>
  <c r="X709" i="1"/>
  <c r="AB709" i="1"/>
  <c r="L710" i="1"/>
  <c r="K710" i="1"/>
  <c r="M710" i="1"/>
  <c r="O710" i="1"/>
  <c r="Q710" i="1"/>
  <c r="P710" i="1"/>
  <c r="S710" i="1"/>
  <c r="T710" i="1"/>
  <c r="V709" i="1"/>
  <c r="U710" i="1"/>
  <c r="W710" i="1"/>
  <c r="X710" i="1"/>
  <c r="AB710" i="1"/>
  <c r="L711" i="1"/>
  <c r="K711" i="1"/>
  <c r="M711" i="1"/>
  <c r="O711" i="1"/>
  <c r="Q711" i="1"/>
  <c r="P711" i="1"/>
  <c r="S711" i="1"/>
  <c r="T711" i="1"/>
  <c r="V710" i="1"/>
  <c r="U711" i="1"/>
  <c r="W711" i="1"/>
  <c r="X711" i="1"/>
  <c r="AB711" i="1"/>
  <c r="L712" i="1"/>
  <c r="K712" i="1"/>
  <c r="M712" i="1"/>
  <c r="O712" i="1"/>
  <c r="Q712" i="1"/>
  <c r="P712" i="1"/>
  <c r="S712" i="1"/>
  <c r="T712" i="1"/>
  <c r="V711" i="1"/>
  <c r="U712" i="1"/>
  <c r="W712" i="1"/>
  <c r="X712" i="1"/>
  <c r="AB712" i="1"/>
  <c r="L713" i="1"/>
  <c r="K713" i="1"/>
  <c r="M713" i="1"/>
  <c r="O713" i="1"/>
  <c r="Q713" i="1"/>
  <c r="P713" i="1"/>
  <c r="S713" i="1"/>
  <c r="T713" i="1"/>
  <c r="V712" i="1"/>
  <c r="U713" i="1"/>
  <c r="W713" i="1"/>
  <c r="X713" i="1"/>
  <c r="AB713" i="1"/>
  <c r="L714" i="1"/>
  <c r="K714" i="1"/>
  <c r="M714" i="1"/>
  <c r="O714" i="1"/>
  <c r="Q714" i="1"/>
  <c r="P714" i="1"/>
  <c r="S714" i="1"/>
  <c r="T714" i="1"/>
  <c r="V713" i="1"/>
  <c r="U714" i="1"/>
  <c r="W714" i="1"/>
  <c r="X714" i="1"/>
  <c r="AB714" i="1"/>
  <c r="L715" i="1"/>
  <c r="K715" i="1"/>
  <c r="M715" i="1"/>
  <c r="O715" i="1"/>
  <c r="Q715" i="1"/>
  <c r="P715" i="1"/>
  <c r="S715" i="1"/>
  <c r="T715" i="1"/>
  <c r="V714" i="1"/>
  <c r="U715" i="1"/>
  <c r="W715" i="1"/>
  <c r="X715" i="1"/>
  <c r="AB715" i="1"/>
  <c r="L716" i="1"/>
  <c r="K716" i="1"/>
  <c r="M716" i="1"/>
  <c r="O716" i="1"/>
  <c r="Q716" i="1"/>
  <c r="P716" i="1"/>
  <c r="S716" i="1"/>
  <c r="T716" i="1"/>
  <c r="V715" i="1"/>
  <c r="U716" i="1"/>
  <c r="W716" i="1"/>
  <c r="X716" i="1"/>
  <c r="AB716" i="1"/>
  <c r="L717" i="1"/>
  <c r="K717" i="1"/>
  <c r="M717" i="1"/>
  <c r="O717" i="1"/>
  <c r="Q717" i="1"/>
  <c r="P717" i="1"/>
  <c r="S717" i="1"/>
  <c r="T717" i="1"/>
  <c r="V716" i="1"/>
  <c r="U717" i="1"/>
  <c r="W717" i="1"/>
  <c r="X717" i="1"/>
  <c r="AB717" i="1"/>
  <c r="L718" i="1"/>
  <c r="K718" i="1"/>
  <c r="M718" i="1"/>
  <c r="O718" i="1"/>
  <c r="Q718" i="1"/>
  <c r="P718" i="1"/>
  <c r="S718" i="1"/>
  <c r="T718" i="1"/>
  <c r="V717" i="1"/>
  <c r="U718" i="1"/>
  <c r="W718" i="1"/>
  <c r="X718" i="1"/>
  <c r="AB718" i="1"/>
  <c r="L719" i="1"/>
  <c r="K719" i="1"/>
  <c r="M719" i="1"/>
  <c r="O719" i="1"/>
  <c r="Q719" i="1"/>
  <c r="P719" i="1"/>
  <c r="S719" i="1"/>
  <c r="T719" i="1"/>
  <c r="V718" i="1"/>
  <c r="U719" i="1"/>
  <c r="W719" i="1"/>
  <c r="X719" i="1"/>
  <c r="AB719" i="1"/>
  <c r="L720" i="1"/>
  <c r="K720" i="1"/>
  <c r="M720" i="1"/>
  <c r="O720" i="1"/>
  <c r="Q720" i="1"/>
  <c r="P720" i="1"/>
  <c r="S720" i="1"/>
  <c r="T720" i="1"/>
  <c r="V719" i="1"/>
  <c r="U720" i="1"/>
  <c r="W720" i="1"/>
  <c r="X720" i="1"/>
  <c r="AB720" i="1"/>
  <c r="L721" i="1"/>
  <c r="K721" i="1"/>
  <c r="M721" i="1"/>
  <c r="O721" i="1"/>
  <c r="Q721" i="1"/>
  <c r="P721" i="1"/>
  <c r="S721" i="1"/>
  <c r="T721" i="1"/>
  <c r="V720" i="1"/>
  <c r="U721" i="1"/>
  <c r="W721" i="1"/>
  <c r="X721" i="1"/>
  <c r="AB721" i="1"/>
  <c r="L722" i="1"/>
  <c r="K722" i="1"/>
  <c r="M722" i="1"/>
  <c r="O722" i="1"/>
  <c r="Q722" i="1"/>
  <c r="P722" i="1"/>
  <c r="S722" i="1"/>
  <c r="T722" i="1"/>
  <c r="V721" i="1"/>
  <c r="U722" i="1"/>
  <c r="W722" i="1"/>
  <c r="X722" i="1"/>
  <c r="AB722" i="1"/>
  <c r="L723" i="1"/>
  <c r="K723" i="1"/>
  <c r="M723" i="1"/>
  <c r="O723" i="1"/>
  <c r="Q723" i="1"/>
  <c r="P723" i="1"/>
  <c r="S723" i="1"/>
  <c r="T723" i="1"/>
  <c r="V722" i="1"/>
  <c r="U723" i="1"/>
  <c r="W723" i="1"/>
  <c r="X723" i="1"/>
  <c r="AB723" i="1"/>
  <c r="L724" i="1"/>
  <c r="K724" i="1"/>
  <c r="M724" i="1"/>
  <c r="O724" i="1"/>
  <c r="Q724" i="1"/>
  <c r="P724" i="1"/>
  <c r="S724" i="1"/>
  <c r="T724" i="1"/>
  <c r="V723" i="1"/>
  <c r="U724" i="1"/>
  <c r="W724" i="1"/>
  <c r="X724" i="1"/>
  <c r="AB724" i="1"/>
  <c r="L725" i="1"/>
  <c r="K725" i="1"/>
  <c r="M725" i="1"/>
  <c r="O725" i="1"/>
  <c r="Q725" i="1"/>
  <c r="P725" i="1"/>
  <c r="S725" i="1"/>
  <c r="T725" i="1"/>
  <c r="V724" i="1"/>
  <c r="U725" i="1"/>
  <c r="W725" i="1"/>
  <c r="X725" i="1"/>
  <c r="AB725" i="1"/>
  <c r="L726" i="1"/>
  <c r="K726" i="1"/>
  <c r="M726" i="1"/>
  <c r="O726" i="1"/>
  <c r="Q726" i="1"/>
  <c r="P726" i="1"/>
  <c r="S726" i="1"/>
  <c r="T726" i="1"/>
  <c r="V725" i="1"/>
  <c r="U726" i="1"/>
  <c r="W726" i="1"/>
  <c r="X726" i="1"/>
  <c r="AB726" i="1"/>
  <c r="L727" i="1"/>
  <c r="K727" i="1"/>
  <c r="M727" i="1"/>
  <c r="O727" i="1"/>
  <c r="Q727" i="1"/>
  <c r="P727" i="1"/>
  <c r="S727" i="1"/>
  <c r="T727" i="1"/>
  <c r="V726" i="1"/>
  <c r="U727" i="1"/>
  <c r="W727" i="1"/>
  <c r="X727" i="1"/>
  <c r="AB727" i="1"/>
  <c r="L728" i="1"/>
  <c r="K728" i="1"/>
  <c r="M728" i="1"/>
  <c r="O728" i="1"/>
  <c r="Q728" i="1"/>
  <c r="P728" i="1"/>
  <c r="S728" i="1"/>
  <c r="T728" i="1"/>
  <c r="V727" i="1"/>
  <c r="U728" i="1"/>
  <c r="W728" i="1"/>
  <c r="X728" i="1"/>
  <c r="AB728" i="1"/>
  <c r="L729" i="1"/>
  <c r="K729" i="1"/>
  <c r="M729" i="1"/>
  <c r="O729" i="1"/>
  <c r="Q729" i="1"/>
  <c r="P729" i="1"/>
  <c r="S729" i="1"/>
  <c r="T729" i="1"/>
  <c r="V728" i="1"/>
  <c r="U729" i="1"/>
  <c r="W729" i="1"/>
  <c r="X729" i="1"/>
  <c r="AB729" i="1"/>
  <c r="L730" i="1"/>
  <c r="K730" i="1"/>
  <c r="M730" i="1"/>
  <c r="O730" i="1"/>
  <c r="Q730" i="1"/>
  <c r="P730" i="1"/>
  <c r="S730" i="1"/>
  <c r="T730" i="1"/>
  <c r="V729" i="1"/>
  <c r="U730" i="1"/>
  <c r="W730" i="1"/>
  <c r="X730" i="1"/>
  <c r="AB730" i="1"/>
  <c r="L731" i="1"/>
  <c r="K731" i="1"/>
  <c r="M731" i="1"/>
  <c r="O731" i="1"/>
  <c r="Q731" i="1"/>
  <c r="P731" i="1"/>
  <c r="S731" i="1"/>
  <c r="T731" i="1"/>
  <c r="V730" i="1"/>
  <c r="U731" i="1"/>
  <c r="W731" i="1"/>
  <c r="X731" i="1"/>
  <c r="AB731" i="1"/>
  <c r="L732" i="1"/>
  <c r="K732" i="1"/>
  <c r="M732" i="1"/>
  <c r="O732" i="1"/>
  <c r="Q732" i="1"/>
  <c r="P732" i="1"/>
  <c r="S732" i="1"/>
  <c r="T732" i="1"/>
  <c r="V731" i="1"/>
  <c r="U732" i="1"/>
  <c r="W732" i="1"/>
  <c r="X732" i="1"/>
  <c r="AB732" i="1"/>
  <c r="L733" i="1"/>
  <c r="K733" i="1"/>
  <c r="M733" i="1"/>
  <c r="O733" i="1"/>
  <c r="Q733" i="1"/>
  <c r="P733" i="1"/>
  <c r="S733" i="1"/>
  <c r="T733" i="1"/>
  <c r="V732" i="1"/>
  <c r="U733" i="1"/>
  <c r="W733" i="1"/>
  <c r="X733" i="1"/>
  <c r="AB733" i="1"/>
  <c r="L734" i="1"/>
  <c r="K734" i="1"/>
  <c r="M734" i="1"/>
  <c r="O734" i="1"/>
  <c r="Q734" i="1"/>
  <c r="P734" i="1"/>
  <c r="S734" i="1"/>
  <c r="T734" i="1"/>
  <c r="V733" i="1"/>
  <c r="U734" i="1"/>
  <c r="W734" i="1"/>
  <c r="X734" i="1"/>
  <c r="AB734" i="1"/>
  <c r="L735" i="1"/>
  <c r="K735" i="1"/>
  <c r="M735" i="1"/>
  <c r="O735" i="1"/>
  <c r="Q735" i="1"/>
  <c r="P735" i="1"/>
  <c r="S735" i="1"/>
  <c r="T735" i="1"/>
  <c r="V734" i="1"/>
  <c r="U735" i="1"/>
  <c r="W735" i="1"/>
  <c r="X735" i="1"/>
  <c r="AB735" i="1"/>
  <c r="L736" i="1"/>
  <c r="K736" i="1"/>
  <c r="M736" i="1"/>
  <c r="O736" i="1"/>
  <c r="Q736" i="1"/>
  <c r="P736" i="1"/>
  <c r="S736" i="1"/>
  <c r="T736" i="1"/>
  <c r="V735" i="1"/>
  <c r="U736" i="1"/>
  <c r="W736" i="1"/>
  <c r="X736" i="1"/>
  <c r="AB736" i="1"/>
  <c r="L737" i="1"/>
  <c r="K737" i="1"/>
  <c r="M737" i="1"/>
  <c r="O737" i="1"/>
  <c r="Q737" i="1"/>
  <c r="P737" i="1"/>
  <c r="S737" i="1"/>
  <c r="T737" i="1"/>
  <c r="V736" i="1"/>
  <c r="U737" i="1"/>
  <c r="W737" i="1"/>
  <c r="X737" i="1"/>
  <c r="AB737" i="1"/>
  <c r="L738" i="1"/>
  <c r="K738" i="1"/>
  <c r="M738" i="1"/>
  <c r="O738" i="1"/>
  <c r="Q738" i="1"/>
  <c r="P738" i="1"/>
  <c r="S738" i="1"/>
  <c r="T738" i="1"/>
  <c r="V737" i="1"/>
  <c r="U738" i="1"/>
  <c r="W738" i="1"/>
  <c r="X738" i="1"/>
  <c r="AB738" i="1"/>
  <c r="L739" i="1"/>
  <c r="K739" i="1"/>
  <c r="M739" i="1"/>
  <c r="O739" i="1"/>
  <c r="Q739" i="1"/>
  <c r="P739" i="1"/>
  <c r="S739" i="1"/>
  <c r="T739" i="1"/>
  <c r="V738" i="1"/>
  <c r="U739" i="1"/>
  <c r="W739" i="1"/>
  <c r="X739" i="1"/>
  <c r="AB739" i="1"/>
  <c r="L740" i="1"/>
  <c r="K740" i="1"/>
  <c r="M740" i="1"/>
  <c r="O740" i="1"/>
  <c r="Q740" i="1"/>
  <c r="P740" i="1"/>
  <c r="S740" i="1"/>
  <c r="T740" i="1"/>
  <c r="V739" i="1"/>
  <c r="U740" i="1"/>
  <c r="W740" i="1"/>
  <c r="X740" i="1"/>
  <c r="AB740" i="1"/>
  <c r="L741" i="1"/>
  <c r="K741" i="1"/>
  <c r="M741" i="1"/>
  <c r="O741" i="1"/>
  <c r="Q741" i="1"/>
  <c r="P741" i="1"/>
  <c r="S741" i="1"/>
  <c r="T741" i="1"/>
  <c r="V740" i="1"/>
  <c r="U741" i="1"/>
  <c r="W741" i="1"/>
  <c r="X741" i="1"/>
  <c r="AB741" i="1"/>
  <c r="L742" i="1"/>
  <c r="K742" i="1"/>
  <c r="M742" i="1"/>
  <c r="O742" i="1"/>
  <c r="Q742" i="1"/>
  <c r="P742" i="1"/>
  <c r="S742" i="1"/>
  <c r="J742" i="1"/>
  <c r="N742" i="1"/>
  <c r="T742" i="1"/>
  <c r="V741" i="1"/>
  <c r="U742" i="1"/>
  <c r="W742" i="1"/>
  <c r="X742" i="1"/>
  <c r="AB742" i="1"/>
  <c r="L743" i="1"/>
  <c r="K743" i="1"/>
  <c r="M743" i="1"/>
  <c r="O743" i="1"/>
  <c r="Q743" i="1"/>
  <c r="P743" i="1"/>
  <c r="S743" i="1"/>
  <c r="T743" i="1"/>
  <c r="V742" i="1"/>
  <c r="U743" i="1"/>
  <c r="W743" i="1"/>
  <c r="X743" i="1"/>
  <c r="AB743" i="1"/>
  <c r="L744" i="1"/>
  <c r="K744" i="1"/>
  <c r="M744" i="1"/>
  <c r="O744" i="1"/>
  <c r="Q744" i="1"/>
  <c r="P744" i="1"/>
  <c r="S744" i="1"/>
  <c r="T744" i="1"/>
  <c r="V743" i="1"/>
  <c r="U744" i="1"/>
  <c r="W744" i="1"/>
  <c r="X744" i="1"/>
  <c r="AB744" i="1"/>
  <c r="L745" i="1"/>
  <c r="K745" i="1"/>
  <c r="M745" i="1"/>
  <c r="O745" i="1"/>
  <c r="Q745" i="1"/>
  <c r="P745" i="1"/>
  <c r="S745" i="1"/>
  <c r="T745" i="1"/>
  <c r="V744" i="1"/>
  <c r="U745" i="1"/>
  <c r="W745" i="1"/>
  <c r="X745" i="1"/>
  <c r="AB745" i="1"/>
  <c r="L746" i="1"/>
  <c r="K746" i="1"/>
  <c r="M746" i="1"/>
  <c r="O746" i="1"/>
  <c r="Q746" i="1"/>
  <c r="P746" i="1"/>
  <c r="S746" i="1"/>
  <c r="T746" i="1"/>
  <c r="V745" i="1"/>
  <c r="U746" i="1"/>
  <c r="W746" i="1"/>
  <c r="X746" i="1"/>
  <c r="AB746" i="1"/>
  <c r="L747" i="1"/>
  <c r="K747" i="1"/>
  <c r="M747" i="1"/>
  <c r="O747" i="1"/>
  <c r="Q747" i="1"/>
  <c r="P747" i="1"/>
  <c r="S747" i="1"/>
  <c r="T747" i="1"/>
  <c r="V746" i="1"/>
  <c r="U747" i="1"/>
  <c r="W747" i="1"/>
  <c r="X747" i="1"/>
  <c r="AB747" i="1"/>
  <c r="L748" i="1"/>
  <c r="K748" i="1"/>
  <c r="M748" i="1"/>
  <c r="O748" i="1"/>
  <c r="Q748" i="1"/>
  <c r="P748" i="1"/>
  <c r="S748" i="1"/>
  <c r="T748" i="1"/>
  <c r="V747" i="1"/>
  <c r="U748" i="1"/>
  <c r="W748" i="1"/>
  <c r="X748" i="1"/>
  <c r="AB748" i="1"/>
  <c r="L749" i="1"/>
  <c r="K749" i="1"/>
  <c r="M749" i="1"/>
  <c r="O749" i="1"/>
  <c r="Q749" i="1"/>
  <c r="P749" i="1"/>
  <c r="S749" i="1"/>
  <c r="T749" i="1"/>
  <c r="V748" i="1"/>
  <c r="U749" i="1"/>
  <c r="W749" i="1"/>
  <c r="X749" i="1"/>
  <c r="AB749" i="1"/>
  <c r="L750" i="1"/>
  <c r="K750" i="1"/>
  <c r="M750" i="1"/>
  <c r="O750" i="1"/>
  <c r="Q750" i="1"/>
  <c r="P750" i="1"/>
  <c r="S750" i="1"/>
  <c r="T750" i="1"/>
  <c r="V749" i="1"/>
  <c r="U750" i="1"/>
  <c r="W750" i="1"/>
  <c r="X750" i="1"/>
  <c r="AB750" i="1"/>
  <c r="L751" i="1"/>
  <c r="K751" i="1"/>
  <c r="M751" i="1"/>
  <c r="O751" i="1"/>
  <c r="Q751" i="1"/>
  <c r="P751" i="1"/>
  <c r="S751" i="1"/>
  <c r="T751" i="1"/>
  <c r="V750" i="1"/>
  <c r="U751" i="1"/>
  <c r="W751" i="1"/>
  <c r="X751" i="1"/>
  <c r="AB751" i="1"/>
  <c r="L752" i="1"/>
  <c r="K752" i="1"/>
  <c r="M752" i="1"/>
  <c r="O752" i="1"/>
  <c r="Q752" i="1"/>
  <c r="P752" i="1"/>
  <c r="S752" i="1"/>
  <c r="T752" i="1"/>
  <c r="V751" i="1"/>
  <c r="U752" i="1"/>
  <c r="W752" i="1"/>
  <c r="X752" i="1"/>
  <c r="AB752" i="1"/>
  <c r="L753" i="1"/>
  <c r="K753" i="1"/>
  <c r="M753" i="1"/>
  <c r="O753" i="1"/>
  <c r="Q753" i="1"/>
  <c r="P753" i="1"/>
  <c r="S753" i="1"/>
  <c r="T753" i="1"/>
  <c r="V752" i="1"/>
  <c r="U753" i="1"/>
  <c r="W753" i="1"/>
  <c r="X753" i="1"/>
  <c r="AB753" i="1"/>
  <c r="L754" i="1"/>
  <c r="K754" i="1"/>
  <c r="M754" i="1"/>
  <c r="O754" i="1"/>
  <c r="Q754" i="1"/>
  <c r="P754" i="1"/>
  <c r="S754" i="1"/>
  <c r="T754" i="1"/>
  <c r="V753" i="1"/>
  <c r="U754" i="1"/>
  <c r="W754" i="1"/>
  <c r="X754" i="1"/>
  <c r="AB754" i="1"/>
  <c r="L755" i="1"/>
  <c r="K755" i="1"/>
  <c r="M755" i="1"/>
  <c r="O755" i="1"/>
  <c r="Q755" i="1"/>
  <c r="P755" i="1"/>
  <c r="S755" i="1"/>
  <c r="T755" i="1"/>
  <c r="V754" i="1"/>
  <c r="U755" i="1"/>
  <c r="W755" i="1"/>
  <c r="X755" i="1"/>
  <c r="AB755" i="1"/>
  <c r="L756" i="1"/>
  <c r="K756" i="1"/>
  <c r="M756" i="1"/>
  <c r="O756" i="1"/>
  <c r="Q756" i="1"/>
  <c r="P756" i="1"/>
  <c r="S756" i="1"/>
  <c r="T756" i="1"/>
  <c r="V755" i="1"/>
  <c r="U756" i="1"/>
  <c r="W756" i="1"/>
  <c r="X756" i="1"/>
  <c r="AB756" i="1"/>
  <c r="L757" i="1"/>
  <c r="K757" i="1"/>
  <c r="M757" i="1"/>
  <c r="O757" i="1"/>
  <c r="Q757" i="1"/>
  <c r="P757" i="1"/>
  <c r="S757" i="1"/>
  <c r="T757" i="1"/>
  <c r="V756" i="1"/>
  <c r="U757" i="1"/>
  <c r="W757" i="1"/>
  <c r="X757" i="1"/>
  <c r="AB757" i="1"/>
  <c r="L758" i="1"/>
  <c r="K758" i="1"/>
  <c r="M758" i="1"/>
  <c r="O758" i="1"/>
  <c r="Q758" i="1"/>
  <c r="P758" i="1"/>
  <c r="S758" i="1"/>
  <c r="T758" i="1"/>
  <c r="V757" i="1"/>
  <c r="U758" i="1"/>
  <c r="W758" i="1"/>
  <c r="X758" i="1"/>
  <c r="AB758" i="1"/>
  <c r="L759" i="1"/>
  <c r="K759" i="1"/>
  <c r="M759" i="1"/>
  <c r="O759" i="1"/>
  <c r="Q759" i="1"/>
  <c r="P759" i="1"/>
  <c r="S759" i="1"/>
  <c r="T759" i="1"/>
  <c r="V758" i="1"/>
  <c r="U759" i="1"/>
  <c r="W759" i="1"/>
  <c r="X759" i="1"/>
  <c r="AB759" i="1"/>
  <c r="L760" i="1"/>
  <c r="K760" i="1"/>
  <c r="M760" i="1"/>
  <c r="O760" i="1"/>
  <c r="Q760" i="1"/>
  <c r="P760" i="1"/>
  <c r="S760" i="1"/>
  <c r="T760" i="1"/>
  <c r="V759" i="1"/>
  <c r="U760" i="1"/>
  <c r="W760" i="1"/>
  <c r="X760" i="1"/>
  <c r="AB760" i="1"/>
  <c r="L761" i="1"/>
  <c r="K761" i="1"/>
  <c r="M761" i="1"/>
  <c r="O761" i="1"/>
  <c r="Q761" i="1"/>
  <c r="P761" i="1"/>
  <c r="S761" i="1"/>
  <c r="T761" i="1"/>
  <c r="V760" i="1"/>
  <c r="U761" i="1"/>
  <c r="W761" i="1"/>
  <c r="X761" i="1"/>
  <c r="AB761" i="1"/>
  <c r="L762" i="1"/>
  <c r="K762" i="1"/>
  <c r="M762" i="1"/>
  <c r="O762" i="1"/>
  <c r="Q762" i="1"/>
  <c r="P762" i="1"/>
  <c r="S762" i="1"/>
  <c r="T762" i="1"/>
  <c r="V761" i="1"/>
  <c r="U762" i="1"/>
  <c r="W762" i="1"/>
  <c r="X762" i="1"/>
  <c r="AB762" i="1"/>
  <c r="L763" i="1"/>
  <c r="K763" i="1"/>
  <c r="M763" i="1"/>
  <c r="O763" i="1"/>
  <c r="Q763" i="1"/>
  <c r="P763" i="1"/>
  <c r="S763" i="1"/>
  <c r="T763" i="1"/>
  <c r="V762" i="1"/>
  <c r="U763" i="1"/>
  <c r="W763" i="1"/>
  <c r="X763" i="1"/>
  <c r="AB763" i="1"/>
  <c r="L764" i="1"/>
  <c r="K764" i="1"/>
  <c r="M764" i="1"/>
  <c r="O764" i="1"/>
  <c r="Q764" i="1"/>
  <c r="P764" i="1"/>
  <c r="S764" i="1"/>
  <c r="T764" i="1"/>
  <c r="V763" i="1"/>
  <c r="U764" i="1"/>
  <c r="W764" i="1"/>
  <c r="X764" i="1"/>
  <c r="AB764" i="1"/>
  <c r="L765" i="1"/>
  <c r="K765" i="1"/>
  <c r="M765" i="1"/>
  <c r="O765" i="1"/>
  <c r="Q765" i="1"/>
  <c r="P765" i="1"/>
  <c r="S765" i="1"/>
  <c r="T765" i="1"/>
  <c r="V764" i="1"/>
  <c r="U765" i="1"/>
  <c r="W765" i="1"/>
  <c r="X765" i="1"/>
  <c r="AB765" i="1"/>
  <c r="L766" i="1"/>
  <c r="K766" i="1"/>
  <c r="M766" i="1"/>
  <c r="O766" i="1"/>
  <c r="Q766" i="1"/>
  <c r="P766" i="1"/>
  <c r="S766" i="1"/>
  <c r="T766" i="1"/>
  <c r="V765" i="1"/>
  <c r="U766" i="1"/>
  <c r="W766" i="1"/>
  <c r="X766" i="1"/>
  <c r="AB766" i="1"/>
  <c r="L767" i="1"/>
  <c r="K767" i="1"/>
  <c r="M767" i="1"/>
  <c r="O767" i="1"/>
  <c r="Q767" i="1"/>
  <c r="P767" i="1"/>
  <c r="S767" i="1"/>
  <c r="T767" i="1"/>
  <c r="V766" i="1"/>
  <c r="U767" i="1"/>
  <c r="W767" i="1"/>
  <c r="X767" i="1"/>
  <c r="AB767" i="1"/>
  <c r="L768" i="1"/>
  <c r="K768" i="1"/>
  <c r="M768" i="1"/>
  <c r="O768" i="1"/>
  <c r="Q768" i="1"/>
  <c r="P768" i="1"/>
  <c r="S768" i="1"/>
  <c r="T768" i="1"/>
  <c r="V767" i="1"/>
  <c r="U768" i="1"/>
  <c r="W768" i="1"/>
  <c r="X768" i="1"/>
  <c r="AB768" i="1"/>
  <c r="L769" i="1"/>
  <c r="K769" i="1"/>
  <c r="M769" i="1"/>
  <c r="O769" i="1"/>
  <c r="Q769" i="1"/>
  <c r="P769" i="1"/>
  <c r="S769" i="1"/>
  <c r="T769" i="1"/>
  <c r="V768" i="1"/>
  <c r="U769" i="1"/>
  <c r="W769" i="1"/>
  <c r="X769" i="1"/>
  <c r="AB769" i="1"/>
  <c r="L770" i="1"/>
  <c r="K770" i="1"/>
  <c r="M770" i="1"/>
  <c r="O770" i="1"/>
  <c r="Q770" i="1"/>
  <c r="P770" i="1"/>
  <c r="S770" i="1"/>
  <c r="T770" i="1"/>
  <c r="V769" i="1"/>
  <c r="U770" i="1"/>
  <c r="W770" i="1"/>
  <c r="X770" i="1"/>
  <c r="AB770" i="1"/>
  <c r="L771" i="1"/>
  <c r="K771" i="1"/>
  <c r="M771" i="1"/>
  <c r="O771" i="1"/>
  <c r="Q771" i="1"/>
  <c r="P771" i="1"/>
  <c r="S771" i="1"/>
  <c r="T771" i="1"/>
  <c r="V770" i="1"/>
  <c r="U771" i="1"/>
  <c r="W771" i="1"/>
  <c r="X771" i="1"/>
  <c r="AB771" i="1"/>
  <c r="L772" i="1"/>
  <c r="K772" i="1"/>
  <c r="M772" i="1"/>
  <c r="O772" i="1"/>
  <c r="Q772" i="1"/>
  <c r="P772" i="1"/>
  <c r="S772" i="1"/>
  <c r="T772" i="1"/>
  <c r="V771" i="1"/>
  <c r="U772" i="1"/>
  <c r="W772" i="1"/>
  <c r="X772" i="1"/>
  <c r="AB772" i="1"/>
  <c r="L773" i="1"/>
  <c r="K773" i="1"/>
  <c r="M773" i="1"/>
  <c r="O773" i="1"/>
  <c r="Q773" i="1"/>
  <c r="P773" i="1"/>
  <c r="S773" i="1"/>
  <c r="T773" i="1"/>
  <c r="V772" i="1"/>
  <c r="U773" i="1"/>
  <c r="W773" i="1"/>
  <c r="X773" i="1"/>
  <c r="AB773" i="1"/>
  <c r="L774" i="1"/>
  <c r="K774" i="1"/>
  <c r="M774" i="1"/>
  <c r="O774" i="1"/>
  <c r="Q774" i="1"/>
  <c r="P774" i="1"/>
  <c r="S774" i="1"/>
  <c r="T774" i="1"/>
  <c r="V773" i="1"/>
  <c r="U774" i="1"/>
  <c r="W774" i="1"/>
  <c r="X774" i="1"/>
  <c r="AB774" i="1"/>
  <c r="L775" i="1"/>
  <c r="K775" i="1"/>
  <c r="M775" i="1"/>
  <c r="O775" i="1"/>
  <c r="Q775" i="1"/>
  <c r="P775" i="1"/>
  <c r="S775" i="1"/>
  <c r="T775" i="1"/>
  <c r="V774" i="1"/>
  <c r="U775" i="1"/>
  <c r="W775" i="1"/>
  <c r="X775" i="1"/>
  <c r="AB775" i="1"/>
  <c r="L776" i="1"/>
  <c r="K776" i="1"/>
  <c r="M776" i="1"/>
  <c r="O776" i="1"/>
  <c r="Q776" i="1"/>
  <c r="P776" i="1"/>
  <c r="S776" i="1"/>
  <c r="T776" i="1"/>
  <c r="V775" i="1"/>
  <c r="U776" i="1"/>
  <c r="W776" i="1"/>
  <c r="X776" i="1"/>
  <c r="AB776" i="1"/>
  <c r="L777" i="1"/>
  <c r="K777" i="1"/>
  <c r="M777" i="1"/>
  <c r="O777" i="1"/>
  <c r="Q777" i="1"/>
  <c r="P777" i="1"/>
  <c r="S777" i="1"/>
  <c r="T777" i="1"/>
  <c r="V776" i="1"/>
  <c r="U777" i="1"/>
  <c r="W777" i="1"/>
  <c r="X777" i="1"/>
  <c r="AB777" i="1"/>
  <c r="L778" i="1"/>
  <c r="K778" i="1"/>
  <c r="M778" i="1"/>
  <c r="O778" i="1"/>
  <c r="Q778" i="1"/>
  <c r="P778" i="1"/>
  <c r="S778" i="1"/>
  <c r="T778" i="1"/>
  <c r="V777" i="1"/>
  <c r="U778" i="1"/>
  <c r="W778" i="1"/>
  <c r="X778" i="1"/>
  <c r="AB778" i="1"/>
  <c r="L779" i="1"/>
  <c r="K779" i="1"/>
  <c r="M779" i="1"/>
  <c r="O779" i="1"/>
  <c r="Q779" i="1"/>
  <c r="P779" i="1"/>
  <c r="S779" i="1"/>
  <c r="T779" i="1"/>
  <c r="V778" i="1"/>
  <c r="U779" i="1"/>
  <c r="W779" i="1"/>
  <c r="X779" i="1"/>
  <c r="AB779" i="1"/>
  <c r="L780" i="1"/>
  <c r="K780" i="1"/>
  <c r="M780" i="1"/>
  <c r="O780" i="1"/>
  <c r="Q780" i="1"/>
  <c r="P780" i="1"/>
  <c r="S780" i="1"/>
  <c r="T780" i="1"/>
  <c r="V779" i="1"/>
  <c r="U780" i="1"/>
  <c r="W780" i="1"/>
  <c r="X780" i="1"/>
  <c r="AB780" i="1"/>
  <c r="L781" i="1"/>
  <c r="K781" i="1"/>
  <c r="M781" i="1"/>
  <c r="O781" i="1"/>
  <c r="Q781" i="1"/>
  <c r="P781" i="1"/>
  <c r="S781" i="1"/>
  <c r="T781" i="1"/>
  <c r="V780" i="1"/>
  <c r="U781" i="1"/>
  <c r="W781" i="1"/>
  <c r="X781" i="1"/>
  <c r="AB781" i="1"/>
  <c r="L782" i="1"/>
  <c r="K782" i="1"/>
  <c r="M782" i="1"/>
  <c r="O782" i="1"/>
  <c r="Q782" i="1"/>
  <c r="P782" i="1"/>
  <c r="S782" i="1"/>
  <c r="T782" i="1"/>
  <c r="V781" i="1"/>
  <c r="U782" i="1"/>
  <c r="W782" i="1"/>
  <c r="X782" i="1"/>
  <c r="AB782" i="1"/>
  <c r="L783" i="1"/>
  <c r="K783" i="1"/>
  <c r="M783" i="1"/>
  <c r="O783" i="1"/>
  <c r="Q783" i="1"/>
  <c r="P783" i="1"/>
  <c r="S783" i="1"/>
  <c r="T783" i="1"/>
  <c r="V782" i="1"/>
  <c r="U783" i="1"/>
  <c r="W783" i="1"/>
  <c r="X783" i="1"/>
  <c r="AB783" i="1"/>
  <c r="L784" i="1"/>
  <c r="K784" i="1"/>
  <c r="M784" i="1"/>
  <c r="O784" i="1"/>
  <c r="Q784" i="1"/>
  <c r="P784" i="1"/>
  <c r="S784" i="1"/>
  <c r="T784" i="1"/>
  <c r="V783" i="1"/>
  <c r="U784" i="1"/>
  <c r="W784" i="1"/>
  <c r="X784" i="1"/>
  <c r="AB784" i="1"/>
  <c r="L785" i="1"/>
  <c r="K785" i="1"/>
  <c r="M785" i="1"/>
  <c r="O785" i="1"/>
  <c r="Q785" i="1"/>
  <c r="P785" i="1"/>
  <c r="S785" i="1"/>
  <c r="T785" i="1"/>
  <c r="V784" i="1"/>
  <c r="U785" i="1"/>
  <c r="W785" i="1"/>
  <c r="X785" i="1"/>
  <c r="AB785" i="1"/>
  <c r="L786" i="1"/>
  <c r="K786" i="1"/>
  <c r="M786" i="1"/>
  <c r="O786" i="1"/>
  <c r="Q786" i="1"/>
  <c r="P786" i="1"/>
  <c r="S786" i="1"/>
  <c r="T786" i="1"/>
  <c r="V785" i="1"/>
  <c r="U786" i="1"/>
  <c r="W786" i="1"/>
  <c r="X786" i="1"/>
  <c r="AB786" i="1"/>
  <c r="L787" i="1"/>
  <c r="K787" i="1"/>
  <c r="M787" i="1"/>
  <c r="O787" i="1"/>
  <c r="Q787" i="1"/>
  <c r="P787" i="1"/>
  <c r="S787" i="1"/>
  <c r="T787" i="1"/>
  <c r="V786" i="1"/>
  <c r="U787" i="1"/>
  <c r="W787" i="1"/>
  <c r="X787" i="1"/>
  <c r="AB787" i="1"/>
  <c r="L788" i="1"/>
  <c r="K788" i="1"/>
  <c r="M788" i="1"/>
  <c r="O788" i="1"/>
  <c r="Q788" i="1"/>
  <c r="P788" i="1"/>
  <c r="S788" i="1"/>
  <c r="T788" i="1"/>
  <c r="V787" i="1"/>
  <c r="U788" i="1"/>
  <c r="W788" i="1"/>
  <c r="X788" i="1"/>
  <c r="AB788" i="1"/>
  <c r="L789" i="1"/>
  <c r="K789" i="1"/>
  <c r="M789" i="1"/>
  <c r="O789" i="1"/>
  <c r="Q789" i="1"/>
  <c r="P789" i="1"/>
  <c r="S789" i="1"/>
  <c r="T789" i="1"/>
  <c r="V788" i="1"/>
  <c r="U789" i="1"/>
  <c r="W789" i="1"/>
  <c r="X789" i="1"/>
  <c r="AB789" i="1"/>
  <c r="L790" i="1"/>
  <c r="K790" i="1"/>
  <c r="M790" i="1"/>
  <c r="O790" i="1"/>
  <c r="Q790" i="1"/>
  <c r="P790" i="1"/>
  <c r="S790" i="1"/>
  <c r="T790" i="1"/>
  <c r="V789" i="1"/>
  <c r="U790" i="1"/>
  <c r="W790" i="1"/>
  <c r="X790" i="1"/>
  <c r="AB790" i="1"/>
  <c r="L791" i="1"/>
  <c r="K791" i="1"/>
  <c r="M791" i="1"/>
  <c r="O791" i="1"/>
  <c r="Q791" i="1"/>
  <c r="P791" i="1"/>
  <c r="S791" i="1"/>
  <c r="T791" i="1"/>
  <c r="V790" i="1"/>
  <c r="U791" i="1"/>
  <c r="W791" i="1"/>
  <c r="X791" i="1"/>
  <c r="AB791" i="1"/>
  <c r="L792" i="1"/>
  <c r="K792" i="1"/>
  <c r="M792" i="1"/>
  <c r="O792" i="1"/>
  <c r="Q792" i="1"/>
  <c r="P792" i="1"/>
  <c r="S792" i="1"/>
  <c r="T792" i="1"/>
  <c r="V791" i="1"/>
  <c r="U792" i="1"/>
  <c r="W792" i="1"/>
  <c r="X792" i="1"/>
  <c r="AB792" i="1"/>
  <c r="L793" i="1"/>
  <c r="K793" i="1"/>
  <c r="M793" i="1"/>
  <c r="O793" i="1"/>
  <c r="Q793" i="1"/>
  <c r="P793" i="1"/>
  <c r="S793" i="1"/>
  <c r="T793" i="1"/>
  <c r="V792" i="1"/>
  <c r="U793" i="1"/>
  <c r="W793" i="1"/>
  <c r="X793" i="1"/>
  <c r="AB793" i="1"/>
  <c r="L794" i="1"/>
  <c r="K794" i="1"/>
  <c r="M794" i="1"/>
  <c r="O794" i="1"/>
  <c r="Q794" i="1"/>
  <c r="P794" i="1"/>
  <c r="S794" i="1"/>
  <c r="T794" i="1"/>
  <c r="V793" i="1"/>
  <c r="U794" i="1"/>
  <c r="W794" i="1"/>
  <c r="X794" i="1"/>
  <c r="AB794" i="1"/>
  <c r="L795" i="1"/>
  <c r="K795" i="1"/>
  <c r="M795" i="1"/>
  <c r="O795" i="1"/>
  <c r="Q795" i="1"/>
  <c r="P795" i="1"/>
  <c r="S795" i="1"/>
  <c r="T795" i="1"/>
  <c r="V794" i="1"/>
  <c r="U795" i="1"/>
  <c r="W795" i="1"/>
  <c r="X795" i="1"/>
  <c r="AB795" i="1"/>
  <c r="L796" i="1"/>
  <c r="K796" i="1"/>
  <c r="M796" i="1"/>
  <c r="O796" i="1"/>
  <c r="Q796" i="1"/>
  <c r="P796" i="1"/>
  <c r="S796" i="1"/>
  <c r="T796" i="1"/>
  <c r="V795" i="1"/>
  <c r="U796" i="1"/>
  <c r="W796" i="1"/>
  <c r="X796" i="1"/>
  <c r="AB796" i="1"/>
  <c r="L797" i="1"/>
  <c r="K797" i="1"/>
  <c r="M797" i="1"/>
  <c r="O797" i="1"/>
  <c r="Q797" i="1"/>
  <c r="P797" i="1"/>
  <c r="S797" i="1"/>
  <c r="T797" i="1"/>
  <c r="V796" i="1"/>
  <c r="U797" i="1"/>
  <c r="W797" i="1"/>
  <c r="X797" i="1"/>
  <c r="AB797" i="1"/>
  <c r="L798" i="1"/>
  <c r="K798" i="1"/>
  <c r="M798" i="1"/>
  <c r="O798" i="1"/>
  <c r="Q798" i="1"/>
  <c r="P798" i="1"/>
  <c r="S798" i="1"/>
  <c r="T798" i="1"/>
  <c r="V797" i="1"/>
  <c r="U798" i="1"/>
  <c r="W798" i="1"/>
  <c r="X798" i="1"/>
  <c r="AB798" i="1"/>
  <c r="L799" i="1"/>
  <c r="K799" i="1"/>
  <c r="M799" i="1"/>
  <c r="O799" i="1"/>
  <c r="Q799" i="1"/>
  <c r="P799" i="1"/>
  <c r="S799" i="1"/>
  <c r="T799" i="1"/>
  <c r="V798" i="1"/>
  <c r="U799" i="1"/>
  <c r="W799" i="1"/>
  <c r="X799" i="1"/>
  <c r="AB799" i="1"/>
  <c r="L800" i="1"/>
  <c r="K800" i="1"/>
  <c r="M800" i="1"/>
  <c r="O800" i="1"/>
  <c r="Q800" i="1"/>
  <c r="P800" i="1"/>
  <c r="S800" i="1"/>
  <c r="T800" i="1"/>
  <c r="V799" i="1"/>
  <c r="U800" i="1"/>
  <c r="W800" i="1"/>
  <c r="X800" i="1"/>
  <c r="AB800" i="1"/>
  <c r="L801" i="1"/>
  <c r="K801" i="1"/>
  <c r="M801" i="1"/>
  <c r="O801" i="1"/>
  <c r="Q801" i="1"/>
  <c r="P801" i="1"/>
  <c r="S801" i="1"/>
  <c r="T801" i="1"/>
  <c r="V800" i="1"/>
  <c r="U801" i="1"/>
  <c r="W801" i="1"/>
  <c r="X801" i="1"/>
  <c r="AB801" i="1"/>
  <c r="L802" i="1"/>
  <c r="K802" i="1"/>
  <c r="M802" i="1"/>
  <c r="O802" i="1"/>
  <c r="Q802" i="1"/>
  <c r="P802" i="1"/>
  <c r="S802" i="1"/>
  <c r="J802" i="1"/>
  <c r="N802" i="1"/>
  <c r="T802" i="1"/>
  <c r="V801" i="1"/>
  <c r="U802" i="1"/>
  <c r="W802" i="1"/>
  <c r="X802" i="1"/>
  <c r="AB802" i="1"/>
  <c r="L803" i="1"/>
  <c r="K803" i="1"/>
  <c r="M803" i="1"/>
  <c r="O803" i="1"/>
  <c r="Q803" i="1"/>
  <c r="P803" i="1"/>
  <c r="S803" i="1"/>
  <c r="T803" i="1"/>
  <c r="V802" i="1"/>
  <c r="U803" i="1"/>
  <c r="W803" i="1"/>
  <c r="X803" i="1"/>
  <c r="AB803" i="1"/>
  <c r="L804" i="1"/>
  <c r="K804" i="1"/>
  <c r="M804" i="1"/>
  <c r="O804" i="1"/>
  <c r="Q804" i="1"/>
  <c r="P804" i="1"/>
  <c r="S804" i="1"/>
  <c r="T804" i="1"/>
  <c r="V803" i="1"/>
  <c r="U804" i="1"/>
  <c r="W804" i="1"/>
  <c r="X804" i="1"/>
  <c r="AB804" i="1"/>
  <c r="L805" i="1"/>
  <c r="K805" i="1"/>
  <c r="M805" i="1"/>
  <c r="O805" i="1"/>
  <c r="Q805" i="1"/>
  <c r="P805" i="1"/>
  <c r="S805" i="1"/>
  <c r="T805" i="1"/>
  <c r="V804" i="1"/>
  <c r="U805" i="1"/>
  <c r="W805" i="1"/>
  <c r="X805" i="1"/>
  <c r="AB805" i="1"/>
  <c r="L806" i="1"/>
  <c r="K806" i="1"/>
  <c r="M806" i="1"/>
  <c r="O806" i="1"/>
  <c r="Q806" i="1"/>
  <c r="P806" i="1"/>
  <c r="S806" i="1"/>
  <c r="T806" i="1"/>
  <c r="V805" i="1"/>
  <c r="U806" i="1"/>
  <c r="W806" i="1"/>
  <c r="X806" i="1"/>
  <c r="AB806" i="1"/>
  <c r="L807" i="1"/>
  <c r="K807" i="1"/>
  <c r="M807" i="1"/>
  <c r="O807" i="1"/>
  <c r="Q807" i="1"/>
  <c r="P807" i="1"/>
  <c r="S807" i="1"/>
  <c r="T807" i="1"/>
  <c r="V806" i="1"/>
  <c r="U807" i="1"/>
  <c r="W807" i="1"/>
  <c r="X807" i="1"/>
  <c r="AB807" i="1"/>
  <c r="L808" i="1"/>
  <c r="K808" i="1"/>
  <c r="M808" i="1"/>
  <c r="O808" i="1"/>
  <c r="Q808" i="1"/>
  <c r="P808" i="1"/>
  <c r="S808" i="1"/>
  <c r="T808" i="1"/>
  <c r="V807" i="1"/>
  <c r="U808" i="1"/>
  <c r="W808" i="1"/>
  <c r="X808" i="1"/>
  <c r="AB808" i="1"/>
  <c r="L809" i="1"/>
  <c r="K809" i="1"/>
  <c r="M809" i="1"/>
  <c r="O809" i="1"/>
  <c r="Q809" i="1"/>
  <c r="P809" i="1"/>
  <c r="S809" i="1"/>
  <c r="T809" i="1"/>
  <c r="V808" i="1"/>
  <c r="U809" i="1"/>
  <c r="W809" i="1"/>
  <c r="X809" i="1"/>
  <c r="AB809" i="1"/>
  <c r="L810" i="1"/>
  <c r="K810" i="1"/>
  <c r="M810" i="1"/>
  <c r="O810" i="1"/>
  <c r="Q810" i="1"/>
  <c r="P810" i="1"/>
  <c r="S810" i="1"/>
  <c r="T810" i="1"/>
  <c r="V809" i="1"/>
  <c r="U810" i="1"/>
  <c r="W810" i="1"/>
  <c r="X810" i="1"/>
  <c r="AB810" i="1"/>
  <c r="L811" i="1"/>
  <c r="K811" i="1"/>
  <c r="M811" i="1"/>
  <c r="O811" i="1"/>
  <c r="Q811" i="1"/>
  <c r="P811" i="1"/>
  <c r="S811" i="1"/>
  <c r="T811" i="1"/>
  <c r="V810" i="1"/>
  <c r="U811" i="1"/>
  <c r="W811" i="1"/>
  <c r="X811" i="1"/>
  <c r="AB811" i="1"/>
  <c r="L812" i="1"/>
  <c r="K812" i="1"/>
  <c r="M812" i="1"/>
  <c r="O812" i="1"/>
  <c r="Q812" i="1"/>
  <c r="P812" i="1"/>
  <c r="S812" i="1"/>
  <c r="T812" i="1"/>
  <c r="V811" i="1"/>
  <c r="U812" i="1"/>
  <c r="W812" i="1"/>
  <c r="X812" i="1"/>
  <c r="AB812" i="1"/>
  <c r="L813" i="1"/>
  <c r="K813" i="1"/>
  <c r="M813" i="1"/>
  <c r="O813" i="1"/>
  <c r="Q813" i="1"/>
  <c r="P813" i="1"/>
  <c r="S813" i="1"/>
  <c r="T813" i="1"/>
  <c r="V812" i="1"/>
  <c r="U813" i="1"/>
  <c r="W813" i="1"/>
  <c r="X813" i="1"/>
  <c r="AB813" i="1"/>
  <c r="L814" i="1"/>
  <c r="K814" i="1"/>
  <c r="M814" i="1"/>
  <c r="O814" i="1"/>
  <c r="Q814" i="1"/>
  <c r="P814" i="1"/>
  <c r="S814" i="1"/>
  <c r="T814" i="1"/>
  <c r="V813" i="1"/>
  <c r="U814" i="1"/>
  <c r="W814" i="1"/>
  <c r="X814" i="1"/>
  <c r="AB814" i="1"/>
  <c r="L815" i="1"/>
  <c r="K815" i="1"/>
  <c r="M815" i="1"/>
  <c r="O815" i="1"/>
  <c r="Q815" i="1"/>
  <c r="P815" i="1"/>
  <c r="S815" i="1"/>
  <c r="T815" i="1"/>
  <c r="V814" i="1"/>
  <c r="U815" i="1"/>
  <c r="W815" i="1"/>
  <c r="X815" i="1"/>
  <c r="AB815" i="1"/>
  <c r="L816" i="1"/>
  <c r="K816" i="1"/>
  <c r="M816" i="1"/>
  <c r="O816" i="1"/>
  <c r="Q816" i="1"/>
  <c r="P816" i="1"/>
  <c r="S816" i="1"/>
  <c r="T816" i="1"/>
  <c r="V815" i="1"/>
  <c r="U816" i="1"/>
  <c r="W816" i="1"/>
  <c r="X816" i="1"/>
  <c r="AB816" i="1"/>
  <c r="L817" i="1"/>
  <c r="K817" i="1"/>
  <c r="M817" i="1"/>
  <c r="O817" i="1"/>
  <c r="Q817" i="1"/>
  <c r="P817" i="1"/>
  <c r="S817" i="1"/>
  <c r="T817" i="1"/>
  <c r="V816" i="1"/>
  <c r="U817" i="1"/>
  <c r="W817" i="1"/>
  <c r="X817" i="1"/>
  <c r="AB817" i="1"/>
  <c r="L818" i="1"/>
  <c r="K818" i="1"/>
  <c r="M818" i="1"/>
  <c r="O818" i="1"/>
  <c r="Q818" i="1"/>
  <c r="P818" i="1"/>
  <c r="S818" i="1"/>
  <c r="T818" i="1"/>
  <c r="V817" i="1"/>
  <c r="U818" i="1"/>
  <c r="W818" i="1"/>
  <c r="X818" i="1"/>
  <c r="AB818" i="1"/>
  <c r="L819" i="1"/>
  <c r="K819" i="1"/>
  <c r="M819" i="1"/>
  <c r="O819" i="1"/>
  <c r="Q819" i="1"/>
  <c r="P819" i="1"/>
  <c r="S819" i="1"/>
  <c r="T819" i="1"/>
  <c r="V818" i="1"/>
  <c r="U819" i="1"/>
  <c r="W819" i="1"/>
  <c r="X819" i="1"/>
  <c r="AB819" i="1"/>
  <c r="L820" i="1"/>
  <c r="K820" i="1"/>
  <c r="M820" i="1"/>
  <c r="O820" i="1"/>
  <c r="Q820" i="1"/>
  <c r="P820" i="1"/>
  <c r="S820" i="1"/>
  <c r="T820" i="1"/>
  <c r="V819" i="1"/>
  <c r="U820" i="1"/>
  <c r="W820" i="1"/>
  <c r="X820" i="1"/>
  <c r="AB820" i="1"/>
  <c r="L821" i="1"/>
  <c r="K821" i="1"/>
  <c r="M821" i="1"/>
  <c r="O821" i="1"/>
  <c r="Q821" i="1"/>
  <c r="P821" i="1"/>
  <c r="S821" i="1"/>
  <c r="T821" i="1"/>
  <c r="V820" i="1"/>
  <c r="U821" i="1"/>
  <c r="W821" i="1"/>
  <c r="X821" i="1"/>
  <c r="AB821" i="1"/>
  <c r="L822" i="1"/>
  <c r="K822" i="1"/>
  <c r="M822" i="1"/>
  <c r="O822" i="1"/>
  <c r="Q822" i="1"/>
  <c r="P822" i="1"/>
  <c r="S822" i="1"/>
  <c r="T822" i="1"/>
  <c r="V821" i="1"/>
  <c r="U822" i="1"/>
  <c r="W822" i="1"/>
  <c r="X822" i="1"/>
  <c r="AB822" i="1"/>
  <c r="L823" i="1"/>
  <c r="K823" i="1"/>
  <c r="M823" i="1"/>
  <c r="O823" i="1"/>
  <c r="Q823" i="1"/>
  <c r="P823" i="1"/>
  <c r="S823" i="1"/>
  <c r="T823" i="1"/>
  <c r="V822" i="1"/>
  <c r="U823" i="1"/>
  <c r="W823" i="1"/>
  <c r="X823" i="1"/>
  <c r="AB823" i="1"/>
  <c r="L824" i="1"/>
  <c r="K824" i="1"/>
  <c r="M824" i="1"/>
  <c r="O824" i="1"/>
  <c r="Q824" i="1"/>
  <c r="P824" i="1"/>
  <c r="S824" i="1"/>
  <c r="T824" i="1"/>
  <c r="V823" i="1"/>
  <c r="U824" i="1"/>
  <c r="W824" i="1"/>
  <c r="X824" i="1"/>
  <c r="AB824" i="1"/>
  <c r="L825" i="1"/>
  <c r="K825" i="1"/>
  <c r="M825" i="1"/>
  <c r="O825" i="1"/>
  <c r="Q825" i="1"/>
  <c r="P825" i="1"/>
  <c r="S825" i="1"/>
  <c r="T825" i="1"/>
  <c r="V824" i="1"/>
  <c r="U825" i="1"/>
  <c r="W825" i="1"/>
  <c r="X825" i="1"/>
  <c r="AB825" i="1"/>
  <c r="L826" i="1"/>
  <c r="K826" i="1"/>
  <c r="M826" i="1"/>
  <c r="O826" i="1"/>
  <c r="Q826" i="1"/>
  <c r="P826" i="1"/>
  <c r="S826" i="1"/>
  <c r="T826" i="1"/>
  <c r="V825" i="1"/>
  <c r="U826" i="1"/>
  <c r="W826" i="1"/>
  <c r="X826" i="1"/>
  <c r="AB826" i="1"/>
  <c r="L827" i="1"/>
  <c r="K827" i="1"/>
  <c r="M827" i="1"/>
  <c r="O827" i="1"/>
  <c r="Q827" i="1"/>
  <c r="P827" i="1"/>
  <c r="S827" i="1"/>
  <c r="T827" i="1"/>
  <c r="V826" i="1"/>
  <c r="U827" i="1"/>
  <c r="W827" i="1"/>
  <c r="X827" i="1"/>
  <c r="AB827" i="1"/>
  <c r="L828" i="1"/>
  <c r="K828" i="1"/>
  <c r="M828" i="1"/>
  <c r="O828" i="1"/>
  <c r="Q828" i="1"/>
  <c r="P828" i="1"/>
  <c r="S828" i="1"/>
  <c r="T828" i="1"/>
  <c r="V827" i="1"/>
  <c r="U828" i="1"/>
  <c r="W828" i="1"/>
  <c r="X828" i="1"/>
  <c r="AB828" i="1"/>
  <c r="L829" i="1"/>
  <c r="K829" i="1"/>
  <c r="M829" i="1"/>
  <c r="O829" i="1"/>
  <c r="Q829" i="1"/>
  <c r="P829" i="1"/>
  <c r="S829" i="1"/>
  <c r="T829" i="1"/>
  <c r="V828" i="1"/>
  <c r="U829" i="1"/>
  <c r="W829" i="1"/>
  <c r="X829" i="1"/>
  <c r="AB829" i="1"/>
  <c r="L830" i="1"/>
  <c r="K830" i="1"/>
  <c r="M830" i="1"/>
  <c r="O830" i="1"/>
  <c r="Q830" i="1"/>
  <c r="P830" i="1"/>
  <c r="S830" i="1"/>
  <c r="T830" i="1"/>
  <c r="V829" i="1"/>
  <c r="U830" i="1"/>
  <c r="W830" i="1"/>
  <c r="X830" i="1"/>
  <c r="AB830" i="1"/>
  <c r="L831" i="1"/>
  <c r="K831" i="1"/>
  <c r="M831" i="1"/>
  <c r="O831" i="1"/>
  <c r="Q831" i="1"/>
  <c r="P831" i="1"/>
  <c r="S831" i="1"/>
  <c r="T831" i="1"/>
  <c r="V830" i="1"/>
  <c r="U831" i="1"/>
  <c r="W831" i="1"/>
  <c r="X831" i="1"/>
  <c r="AB831" i="1"/>
  <c r="L832" i="1"/>
  <c r="K832" i="1"/>
  <c r="M832" i="1"/>
  <c r="O832" i="1"/>
  <c r="Q832" i="1"/>
  <c r="P832" i="1"/>
  <c r="S832" i="1"/>
  <c r="T832" i="1"/>
  <c r="V831" i="1"/>
  <c r="U832" i="1"/>
  <c r="W832" i="1"/>
  <c r="X832" i="1"/>
  <c r="AB832" i="1"/>
  <c r="L833" i="1"/>
  <c r="K833" i="1"/>
  <c r="M833" i="1"/>
  <c r="O833" i="1"/>
  <c r="Q833" i="1"/>
  <c r="P833" i="1"/>
  <c r="S833" i="1"/>
  <c r="T833" i="1"/>
  <c r="V832" i="1"/>
  <c r="U833" i="1"/>
  <c r="W833" i="1"/>
  <c r="X833" i="1"/>
  <c r="AB833" i="1"/>
  <c r="L834" i="1"/>
  <c r="K834" i="1"/>
  <c r="M834" i="1"/>
  <c r="O834" i="1"/>
  <c r="Q834" i="1"/>
  <c r="P834" i="1"/>
  <c r="S834" i="1"/>
  <c r="T834" i="1"/>
  <c r="V833" i="1"/>
  <c r="U834" i="1"/>
  <c r="W834" i="1"/>
  <c r="X834" i="1"/>
  <c r="AB834" i="1"/>
  <c r="L835" i="1"/>
  <c r="K835" i="1"/>
  <c r="M835" i="1"/>
  <c r="O835" i="1"/>
  <c r="Q835" i="1"/>
  <c r="P835" i="1"/>
  <c r="S835" i="1"/>
  <c r="T835" i="1"/>
  <c r="V834" i="1"/>
  <c r="U835" i="1"/>
  <c r="W835" i="1"/>
  <c r="X835" i="1"/>
  <c r="AB835" i="1"/>
  <c r="L836" i="1"/>
  <c r="K836" i="1"/>
  <c r="M836" i="1"/>
  <c r="O836" i="1"/>
  <c r="Q836" i="1"/>
  <c r="P836" i="1"/>
  <c r="S836" i="1"/>
  <c r="T836" i="1"/>
  <c r="V835" i="1"/>
  <c r="U836" i="1"/>
  <c r="W836" i="1"/>
  <c r="X836" i="1"/>
  <c r="AB836" i="1"/>
  <c r="L837" i="1"/>
  <c r="K837" i="1"/>
  <c r="M837" i="1"/>
  <c r="O837" i="1"/>
  <c r="Q837" i="1"/>
  <c r="P837" i="1"/>
  <c r="S837" i="1"/>
  <c r="T837" i="1"/>
  <c r="V836" i="1"/>
  <c r="U837" i="1"/>
  <c r="W837" i="1"/>
  <c r="X837" i="1"/>
  <c r="AB837" i="1"/>
  <c r="L838" i="1"/>
  <c r="K838" i="1"/>
  <c r="M838" i="1"/>
  <c r="O838" i="1"/>
  <c r="Q838" i="1"/>
  <c r="P838" i="1"/>
  <c r="S838" i="1"/>
  <c r="T838" i="1"/>
  <c r="V837" i="1"/>
  <c r="U838" i="1"/>
  <c r="W838" i="1"/>
  <c r="X838" i="1"/>
  <c r="AB838" i="1"/>
  <c r="L839" i="1"/>
  <c r="K839" i="1"/>
  <c r="M839" i="1"/>
  <c r="O839" i="1"/>
  <c r="Q839" i="1"/>
  <c r="P839" i="1"/>
  <c r="S839" i="1"/>
  <c r="T839" i="1"/>
  <c r="V838" i="1"/>
  <c r="U839" i="1"/>
  <c r="W839" i="1"/>
  <c r="X839" i="1"/>
  <c r="AB839" i="1"/>
  <c r="L840" i="1"/>
  <c r="K840" i="1"/>
  <c r="M840" i="1"/>
  <c r="O840" i="1"/>
  <c r="Q840" i="1"/>
  <c r="P840" i="1"/>
  <c r="S840" i="1"/>
  <c r="T840" i="1"/>
  <c r="V839" i="1"/>
  <c r="U840" i="1"/>
  <c r="W840" i="1"/>
  <c r="X840" i="1"/>
  <c r="AB840" i="1"/>
  <c r="L841" i="1"/>
  <c r="K841" i="1"/>
  <c r="M841" i="1"/>
  <c r="O841" i="1"/>
  <c r="Q841" i="1"/>
  <c r="P841" i="1"/>
  <c r="S841" i="1"/>
  <c r="T841" i="1"/>
  <c r="V840" i="1"/>
  <c r="U841" i="1"/>
  <c r="W841" i="1"/>
  <c r="X841" i="1"/>
  <c r="AB841" i="1"/>
  <c r="L842" i="1"/>
  <c r="K842" i="1"/>
  <c r="M842" i="1"/>
  <c r="O842" i="1"/>
  <c r="Q842" i="1"/>
  <c r="P842" i="1"/>
  <c r="S842" i="1"/>
  <c r="T842" i="1"/>
  <c r="V841" i="1"/>
  <c r="U842" i="1"/>
  <c r="W842" i="1"/>
  <c r="X842" i="1"/>
  <c r="AB842" i="1"/>
  <c r="L843" i="1"/>
  <c r="K843" i="1"/>
  <c r="M843" i="1"/>
  <c r="O843" i="1"/>
  <c r="Q843" i="1"/>
  <c r="P843" i="1"/>
  <c r="S843" i="1"/>
  <c r="T843" i="1"/>
  <c r="V842" i="1"/>
  <c r="U843" i="1"/>
  <c r="W843" i="1"/>
  <c r="X843" i="1"/>
  <c r="AB843" i="1"/>
  <c r="L844" i="1"/>
  <c r="K844" i="1"/>
  <c r="M844" i="1"/>
  <c r="O844" i="1"/>
  <c r="Q844" i="1"/>
  <c r="P844" i="1"/>
  <c r="S844" i="1"/>
  <c r="T844" i="1"/>
  <c r="V843" i="1"/>
  <c r="U844" i="1"/>
  <c r="W844" i="1"/>
  <c r="X844" i="1"/>
  <c r="AB844" i="1"/>
  <c r="L845" i="1"/>
  <c r="K845" i="1"/>
  <c r="M845" i="1"/>
  <c r="O845" i="1"/>
  <c r="Q845" i="1"/>
  <c r="P845" i="1"/>
  <c r="S845" i="1"/>
  <c r="T845" i="1"/>
  <c r="V844" i="1"/>
  <c r="U845" i="1"/>
  <c r="W845" i="1"/>
  <c r="X845" i="1"/>
  <c r="AB845" i="1"/>
  <c r="L846" i="1"/>
  <c r="K846" i="1"/>
  <c r="M846" i="1"/>
  <c r="O846" i="1"/>
  <c r="Q846" i="1"/>
  <c r="P846" i="1"/>
  <c r="S846" i="1"/>
  <c r="T846" i="1"/>
  <c r="V845" i="1"/>
  <c r="U846" i="1"/>
  <c r="W846" i="1"/>
  <c r="X846" i="1"/>
  <c r="AB846" i="1"/>
  <c r="L847" i="1"/>
  <c r="K847" i="1"/>
  <c r="M847" i="1"/>
  <c r="O847" i="1"/>
  <c r="Q847" i="1"/>
  <c r="P847" i="1"/>
  <c r="S847" i="1"/>
  <c r="T847" i="1"/>
  <c r="V846" i="1"/>
  <c r="U847" i="1"/>
  <c r="W847" i="1"/>
  <c r="X847" i="1"/>
  <c r="AB847" i="1"/>
  <c r="L848" i="1"/>
  <c r="K848" i="1"/>
  <c r="M848" i="1"/>
  <c r="O848" i="1"/>
  <c r="Q848" i="1"/>
  <c r="P848" i="1"/>
  <c r="S848" i="1"/>
  <c r="T848" i="1"/>
  <c r="V847" i="1"/>
  <c r="U848" i="1"/>
  <c r="W848" i="1"/>
  <c r="X848" i="1"/>
  <c r="AB848" i="1"/>
  <c r="L849" i="1"/>
  <c r="K849" i="1"/>
  <c r="M849" i="1"/>
  <c r="O849" i="1"/>
  <c r="Q849" i="1"/>
  <c r="P849" i="1"/>
  <c r="S849" i="1"/>
  <c r="T849" i="1"/>
  <c r="V848" i="1"/>
  <c r="U849" i="1"/>
  <c r="W849" i="1"/>
  <c r="X849" i="1"/>
  <c r="AB849" i="1"/>
  <c r="L850" i="1"/>
  <c r="K850" i="1"/>
  <c r="M850" i="1"/>
  <c r="O850" i="1"/>
  <c r="Q850" i="1"/>
  <c r="P850" i="1"/>
  <c r="S850" i="1"/>
  <c r="T850" i="1"/>
  <c r="V849" i="1"/>
  <c r="U850" i="1"/>
  <c r="W850" i="1"/>
  <c r="X850" i="1"/>
  <c r="AB850" i="1"/>
  <c r="L851" i="1"/>
  <c r="K851" i="1"/>
  <c r="M851" i="1"/>
  <c r="O851" i="1"/>
  <c r="Q851" i="1"/>
  <c r="P851" i="1"/>
  <c r="S851" i="1"/>
  <c r="T851" i="1"/>
  <c r="V850" i="1"/>
  <c r="U851" i="1"/>
  <c r="W851" i="1"/>
  <c r="X851" i="1"/>
  <c r="AB851" i="1"/>
  <c r="L852" i="1"/>
  <c r="K852" i="1"/>
  <c r="M852" i="1"/>
  <c r="O852" i="1"/>
  <c r="Q852" i="1"/>
  <c r="P852" i="1"/>
  <c r="S852" i="1"/>
  <c r="T852" i="1"/>
  <c r="V851" i="1"/>
  <c r="U852" i="1"/>
  <c r="W852" i="1"/>
  <c r="X852" i="1"/>
  <c r="AB852" i="1"/>
  <c r="L853" i="1"/>
  <c r="K853" i="1"/>
  <c r="M853" i="1"/>
  <c r="O853" i="1"/>
  <c r="Q853" i="1"/>
  <c r="P853" i="1"/>
  <c r="S853" i="1"/>
  <c r="T853" i="1"/>
  <c r="V852" i="1"/>
  <c r="U853" i="1"/>
  <c r="W853" i="1"/>
  <c r="X853" i="1"/>
  <c r="AB853" i="1"/>
  <c r="L854" i="1"/>
  <c r="K854" i="1"/>
  <c r="M854" i="1"/>
  <c r="O854" i="1"/>
  <c r="Q854" i="1"/>
  <c r="P854" i="1"/>
  <c r="S854" i="1"/>
  <c r="T854" i="1"/>
  <c r="V853" i="1"/>
  <c r="U854" i="1"/>
  <c r="W854" i="1"/>
  <c r="X854" i="1"/>
  <c r="AB854" i="1"/>
  <c r="L855" i="1"/>
  <c r="K855" i="1"/>
  <c r="M855" i="1"/>
  <c r="O855" i="1"/>
  <c r="Q855" i="1"/>
  <c r="P855" i="1"/>
  <c r="S855" i="1"/>
  <c r="T855" i="1"/>
  <c r="V854" i="1"/>
  <c r="U855" i="1"/>
  <c r="W855" i="1"/>
  <c r="X855" i="1"/>
  <c r="AB855" i="1"/>
  <c r="L856" i="1"/>
  <c r="K856" i="1"/>
  <c r="M856" i="1"/>
  <c r="O856" i="1"/>
  <c r="Q856" i="1"/>
  <c r="P856" i="1"/>
  <c r="S856" i="1"/>
  <c r="T856" i="1"/>
  <c r="V855" i="1"/>
  <c r="U856" i="1"/>
  <c r="W856" i="1"/>
  <c r="X856" i="1"/>
  <c r="AB856" i="1"/>
  <c r="L857" i="1"/>
  <c r="K857" i="1"/>
  <c r="M857" i="1"/>
  <c r="O857" i="1"/>
  <c r="Q857" i="1"/>
  <c r="P857" i="1"/>
  <c r="S857" i="1"/>
  <c r="T857" i="1"/>
  <c r="V856" i="1"/>
  <c r="U857" i="1"/>
  <c r="W857" i="1"/>
  <c r="X857" i="1"/>
  <c r="AB857" i="1"/>
  <c r="L858" i="1"/>
  <c r="K858" i="1"/>
  <c r="M858" i="1"/>
  <c r="O858" i="1"/>
  <c r="Q858" i="1"/>
  <c r="P858" i="1"/>
  <c r="S858" i="1"/>
  <c r="T858" i="1"/>
  <c r="V857" i="1"/>
  <c r="U858" i="1"/>
  <c r="W858" i="1"/>
  <c r="X858" i="1"/>
  <c r="AB858" i="1"/>
  <c r="L859" i="1"/>
  <c r="K859" i="1"/>
  <c r="M859" i="1"/>
  <c r="O859" i="1"/>
  <c r="Q859" i="1"/>
  <c r="P859" i="1"/>
  <c r="S859" i="1"/>
  <c r="T859" i="1"/>
  <c r="V858" i="1"/>
  <c r="U859" i="1"/>
  <c r="W859" i="1"/>
  <c r="X859" i="1"/>
  <c r="AB859" i="1"/>
  <c r="L860" i="1"/>
  <c r="K860" i="1"/>
  <c r="M860" i="1"/>
  <c r="O860" i="1"/>
  <c r="Q860" i="1"/>
  <c r="P860" i="1"/>
  <c r="S860" i="1"/>
  <c r="T860" i="1"/>
  <c r="V859" i="1"/>
  <c r="U860" i="1"/>
  <c r="W860" i="1"/>
  <c r="X860" i="1"/>
  <c r="AB860" i="1"/>
  <c r="L861" i="1"/>
  <c r="K861" i="1"/>
  <c r="M861" i="1"/>
  <c r="O861" i="1"/>
  <c r="Q861" i="1"/>
  <c r="P861" i="1"/>
  <c r="S861" i="1"/>
  <c r="T861" i="1"/>
  <c r="V860" i="1"/>
  <c r="U861" i="1"/>
  <c r="W861" i="1"/>
  <c r="X861" i="1"/>
  <c r="AB861" i="1"/>
  <c r="L862" i="1"/>
  <c r="K862" i="1"/>
  <c r="M862" i="1"/>
  <c r="O862" i="1"/>
  <c r="Q862" i="1"/>
  <c r="P862" i="1"/>
  <c r="S862" i="1"/>
  <c r="T862" i="1"/>
  <c r="V861" i="1"/>
  <c r="U862" i="1"/>
  <c r="W862" i="1"/>
  <c r="X862" i="1"/>
  <c r="AB862" i="1"/>
  <c r="L863" i="1"/>
  <c r="K863" i="1"/>
  <c r="M863" i="1"/>
  <c r="O863" i="1"/>
  <c r="Q863" i="1"/>
  <c r="P863" i="1"/>
  <c r="S863" i="1"/>
  <c r="T863" i="1"/>
  <c r="V862" i="1"/>
  <c r="U863" i="1"/>
  <c r="W863" i="1"/>
  <c r="X863" i="1"/>
  <c r="AB863" i="1"/>
  <c r="L864" i="1"/>
  <c r="K864" i="1"/>
  <c r="M864" i="1"/>
  <c r="O864" i="1"/>
  <c r="Q864" i="1"/>
  <c r="P864" i="1"/>
  <c r="S864" i="1"/>
  <c r="T864" i="1"/>
  <c r="V863" i="1"/>
  <c r="U864" i="1"/>
  <c r="W864" i="1"/>
  <c r="X864" i="1"/>
  <c r="AB864" i="1"/>
  <c r="L865" i="1"/>
  <c r="K865" i="1"/>
  <c r="M865" i="1"/>
  <c r="O865" i="1"/>
  <c r="Q865" i="1"/>
  <c r="P865" i="1"/>
  <c r="S865" i="1"/>
  <c r="J865" i="1"/>
  <c r="T865" i="1"/>
  <c r="V864" i="1"/>
  <c r="U865" i="1"/>
  <c r="W865" i="1"/>
  <c r="X865" i="1"/>
  <c r="AB865" i="1"/>
  <c r="L866" i="1"/>
  <c r="K866" i="1"/>
  <c r="M866" i="1"/>
  <c r="O866" i="1"/>
  <c r="Q866" i="1"/>
  <c r="P866" i="1"/>
  <c r="S866" i="1"/>
  <c r="T866" i="1"/>
  <c r="V865" i="1"/>
  <c r="U866" i="1"/>
  <c r="W866" i="1"/>
  <c r="X866" i="1"/>
  <c r="AB866" i="1"/>
  <c r="L867" i="1"/>
  <c r="K867" i="1"/>
  <c r="M867" i="1"/>
  <c r="O867" i="1"/>
  <c r="Q867" i="1"/>
  <c r="P867" i="1"/>
  <c r="S867" i="1"/>
  <c r="T867" i="1"/>
  <c r="V866" i="1"/>
  <c r="U867" i="1"/>
  <c r="W867" i="1"/>
  <c r="X867" i="1"/>
  <c r="AB867" i="1"/>
  <c r="L868" i="1"/>
  <c r="K868" i="1"/>
  <c r="M868" i="1"/>
  <c r="O868" i="1"/>
  <c r="Q868" i="1"/>
  <c r="P868" i="1"/>
  <c r="S868" i="1"/>
  <c r="T868" i="1"/>
  <c r="V867" i="1"/>
  <c r="U868" i="1"/>
  <c r="W868" i="1"/>
  <c r="X868" i="1"/>
  <c r="AB868" i="1"/>
  <c r="L869" i="1"/>
  <c r="K869" i="1"/>
  <c r="M869" i="1"/>
  <c r="O869" i="1"/>
  <c r="Q869" i="1"/>
  <c r="P869" i="1"/>
  <c r="S869" i="1"/>
  <c r="T869" i="1"/>
  <c r="V868" i="1"/>
  <c r="U869" i="1"/>
  <c r="W869" i="1"/>
  <c r="X869" i="1"/>
  <c r="AB869" i="1"/>
  <c r="L870" i="1"/>
  <c r="K870" i="1"/>
  <c r="M870" i="1"/>
  <c r="O870" i="1"/>
  <c r="Q870" i="1"/>
  <c r="P870" i="1"/>
  <c r="S870" i="1"/>
  <c r="T870" i="1"/>
  <c r="V869" i="1"/>
  <c r="U870" i="1"/>
  <c r="W870" i="1"/>
  <c r="X870" i="1"/>
  <c r="AB870" i="1"/>
  <c r="L871" i="1"/>
  <c r="K871" i="1"/>
  <c r="M871" i="1"/>
  <c r="O871" i="1"/>
  <c r="Q871" i="1"/>
  <c r="P871" i="1"/>
  <c r="S871" i="1"/>
  <c r="T871" i="1"/>
  <c r="V870" i="1"/>
  <c r="U871" i="1"/>
  <c r="W871" i="1"/>
  <c r="X871" i="1"/>
  <c r="AB871" i="1"/>
  <c r="L872" i="1"/>
  <c r="K872" i="1"/>
  <c r="M872" i="1"/>
  <c r="O872" i="1"/>
  <c r="Q872" i="1"/>
  <c r="P872" i="1"/>
  <c r="S872" i="1"/>
  <c r="T872" i="1"/>
  <c r="V871" i="1"/>
  <c r="U872" i="1"/>
  <c r="W872" i="1"/>
  <c r="X872" i="1"/>
  <c r="AB872" i="1"/>
  <c r="L873" i="1"/>
  <c r="K873" i="1"/>
  <c r="M873" i="1"/>
  <c r="O873" i="1"/>
  <c r="Q873" i="1"/>
  <c r="P873" i="1"/>
  <c r="S873" i="1"/>
  <c r="T873" i="1"/>
  <c r="V872" i="1"/>
  <c r="U873" i="1"/>
  <c r="W873" i="1"/>
  <c r="X873" i="1"/>
  <c r="AB873" i="1"/>
  <c r="L874" i="1"/>
  <c r="K874" i="1"/>
  <c r="M874" i="1"/>
  <c r="O874" i="1"/>
  <c r="Q874" i="1"/>
  <c r="P874" i="1"/>
  <c r="S874" i="1"/>
  <c r="T874" i="1"/>
  <c r="V873" i="1"/>
  <c r="U874" i="1"/>
  <c r="W874" i="1"/>
  <c r="X874" i="1"/>
  <c r="AB874" i="1"/>
  <c r="L875" i="1"/>
  <c r="K875" i="1"/>
  <c r="M875" i="1"/>
  <c r="O875" i="1"/>
  <c r="Q875" i="1"/>
  <c r="P875" i="1"/>
  <c r="S875" i="1"/>
  <c r="T875" i="1"/>
  <c r="V874" i="1"/>
  <c r="U875" i="1"/>
  <c r="W875" i="1"/>
  <c r="X875" i="1"/>
  <c r="AB875" i="1"/>
  <c r="L876" i="1"/>
  <c r="K876" i="1"/>
  <c r="M876" i="1"/>
  <c r="O876" i="1"/>
  <c r="Q876" i="1"/>
  <c r="P876" i="1"/>
  <c r="S876" i="1"/>
  <c r="T876" i="1"/>
  <c r="V875" i="1"/>
  <c r="U876" i="1"/>
  <c r="W876" i="1"/>
  <c r="X876" i="1"/>
  <c r="AB876" i="1"/>
  <c r="L877" i="1"/>
  <c r="K877" i="1"/>
  <c r="M877" i="1"/>
  <c r="O877" i="1"/>
  <c r="Q877" i="1"/>
  <c r="P877" i="1"/>
  <c r="S877" i="1"/>
  <c r="T877" i="1"/>
  <c r="V876" i="1"/>
  <c r="U877" i="1"/>
  <c r="W877" i="1"/>
  <c r="X877" i="1"/>
  <c r="AB877" i="1"/>
  <c r="L878" i="1"/>
  <c r="K878" i="1"/>
  <c r="M878" i="1"/>
  <c r="O878" i="1"/>
  <c r="Q878" i="1"/>
  <c r="P878" i="1"/>
  <c r="S878" i="1"/>
  <c r="T878" i="1"/>
  <c r="V877" i="1"/>
  <c r="U878" i="1"/>
  <c r="W878" i="1"/>
  <c r="X878" i="1"/>
  <c r="AB878" i="1"/>
  <c r="L879" i="1"/>
  <c r="K879" i="1"/>
  <c r="M879" i="1"/>
  <c r="O879" i="1"/>
  <c r="Q879" i="1"/>
  <c r="P879" i="1"/>
  <c r="S879" i="1"/>
  <c r="T879" i="1"/>
  <c r="V878" i="1"/>
  <c r="U879" i="1"/>
  <c r="W879" i="1"/>
  <c r="X879" i="1"/>
  <c r="AB879" i="1"/>
  <c r="L880" i="1"/>
  <c r="K880" i="1"/>
  <c r="M880" i="1"/>
  <c r="O880" i="1"/>
  <c r="Q880" i="1"/>
  <c r="P880" i="1"/>
  <c r="S880" i="1"/>
  <c r="T880" i="1"/>
  <c r="V879" i="1"/>
  <c r="U880" i="1"/>
  <c r="W880" i="1"/>
  <c r="X880" i="1"/>
  <c r="AB880" i="1"/>
  <c r="L881" i="1"/>
  <c r="K881" i="1"/>
  <c r="M881" i="1"/>
  <c r="O881" i="1"/>
  <c r="Q881" i="1"/>
  <c r="P881" i="1"/>
  <c r="S881" i="1"/>
  <c r="T881" i="1"/>
  <c r="V880" i="1"/>
  <c r="U881" i="1"/>
  <c r="W881" i="1"/>
  <c r="X881" i="1"/>
  <c r="AB881" i="1"/>
  <c r="L882" i="1"/>
  <c r="K882" i="1"/>
  <c r="M882" i="1"/>
  <c r="O882" i="1"/>
  <c r="Q882" i="1"/>
  <c r="P882" i="1"/>
  <c r="S882" i="1"/>
  <c r="T882" i="1"/>
  <c r="V881" i="1"/>
  <c r="U882" i="1"/>
  <c r="W882" i="1"/>
  <c r="X882" i="1"/>
  <c r="AB882" i="1"/>
  <c r="L883" i="1"/>
  <c r="K883" i="1"/>
  <c r="M883" i="1"/>
  <c r="O883" i="1"/>
  <c r="Q883" i="1"/>
  <c r="P883" i="1"/>
  <c r="S883" i="1"/>
  <c r="T883" i="1"/>
  <c r="V882" i="1"/>
  <c r="U883" i="1"/>
  <c r="W883" i="1"/>
  <c r="X883" i="1"/>
  <c r="AB883" i="1"/>
  <c r="L884" i="1"/>
  <c r="K884" i="1"/>
  <c r="M884" i="1"/>
  <c r="O884" i="1"/>
  <c r="Q884" i="1"/>
  <c r="P884" i="1"/>
  <c r="S884" i="1"/>
  <c r="T884" i="1"/>
  <c r="V883" i="1"/>
  <c r="U884" i="1"/>
  <c r="W884" i="1"/>
  <c r="X884" i="1"/>
  <c r="AB884" i="1"/>
  <c r="L885" i="1"/>
  <c r="K885" i="1"/>
  <c r="M885" i="1"/>
  <c r="O885" i="1"/>
  <c r="Q885" i="1"/>
  <c r="P885" i="1"/>
  <c r="S885" i="1"/>
  <c r="T885" i="1"/>
  <c r="V884" i="1"/>
  <c r="U885" i="1"/>
  <c r="W885" i="1"/>
  <c r="X885" i="1"/>
  <c r="AB885" i="1"/>
  <c r="L886" i="1"/>
  <c r="K886" i="1"/>
  <c r="M886" i="1"/>
  <c r="O886" i="1"/>
  <c r="Q886" i="1"/>
  <c r="P886" i="1"/>
  <c r="S886" i="1"/>
  <c r="T886" i="1"/>
  <c r="V885" i="1"/>
  <c r="U886" i="1"/>
  <c r="W886" i="1"/>
  <c r="X886" i="1"/>
  <c r="AB886" i="1"/>
  <c r="L887" i="1"/>
  <c r="K887" i="1"/>
  <c r="M887" i="1"/>
  <c r="O887" i="1"/>
  <c r="Q887" i="1"/>
  <c r="P887" i="1"/>
  <c r="S887" i="1"/>
  <c r="T887" i="1"/>
  <c r="V886" i="1"/>
  <c r="U887" i="1"/>
  <c r="W887" i="1"/>
  <c r="X887" i="1"/>
  <c r="AB887" i="1"/>
  <c r="L888" i="1"/>
  <c r="K888" i="1"/>
  <c r="M888" i="1"/>
  <c r="O888" i="1"/>
  <c r="Q888" i="1"/>
  <c r="P888" i="1"/>
  <c r="S888" i="1"/>
  <c r="T888" i="1"/>
  <c r="V887" i="1"/>
  <c r="U888" i="1"/>
  <c r="W888" i="1"/>
  <c r="X888" i="1"/>
  <c r="AB888" i="1"/>
  <c r="L889" i="1"/>
  <c r="K889" i="1"/>
  <c r="M889" i="1"/>
  <c r="O889" i="1"/>
  <c r="Q889" i="1"/>
  <c r="P889" i="1"/>
  <c r="S889" i="1"/>
  <c r="T889" i="1"/>
  <c r="V888" i="1"/>
  <c r="U889" i="1"/>
  <c r="W889" i="1"/>
  <c r="X889" i="1"/>
  <c r="AB889" i="1"/>
  <c r="L890" i="1"/>
  <c r="K890" i="1"/>
  <c r="M890" i="1"/>
  <c r="O890" i="1"/>
  <c r="Q890" i="1"/>
  <c r="P890" i="1"/>
  <c r="S890" i="1"/>
  <c r="T890" i="1"/>
  <c r="V889" i="1"/>
  <c r="U890" i="1"/>
  <c r="W890" i="1"/>
  <c r="X890" i="1"/>
  <c r="AB890" i="1"/>
  <c r="L891" i="1"/>
  <c r="K891" i="1"/>
  <c r="M891" i="1"/>
  <c r="O891" i="1"/>
  <c r="Q891" i="1"/>
  <c r="P891" i="1"/>
  <c r="S891" i="1"/>
  <c r="T891" i="1"/>
  <c r="V890" i="1"/>
  <c r="U891" i="1"/>
  <c r="W891" i="1"/>
  <c r="X891" i="1"/>
  <c r="AB891" i="1"/>
  <c r="L892" i="1"/>
  <c r="K892" i="1"/>
  <c r="M892" i="1"/>
  <c r="O892" i="1"/>
  <c r="Q892" i="1"/>
  <c r="P892" i="1"/>
  <c r="S892" i="1"/>
  <c r="T892" i="1"/>
  <c r="V891" i="1"/>
  <c r="U892" i="1"/>
  <c r="W892" i="1"/>
  <c r="X892" i="1"/>
  <c r="AB892" i="1"/>
  <c r="L893" i="1"/>
  <c r="K893" i="1"/>
  <c r="M893" i="1"/>
  <c r="O893" i="1"/>
  <c r="Q893" i="1"/>
  <c r="P893" i="1"/>
  <c r="S893" i="1"/>
  <c r="T893" i="1"/>
  <c r="V892" i="1"/>
  <c r="U893" i="1"/>
  <c r="W893" i="1"/>
  <c r="X893" i="1"/>
  <c r="AB893" i="1"/>
  <c r="L894" i="1"/>
  <c r="K894" i="1"/>
  <c r="M894" i="1"/>
  <c r="O894" i="1"/>
  <c r="Q894" i="1"/>
  <c r="P894" i="1"/>
  <c r="S894" i="1"/>
  <c r="T894" i="1"/>
  <c r="V893" i="1"/>
  <c r="U894" i="1"/>
  <c r="W894" i="1"/>
  <c r="X894" i="1"/>
  <c r="AB894" i="1"/>
  <c r="L895" i="1"/>
  <c r="K895" i="1"/>
  <c r="M895" i="1"/>
  <c r="O895" i="1"/>
  <c r="Q895" i="1"/>
  <c r="P895" i="1"/>
  <c r="S895" i="1"/>
  <c r="T895" i="1"/>
  <c r="V894" i="1"/>
  <c r="U895" i="1"/>
  <c r="W895" i="1"/>
  <c r="X895" i="1"/>
  <c r="AB895" i="1"/>
  <c r="L896" i="1"/>
  <c r="K896" i="1"/>
  <c r="M896" i="1"/>
  <c r="O896" i="1"/>
  <c r="Q896" i="1"/>
  <c r="P896" i="1"/>
  <c r="S896" i="1"/>
  <c r="T896" i="1"/>
  <c r="V895" i="1"/>
  <c r="U896" i="1"/>
  <c r="W896" i="1"/>
  <c r="X896" i="1"/>
  <c r="AB896" i="1"/>
  <c r="L897" i="1"/>
  <c r="K897" i="1"/>
  <c r="M897" i="1"/>
  <c r="O897" i="1"/>
  <c r="Q897" i="1"/>
  <c r="P897" i="1"/>
  <c r="S897" i="1"/>
  <c r="T897" i="1"/>
  <c r="V896" i="1"/>
  <c r="U897" i="1"/>
  <c r="W897" i="1"/>
  <c r="X897" i="1"/>
  <c r="AB897" i="1"/>
  <c r="L898" i="1"/>
  <c r="K898" i="1"/>
  <c r="M898" i="1"/>
  <c r="O898" i="1"/>
  <c r="Q898" i="1"/>
  <c r="P898" i="1"/>
  <c r="S898" i="1"/>
  <c r="T898" i="1"/>
  <c r="V897" i="1"/>
  <c r="U898" i="1"/>
  <c r="W898" i="1"/>
  <c r="X898" i="1"/>
  <c r="AB898" i="1"/>
  <c r="L899" i="1"/>
  <c r="K899" i="1"/>
  <c r="M899" i="1"/>
  <c r="O899" i="1"/>
  <c r="Q899" i="1"/>
  <c r="P899" i="1"/>
  <c r="S899" i="1"/>
  <c r="T899" i="1"/>
  <c r="V898" i="1"/>
  <c r="U899" i="1"/>
  <c r="W899" i="1"/>
  <c r="X899" i="1"/>
  <c r="AB899" i="1"/>
  <c r="L900" i="1"/>
  <c r="K900" i="1"/>
  <c r="M900" i="1"/>
  <c r="O900" i="1"/>
  <c r="Q900" i="1"/>
  <c r="P900" i="1"/>
  <c r="S900" i="1"/>
  <c r="T900" i="1"/>
  <c r="V899" i="1"/>
  <c r="U900" i="1"/>
  <c r="W900" i="1"/>
  <c r="X900" i="1"/>
  <c r="AB900" i="1"/>
  <c r="L901" i="1"/>
  <c r="K901" i="1"/>
  <c r="M901" i="1"/>
  <c r="O901" i="1"/>
  <c r="Q901" i="1"/>
  <c r="P901" i="1"/>
  <c r="S901" i="1"/>
  <c r="T901" i="1"/>
  <c r="V900" i="1"/>
  <c r="U901" i="1"/>
  <c r="W901" i="1"/>
  <c r="X901" i="1"/>
  <c r="AB901" i="1"/>
  <c r="L902" i="1"/>
  <c r="K902" i="1"/>
  <c r="M902" i="1"/>
  <c r="O902" i="1"/>
  <c r="Q902" i="1"/>
  <c r="P902" i="1"/>
  <c r="S902" i="1"/>
  <c r="T902" i="1"/>
  <c r="V901" i="1"/>
  <c r="U902" i="1"/>
  <c r="W902" i="1"/>
  <c r="X902" i="1"/>
  <c r="AB902" i="1"/>
  <c r="L903" i="1"/>
  <c r="K903" i="1"/>
  <c r="M903" i="1"/>
  <c r="O903" i="1"/>
  <c r="Q903" i="1"/>
  <c r="P903" i="1"/>
  <c r="S903" i="1"/>
  <c r="T903" i="1"/>
  <c r="V902" i="1"/>
  <c r="U903" i="1"/>
  <c r="W903" i="1"/>
  <c r="X903" i="1"/>
  <c r="AB903" i="1"/>
  <c r="L904" i="1"/>
  <c r="K904" i="1"/>
  <c r="M904" i="1"/>
  <c r="O904" i="1"/>
  <c r="Q904" i="1"/>
  <c r="P904" i="1"/>
  <c r="S904" i="1"/>
  <c r="T904" i="1"/>
  <c r="V903" i="1"/>
  <c r="U904" i="1"/>
  <c r="W904" i="1"/>
  <c r="X904" i="1"/>
  <c r="AB904" i="1"/>
  <c r="L905" i="1"/>
  <c r="K905" i="1"/>
  <c r="M905" i="1"/>
  <c r="O905" i="1"/>
  <c r="Q905" i="1"/>
  <c r="P905" i="1"/>
  <c r="S905" i="1"/>
  <c r="T905" i="1"/>
  <c r="V904" i="1"/>
  <c r="U905" i="1"/>
  <c r="W905" i="1"/>
  <c r="X905" i="1"/>
  <c r="AB905" i="1"/>
  <c r="L906" i="1"/>
  <c r="K906" i="1"/>
  <c r="M906" i="1"/>
  <c r="O906" i="1"/>
  <c r="Q906" i="1"/>
  <c r="P906" i="1"/>
  <c r="S906" i="1"/>
  <c r="T906" i="1"/>
  <c r="V905" i="1"/>
  <c r="U906" i="1"/>
  <c r="W906" i="1"/>
  <c r="X906" i="1"/>
  <c r="AB906" i="1"/>
  <c r="L907" i="1"/>
  <c r="K907" i="1"/>
  <c r="M907" i="1"/>
  <c r="O907" i="1"/>
  <c r="Q907" i="1"/>
  <c r="P907" i="1"/>
  <c r="S907" i="1"/>
  <c r="T907" i="1"/>
  <c r="V906" i="1"/>
  <c r="U907" i="1"/>
  <c r="W907" i="1"/>
  <c r="X907" i="1"/>
  <c r="AB907" i="1"/>
  <c r="L908" i="1"/>
  <c r="K908" i="1"/>
  <c r="M908" i="1"/>
  <c r="O908" i="1"/>
  <c r="Q908" i="1"/>
  <c r="P908" i="1"/>
  <c r="S908" i="1"/>
  <c r="T908" i="1"/>
  <c r="V907" i="1"/>
  <c r="U908" i="1"/>
  <c r="W908" i="1"/>
  <c r="X908" i="1"/>
  <c r="AB908" i="1"/>
  <c r="L909" i="1"/>
  <c r="K909" i="1"/>
  <c r="M909" i="1"/>
  <c r="O909" i="1"/>
  <c r="Q909" i="1"/>
  <c r="P909" i="1"/>
  <c r="S909" i="1"/>
  <c r="T909" i="1"/>
  <c r="V908" i="1"/>
  <c r="U909" i="1"/>
  <c r="W909" i="1"/>
  <c r="X909" i="1"/>
  <c r="AB909" i="1"/>
  <c r="L910" i="1"/>
  <c r="K910" i="1"/>
  <c r="M910" i="1"/>
  <c r="O910" i="1"/>
  <c r="Q910" i="1"/>
  <c r="P910" i="1"/>
  <c r="S910" i="1"/>
  <c r="T910" i="1"/>
  <c r="V909" i="1"/>
  <c r="U910" i="1"/>
  <c r="W910" i="1"/>
  <c r="X910" i="1"/>
  <c r="AB910" i="1"/>
  <c r="L911" i="1"/>
  <c r="K911" i="1"/>
  <c r="M911" i="1"/>
  <c r="O911" i="1"/>
  <c r="Q911" i="1"/>
  <c r="P911" i="1"/>
  <c r="S911" i="1"/>
  <c r="T911" i="1"/>
  <c r="V910" i="1"/>
  <c r="U911" i="1"/>
  <c r="W911" i="1"/>
  <c r="X911" i="1"/>
  <c r="AB911" i="1"/>
  <c r="L912" i="1"/>
  <c r="K912" i="1"/>
  <c r="M912" i="1"/>
  <c r="O912" i="1"/>
  <c r="Q912" i="1"/>
  <c r="P912" i="1"/>
  <c r="S912" i="1"/>
  <c r="T912" i="1"/>
  <c r="V911" i="1"/>
  <c r="U912" i="1"/>
  <c r="W912" i="1"/>
  <c r="X912" i="1"/>
  <c r="AB912" i="1"/>
  <c r="L913" i="1"/>
  <c r="K913" i="1"/>
  <c r="M913" i="1"/>
  <c r="O913" i="1"/>
  <c r="Q913" i="1"/>
  <c r="P913" i="1"/>
  <c r="S913" i="1"/>
  <c r="T913" i="1"/>
  <c r="V912" i="1"/>
  <c r="U913" i="1"/>
  <c r="W913" i="1"/>
  <c r="X913" i="1"/>
  <c r="AB913" i="1"/>
  <c r="L914" i="1"/>
  <c r="K914" i="1"/>
  <c r="M914" i="1"/>
  <c r="O914" i="1"/>
  <c r="Q914" i="1"/>
  <c r="P914" i="1"/>
  <c r="S914" i="1"/>
  <c r="T914" i="1"/>
  <c r="V913" i="1"/>
  <c r="U914" i="1"/>
  <c r="W914" i="1"/>
  <c r="X914" i="1"/>
  <c r="AB914" i="1"/>
  <c r="L915" i="1"/>
  <c r="K915" i="1"/>
  <c r="M915" i="1"/>
  <c r="O915" i="1"/>
  <c r="Q915" i="1"/>
  <c r="P915" i="1"/>
  <c r="S915" i="1"/>
  <c r="T915" i="1"/>
  <c r="V914" i="1"/>
  <c r="U915" i="1"/>
  <c r="W915" i="1"/>
  <c r="X915" i="1"/>
  <c r="AB915" i="1"/>
  <c r="L916" i="1"/>
  <c r="K916" i="1"/>
  <c r="M916" i="1"/>
  <c r="O916" i="1"/>
  <c r="Q916" i="1"/>
  <c r="P916" i="1"/>
  <c r="S916" i="1"/>
  <c r="T916" i="1"/>
  <c r="V915" i="1"/>
  <c r="U916" i="1"/>
  <c r="W916" i="1"/>
  <c r="X916" i="1"/>
  <c r="AB916" i="1"/>
  <c r="L917" i="1"/>
  <c r="K917" i="1"/>
  <c r="M917" i="1"/>
  <c r="O917" i="1"/>
  <c r="Q917" i="1"/>
  <c r="P917" i="1"/>
  <c r="S917" i="1"/>
  <c r="T917" i="1"/>
  <c r="V916" i="1"/>
  <c r="U917" i="1"/>
  <c r="W917" i="1"/>
  <c r="X917" i="1"/>
  <c r="AB917" i="1"/>
  <c r="L918" i="1"/>
  <c r="K918" i="1"/>
  <c r="M918" i="1"/>
  <c r="O918" i="1"/>
  <c r="Q918" i="1"/>
  <c r="P918" i="1"/>
  <c r="S918" i="1"/>
  <c r="T918" i="1"/>
  <c r="V917" i="1"/>
  <c r="U918" i="1"/>
  <c r="W918" i="1"/>
  <c r="X918" i="1"/>
  <c r="AB918" i="1"/>
  <c r="L919" i="1"/>
  <c r="K919" i="1"/>
  <c r="M919" i="1"/>
  <c r="O919" i="1"/>
  <c r="Q919" i="1"/>
  <c r="P919" i="1"/>
  <c r="S919" i="1"/>
  <c r="T919" i="1"/>
  <c r="V918" i="1"/>
  <c r="U919" i="1"/>
  <c r="W919" i="1"/>
  <c r="X919" i="1"/>
  <c r="AB919" i="1"/>
  <c r="L920" i="1"/>
  <c r="K920" i="1"/>
  <c r="M920" i="1"/>
  <c r="O920" i="1"/>
  <c r="Q920" i="1"/>
  <c r="P920" i="1"/>
  <c r="S920" i="1"/>
  <c r="T920" i="1"/>
  <c r="V919" i="1"/>
  <c r="U920" i="1"/>
  <c r="W920" i="1"/>
  <c r="X920" i="1"/>
  <c r="AB920" i="1"/>
  <c r="L921" i="1"/>
  <c r="K921" i="1"/>
  <c r="M921" i="1"/>
  <c r="O921" i="1"/>
  <c r="Q921" i="1"/>
  <c r="P921" i="1"/>
  <c r="S921" i="1"/>
  <c r="T921" i="1"/>
  <c r="V920" i="1"/>
  <c r="U921" i="1"/>
  <c r="W921" i="1"/>
  <c r="X921" i="1"/>
  <c r="AB921" i="1"/>
  <c r="L922" i="1"/>
  <c r="K922" i="1"/>
  <c r="M922" i="1"/>
  <c r="O922" i="1"/>
  <c r="Q922" i="1"/>
  <c r="P922" i="1"/>
  <c r="S922" i="1"/>
  <c r="T922" i="1"/>
  <c r="V921" i="1"/>
  <c r="U922" i="1"/>
  <c r="W922" i="1"/>
  <c r="X922" i="1"/>
  <c r="AB922" i="1"/>
  <c r="L923" i="1"/>
  <c r="K923" i="1"/>
  <c r="M923" i="1"/>
  <c r="O923" i="1"/>
  <c r="Q923" i="1"/>
  <c r="P923" i="1"/>
  <c r="S923" i="1"/>
  <c r="T923" i="1"/>
  <c r="V922" i="1"/>
  <c r="U923" i="1"/>
  <c r="W923" i="1"/>
  <c r="X923" i="1"/>
  <c r="AB923" i="1"/>
  <c r="L924" i="1"/>
  <c r="K924" i="1"/>
  <c r="M924" i="1"/>
  <c r="O924" i="1"/>
  <c r="Q924" i="1"/>
  <c r="P924" i="1"/>
  <c r="S924" i="1"/>
  <c r="T924" i="1"/>
  <c r="V923" i="1"/>
  <c r="U924" i="1"/>
  <c r="W924" i="1"/>
  <c r="X924" i="1"/>
  <c r="AB924" i="1"/>
  <c r="L925" i="1"/>
  <c r="K925" i="1"/>
  <c r="M925" i="1"/>
  <c r="O925" i="1"/>
  <c r="Q925" i="1"/>
  <c r="P925" i="1"/>
  <c r="S925" i="1"/>
  <c r="T925" i="1"/>
  <c r="V924" i="1"/>
  <c r="U925" i="1"/>
  <c r="W925" i="1"/>
  <c r="X925" i="1"/>
  <c r="AB925" i="1"/>
  <c r="L926" i="1"/>
  <c r="K926" i="1"/>
  <c r="M926" i="1"/>
  <c r="O926" i="1"/>
  <c r="Q926" i="1"/>
  <c r="P926" i="1"/>
  <c r="S926" i="1"/>
  <c r="T926" i="1"/>
  <c r="V925" i="1"/>
  <c r="U926" i="1"/>
  <c r="W926" i="1"/>
  <c r="X926" i="1"/>
  <c r="AB926" i="1"/>
  <c r="L927" i="1"/>
  <c r="K927" i="1"/>
  <c r="M927" i="1"/>
  <c r="O927" i="1"/>
  <c r="Q927" i="1"/>
  <c r="P927" i="1"/>
  <c r="S927" i="1"/>
  <c r="T927" i="1"/>
  <c r="V926" i="1"/>
  <c r="U927" i="1"/>
  <c r="W927" i="1"/>
  <c r="X927" i="1"/>
  <c r="AB927" i="1"/>
  <c r="L928" i="1"/>
  <c r="K928" i="1"/>
  <c r="M928" i="1"/>
  <c r="O928" i="1"/>
  <c r="Q928" i="1"/>
  <c r="P928" i="1"/>
  <c r="S928" i="1"/>
  <c r="T928" i="1"/>
  <c r="V927" i="1"/>
  <c r="U928" i="1"/>
  <c r="W928" i="1"/>
  <c r="X928" i="1"/>
  <c r="AB928" i="1"/>
  <c r="L929" i="1"/>
  <c r="K929" i="1"/>
  <c r="M929" i="1"/>
  <c r="O929" i="1"/>
  <c r="Q929" i="1"/>
  <c r="P929" i="1"/>
  <c r="S929" i="1"/>
  <c r="J929" i="1"/>
  <c r="T929" i="1"/>
  <c r="V928" i="1"/>
  <c r="U929" i="1"/>
  <c r="W929" i="1"/>
  <c r="X929" i="1"/>
  <c r="AB929" i="1"/>
  <c r="L930" i="1"/>
  <c r="K930" i="1"/>
  <c r="M930" i="1"/>
  <c r="O930" i="1"/>
  <c r="Q930" i="1"/>
  <c r="P930" i="1"/>
  <c r="S930" i="1"/>
  <c r="T930" i="1"/>
  <c r="V929" i="1"/>
  <c r="U930" i="1"/>
  <c r="W930" i="1"/>
  <c r="X930" i="1"/>
  <c r="AB930" i="1"/>
  <c r="L931" i="1"/>
  <c r="K931" i="1"/>
  <c r="M931" i="1"/>
  <c r="O931" i="1"/>
  <c r="Q931" i="1"/>
  <c r="P931" i="1"/>
  <c r="S931" i="1"/>
  <c r="T931" i="1"/>
  <c r="V930" i="1"/>
  <c r="U931" i="1"/>
  <c r="W931" i="1"/>
  <c r="X931" i="1"/>
  <c r="AB931" i="1"/>
  <c r="L932" i="1"/>
  <c r="K932" i="1"/>
  <c r="M932" i="1"/>
  <c r="O932" i="1"/>
  <c r="Q932" i="1"/>
  <c r="P932" i="1"/>
  <c r="S932" i="1"/>
  <c r="T932" i="1"/>
  <c r="V931" i="1"/>
  <c r="U932" i="1"/>
  <c r="W932" i="1"/>
  <c r="X932" i="1"/>
  <c r="AB932" i="1"/>
  <c r="L933" i="1"/>
  <c r="K933" i="1"/>
  <c r="M933" i="1"/>
  <c r="O933" i="1"/>
  <c r="Q933" i="1"/>
  <c r="P933" i="1"/>
  <c r="S933" i="1"/>
  <c r="T933" i="1"/>
  <c r="V932" i="1"/>
  <c r="U933" i="1"/>
  <c r="W933" i="1"/>
  <c r="X933" i="1"/>
  <c r="AB933" i="1"/>
  <c r="L934" i="1"/>
  <c r="K934" i="1"/>
  <c r="M934" i="1"/>
  <c r="O934" i="1"/>
  <c r="Q934" i="1"/>
  <c r="P934" i="1"/>
  <c r="S934" i="1"/>
  <c r="T934" i="1"/>
  <c r="V933" i="1"/>
  <c r="U934" i="1"/>
  <c r="W934" i="1"/>
  <c r="X934" i="1"/>
  <c r="AB934" i="1"/>
  <c r="L935" i="1"/>
  <c r="K935" i="1"/>
  <c r="M935" i="1"/>
  <c r="O935" i="1"/>
  <c r="Q935" i="1"/>
  <c r="P935" i="1"/>
  <c r="S935" i="1"/>
  <c r="T935" i="1"/>
  <c r="V934" i="1"/>
  <c r="U935" i="1"/>
  <c r="W935" i="1"/>
  <c r="X935" i="1"/>
  <c r="AB935" i="1"/>
  <c r="L936" i="1"/>
  <c r="K936" i="1"/>
  <c r="M936" i="1"/>
  <c r="O936" i="1"/>
  <c r="Q936" i="1"/>
  <c r="P936" i="1"/>
  <c r="S936" i="1"/>
  <c r="T936" i="1"/>
  <c r="V935" i="1"/>
  <c r="U936" i="1"/>
  <c r="W936" i="1"/>
  <c r="X936" i="1"/>
  <c r="AB936" i="1"/>
  <c r="L937" i="1"/>
  <c r="K937" i="1"/>
  <c r="M937" i="1"/>
  <c r="O937" i="1"/>
  <c r="Q937" i="1"/>
  <c r="P937" i="1"/>
  <c r="S937" i="1"/>
  <c r="T937" i="1"/>
  <c r="V936" i="1"/>
  <c r="U937" i="1"/>
  <c r="W937" i="1"/>
  <c r="X937" i="1"/>
  <c r="AB937" i="1"/>
  <c r="L938" i="1"/>
  <c r="K938" i="1"/>
  <c r="M938" i="1"/>
  <c r="O938" i="1"/>
  <c r="Q938" i="1"/>
  <c r="P938" i="1"/>
  <c r="S938" i="1"/>
  <c r="T938" i="1"/>
  <c r="V937" i="1"/>
  <c r="U938" i="1"/>
  <c r="W938" i="1"/>
  <c r="X938" i="1"/>
  <c r="AB938" i="1"/>
  <c r="L939" i="1"/>
  <c r="K939" i="1"/>
  <c r="M939" i="1"/>
  <c r="O939" i="1"/>
  <c r="Q939" i="1"/>
  <c r="P939" i="1"/>
  <c r="S939" i="1"/>
  <c r="T939" i="1"/>
  <c r="V938" i="1"/>
  <c r="U939" i="1"/>
  <c r="W939" i="1"/>
  <c r="X939" i="1"/>
  <c r="AB939" i="1"/>
  <c r="L940" i="1"/>
  <c r="K940" i="1"/>
  <c r="M940" i="1"/>
  <c r="O940" i="1"/>
  <c r="Q940" i="1"/>
  <c r="P940" i="1"/>
  <c r="S940" i="1"/>
  <c r="T940" i="1"/>
  <c r="V939" i="1"/>
  <c r="U940" i="1"/>
  <c r="W940" i="1"/>
  <c r="X940" i="1"/>
  <c r="AB940" i="1"/>
  <c r="L941" i="1"/>
  <c r="K941" i="1"/>
  <c r="M941" i="1"/>
  <c r="O941" i="1"/>
  <c r="Q941" i="1"/>
  <c r="P941" i="1"/>
  <c r="S941" i="1"/>
  <c r="T941" i="1"/>
  <c r="V940" i="1"/>
  <c r="U941" i="1"/>
  <c r="W941" i="1"/>
  <c r="X941" i="1"/>
  <c r="AB941" i="1"/>
  <c r="L942" i="1"/>
  <c r="K942" i="1"/>
  <c r="M942" i="1"/>
  <c r="O942" i="1"/>
  <c r="Q942" i="1"/>
  <c r="P942" i="1"/>
  <c r="S942" i="1"/>
  <c r="T942" i="1"/>
  <c r="V941" i="1"/>
  <c r="U942" i="1"/>
  <c r="W942" i="1"/>
  <c r="X942" i="1"/>
  <c r="AB942" i="1"/>
  <c r="L943" i="1"/>
  <c r="K943" i="1"/>
  <c r="M943" i="1"/>
  <c r="O943" i="1"/>
  <c r="Q943" i="1"/>
  <c r="P943" i="1"/>
  <c r="S943" i="1"/>
  <c r="T943" i="1"/>
  <c r="V942" i="1"/>
  <c r="U943" i="1"/>
  <c r="W943" i="1"/>
  <c r="X943" i="1"/>
  <c r="AB943" i="1"/>
  <c r="L944" i="1"/>
  <c r="K944" i="1"/>
  <c r="M944" i="1"/>
  <c r="O944" i="1"/>
  <c r="Q944" i="1"/>
  <c r="P944" i="1"/>
  <c r="S944" i="1"/>
  <c r="T944" i="1"/>
  <c r="V943" i="1"/>
  <c r="U944" i="1"/>
  <c r="W944" i="1"/>
  <c r="X944" i="1"/>
  <c r="AB944" i="1"/>
  <c r="L945" i="1"/>
  <c r="K945" i="1"/>
  <c r="M945" i="1"/>
  <c r="O945" i="1"/>
  <c r="Q945" i="1"/>
  <c r="P945" i="1"/>
  <c r="S945" i="1"/>
  <c r="T945" i="1"/>
  <c r="V944" i="1"/>
  <c r="U945" i="1"/>
  <c r="W945" i="1"/>
  <c r="X945" i="1"/>
  <c r="AB945" i="1"/>
  <c r="L946" i="1"/>
  <c r="K946" i="1"/>
  <c r="M946" i="1"/>
  <c r="O946" i="1"/>
  <c r="Q946" i="1"/>
  <c r="P946" i="1"/>
  <c r="S946" i="1"/>
  <c r="T946" i="1"/>
  <c r="V945" i="1"/>
  <c r="U946" i="1"/>
  <c r="W946" i="1"/>
  <c r="X946" i="1"/>
  <c r="AB946" i="1"/>
  <c r="L947" i="1"/>
  <c r="K947" i="1"/>
  <c r="M947" i="1"/>
  <c r="O947" i="1"/>
  <c r="Q947" i="1"/>
  <c r="P947" i="1"/>
  <c r="S947" i="1"/>
  <c r="T947" i="1"/>
  <c r="V946" i="1"/>
  <c r="U947" i="1"/>
  <c r="W947" i="1"/>
  <c r="X947" i="1"/>
  <c r="AB947" i="1"/>
  <c r="L948" i="1"/>
  <c r="K948" i="1"/>
  <c r="M948" i="1"/>
  <c r="O948" i="1"/>
  <c r="Q948" i="1"/>
  <c r="P948" i="1"/>
  <c r="S948" i="1"/>
  <c r="T948" i="1"/>
  <c r="V947" i="1"/>
  <c r="U948" i="1"/>
  <c r="W948" i="1"/>
  <c r="X948" i="1"/>
  <c r="AB948" i="1"/>
  <c r="L949" i="1"/>
  <c r="K949" i="1"/>
  <c r="M949" i="1"/>
  <c r="O949" i="1"/>
  <c r="Q949" i="1"/>
  <c r="P949" i="1"/>
  <c r="S949" i="1"/>
  <c r="T949" i="1"/>
  <c r="V948" i="1"/>
  <c r="U949" i="1"/>
  <c r="W949" i="1"/>
  <c r="X949" i="1"/>
  <c r="AB949" i="1"/>
  <c r="L950" i="1"/>
  <c r="K950" i="1"/>
  <c r="M950" i="1"/>
  <c r="O950" i="1"/>
  <c r="Q950" i="1"/>
  <c r="P950" i="1"/>
  <c r="S950" i="1"/>
  <c r="T950" i="1"/>
  <c r="V949" i="1"/>
  <c r="U950" i="1"/>
  <c r="W950" i="1"/>
  <c r="X950" i="1"/>
  <c r="AB950" i="1"/>
  <c r="L951" i="1"/>
  <c r="K951" i="1"/>
  <c r="M951" i="1"/>
  <c r="O951" i="1"/>
  <c r="Q951" i="1"/>
  <c r="P951" i="1"/>
  <c r="S951" i="1"/>
  <c r="T951" i="1"/>
  <c r="V950" i="1"/>
  <c r="U951" i="1"/>
  <c r="W951" i="1"/>
  <c r="X951" i="1"/>
  <c r="AB951" i="1"/>
  <c r="L952" i="1"/>
  <c r="K952" i="1"/>
  <c r="M952" i="1"/>
  <c r="O952" i="1"/>
  <c r="Q952" i="1"/>
  <c r="P952" i="1"/>
  <c r="S952" i="1"/>
  <c r="T952" i="1"/>
  <c r="V951" i="1"/>
  <c r="U952" i="1"/>
  <c r="W952" i="1"/>
  <c r="X952" i="1"/>
  <c r="AB952" i="1"/>
  <c r="L953" i="1"/>
  <c r="K953" i="1"/>
  <c r="M953" i="1"/>
  <c r="O953" i="1"/>
  <c r="Q953" i="1"/>
  <c r="P953" i="1"/>
  <c r="S953" i="1"/>
  <c r="T953" i="1"/>
  <c r="V952" i="1"/>
  <c r="U953" i="1"/>
  <c r="W953" i="1"/>
  <c r="X953" i="1"/>
  <c r="AB953" i="1"/>
  <c r="L954" i="1"/>
  <c r="K954" i="1"/>
  <c r="M954" i="1"/>
  <c r="O954" i="1"/>
  <c r="Q954" i="1"/>
  <c r="P954" i="1"/>
  <c r="S954" i="1"/>
  <c r="T954" i="1"/>
  <c r="V953" i="1"/>
  <c r="U954" i="1"/>
  <c r="W954" i="1"/>
  <c r="X954" i="1"/>
  <c r="AB954" i="1"/>
  <c r="L955" i="1"/>
  <c r="K955" i="1"/>
  <c r="M955" i="1"/>
  <c r="O955" i="1"/>
  <c r="Q955" i="1"/>
  <c r="P955" i="1"/>
  <c r="S955" i="1"/>
  <c r="T955" i="1"/>
  <c r="V954" i="1"/>
  <c r="U955" i="1"/>
  <c r="W955" i="1"/>
  <c r="X955" i="1"/>
  <c r="AB955" i="1"/>
  <c r="L956" i="1"/>
  <c r="K956" i="1"/>
  <c r="M956" i="1"/>
  <c r="O956" i="1"/>
  <c r="Q956" i="1"/>
  <c r="P956" i="1"/>
  <c r="S956" i="1"/>
  <c r="T956" i="1"/>
  <c r="V955" i="1"/>
  <c r="U956" i="1"/>
  <c r="W956" i="1"/>
  <c r="X956" i="1"/>
  <c r="AB956" i="1"/>
  <c r="L957" i="1"/>
  <c r="K957" i="1"/>
  <c r="M957" i="1"/>
  <c r="O957" i="1"/>
  <c r="Q957" i="1"/>
  <c r="P957" i="1"/>
  <c r="S957" i="1"/>
  <c r="T957" i="1"/>
  <c r="V956" i="1"/>
  <c r="U957" i="1"/>
  <c r="W957" i="1"/>
  <c r="X957" i="1"/>
  <c r="AB957" i="1"/>
  <c r="L958" i="1"/>
  <c r="K958" i="1"/>
  <c r="M958" i="1"/>
  <c r="O958" i="1"/>
  <c r="Q958" i="1"/>
  <c r="P958" i="1"/>
  <c r="S958" i="1"/>
  <c r="T958" i="1"/>
  <c r="V957" i="1"/>
  <c r="U958" i="1"/>
  <c r="W958" i="1"/>
  <c r="X958" i="1"/>
  <c r="AB958" i="1"/>
  <c r="L959" i="1"/>
  <c r="K959" i="1"/>
  <c r="M959" i="1"/>
  <c r="O959" i="1"/>
  <c r="Q959" i="1"/>
  <c r="P959" i="1"/>
  <c r="S959" i="1"/>
  <c r="T959" i="1"/>
  <c r="V958" i="1"/>
  <c r="U959" i="1"/>
  <c r="W959" i="1"/>
  <c r="X959" i="1"/>
  <c r="AB959" i="1"/>
  <c r="L960" i="1"/>
  <c r="K960" i="1"/>
  <c r="M960" i="1"/>
  <c r="O960" i="1"/>
  <c r="Q960" i="1"/>
  <c r="P960" i="1"/>
  <c r="S960" i="1"/>
  <c r="T960" i="1"/>
  <c r="V959" i="1"/>
  <c r="U960" i="1"/>
  <c r="W960" i="1"/>
  <c r="X960" i="1"/>
  <c r="AB960" i="1"/>
  <c r="L961" i="1"/>
  <c r="K961" i="1"/>
  <c r="M961" i="1"/>
  <c r="O961" i="1"/>
  <c r="Q961" i="1"/>
  <c r="P961" i="1"/>
  <c r="S961" i="1"/>
  <c r="T961" i="1"/>
  <c r="V960" i="1"/>
  <c r="U961" i="1"/>
  <c r="W961" i="1"/>
  <c r="X961" i="1"/>
  <c r="AB961" i="1"/>
  <c r="L962" i="1"/>
  <c r="K962" i="1"/>
  <c r="M962" i="1"/>
  <c r="O962" i="1"/>
  <c r="Q962" i="1"/>
  <c r="P962" i="1"/>
  <c r="S962" i="1"/>
  <c r="T962" i="1"/>
  <c r="V961" i="1"/>
  <c r="U962" i="1"/>
  <c r="W962" i="1"/>
  <c r="X962" i="1"/>
  <c r="AB962" i="1"/>
  <c r="L963" i="1"/>
  <c r="K963" i="1"/>
  <c r="M963" i="1"/>
  <c r="O963" i="1"/>
  <c r="Q963" i="1"/>
  <c r="P963" i="1"/>
  <c r="S963" i="1"/>
  <c r="T963" i="1"/>
  <c r="V962" i="1"/>
  <c r="U963" i="1"/>
  <c r="W963" i="1"/>
  <c r="X963" i="1"/>
  <c r="AB963" i="1"/>
  <c r="L964" i="1"/>
  <c r="K964" i="1"/>
  <c r="M964" i="1"/>
  <c r="O964" i="1"/>
  <c r="Q964" i="1"/>
  <c r="P964" i="1"/>
  <c r="S964" i="1"/>
  <c r="T964" i="1"/>
  <c r="V963" i="1"/>
  <c r="U964" i="1"/>
  <c r="W964" i="1"/>
  <c r="X964" i="1"/>
  <c r="AB964" i="1"/>
  <c r="L965" i="1"/>
  <c r="K965" i="1"/>
  <c r="M965" i="1"/>
  <c r="O965" i="1"/>
  <c r="Q965" i="1"/>
  <c r="P965" i="1"/>
  <c r="S965" i="1"/>
  <c r="T965" i="1"/>
  <c r="V964" i="1"/>
  <c r="U965" i="1"/>
  <c r="W965" i="1"/>
  <c r="X965" i="1"/>
  <c r="AB965" i="1"/>
  <c r="L966" i="1"/>
  <c r="K966" i="1"/>
  <c r="M966" i="1"/>
  <c r="O966" i="1"/>
  <c r="Q966" i="1"/>
  <c r="P966" i="1"/>
  <c r="S966" i="1"/>
  <c r="T966" i="1"/>
  <c r="V965" i="1"/>
  <c r="U966" i="1"/>
  <c r="W966" i="1"/>
  <c r="X966" i="1"/>
  <c r="AB966" i="1"/>
  <c r="L967" i="1"/>
  <c r="K967" i="1"/>
  <c r="M967" i="1"/>
  <c r="O967" i="1"/>
  <c r="Q967" i="1"/>
  <c r="P967" i="1"/>
  <c r="S967" i="1"/>
  <c r="T967" i="1"/>
  <c r="V966" i="1"/>
  <c r="U967" i="1"/>
  <c r="W967" i="1"/>
  <c r="X967" i="1"/>
  <c r="AB967" i="1"/>
  <c r="L968" i="1"/>
  <c r="K968" i="1"/>
  <c r="M968" i="1"/>
  <c r="O968" i="1"/>
  <c r="Q968" i="1"/>
  <c r="P968" i="1"/>
  <c r="S968" i="1"/>
  <c r="T968" i="1"/>
  <c r="V967" i="1"/>
  <c r="U968" i="1"/>
  <c r="W968" i="1"/>
  <c r="X968" i="1"/>
  <c r="AB968" i="1"/>
  <c r="L969" i="1"/>
  <c r="K969" i="1"/>
  <c r="M969" i="1"/>
  <c r="O969" i="1"/>
  <c r="Q969" i="1"/>
  <c r="P969" i="1"/>
  <c r="S969" i="1"/>
  <c r="T969" i="1"/>
  <c r="V968" i="1"/>
  <c r="U969" i="1"/>
  <c r="W969" i="1"/>
  <c r="X969" i="1"/>
  <c r="AB969" i="1"/>
  <c r="L970" i="1"/>
  <c r="K970" i="1"/>
  <c r="M970" i="1"/>
  <c r="O970" i="1"/>
  <c r="Q970" i="1"/>
  <c r="P970" i="1"/>
  <c r="S970" i="1"/>
  <c r="J970" i="1"/>
  <c r="N970" i="1"/>
  <c r="T970" i="1"/>
  <c r="V969" i="1"/>
  <c r="U970" i="1"/>
  <c r="W970" i="1"/>
  <c r="X970" i="1"/>
  <c r="AB970" i="1"/>
  <c r="L971" i="1"/>
  <c r="K971" i="1"/>
  <c r="M971" i="1"/>
  <c r="O971" i="1"/>
  <c r="Q971" i="1"/>
  <c r="P971" i="1"/>
  <c r="S971" i="1"/>
  <c r="T971" i="1"/>
  <c r="V970" i="1"/>
  <c r="U971" i="1"/>
  <c r="W971" i="1"/>
  <c r="X971" i="1"/>
  <c r="AB971" i="1"/>
  <c r="L972" i="1"/>
  <c r="K972" i="1"/>
  <c r="M972" i="1"/>
  <c r="O972" i="1"/>
  <c r="Q972" i="1"/>
  <c r="P972" i="1"/>
  <c r="S972" i="1"/>
  <c r="T972" i="1"/>
  <c r="V971" i="1"/>
  <c r="U972" i="1"/>
  <c r="W972" i="1"/>
  <c r="X972" i="1"/>
  <c r="AB972" i="1"/>
  <c r="L973" i="1"/>
  <c r="K973" i="1"/>
  <c r="M973" i="1"/>
  <c r="O973" i="1"/>
  <c r="Q973" i="1"/>
  <c r="P973" i="1"/>
  <c r="S973" i="1"/>
  <c r="T973" i="1"/>
  <c r="V972" i="1"/>
  <c r="U973" i="1"/>
  <c r="W973" i="1"/>
  <c r="X973" i="1"/>
  <c r="AB973" i="1"/>
  <c r="L974" i="1"/>
  <c r="K974" i="1"/>
  <c r="M974" i="1"/>
  <c r="O974" i="1"/>
  <c r="Q974" i="1"/>
  <c r="P974" i="1"/>
  <c r="S974" i="1"/>
  <c r="T974" i="1"/>
  <c r="V973" i="1"/>
  <c r="U974" i="1"/>
  <c r="W974" i="1"/>
  <c r="X974" i="1"/>
  <c r="AB974" i="1"/>
  <c r="L975" i="1"/>
  <c r="K975" i="1"/>
  <c r="M975" i="1"/>
  <c r="O975" i="1"/>
  <c r="Q975" i="1"/>
  <c r="P975" i="1"/>
  <c r="S975" i="1"/>
  <c r="T975" i="1"/>
  <c r="V974" i="1"/>
  <c r="U975" i="1"/>
  <c r="W975" i="1"/>
  <c r="X975" i="1"/>
  <c r="AB975" i="1"/>
  <c r="L976" i="1"/>
  <c r="K976" i="1"/>
  <c r="M976" i="1"/>
  <c r="O976" i="1"/>
  <c r="Q976" i="1"/>
  <c r="P976" i="1"/>
  <c r="S976" i="1"/>
  <c r="T976" i="1"/>
  <c r="V975" i="1"/>
  <c r="U976" i="1"/>
  <c r="W976" i="1"/>
  <c r="X976" i="1"/>
  <c r="AB976" i="1"/>
  <c r="L977" i="1"/>
  <c r="K977" i="1"/>
  <c r="M977" i="1"/>
  <c r="O977" i="1"/>
  <c r="Q977" i="1"/>
  <c r="P977" i="1"/>
  <c r="S977" i="1"/>
  <c r="T977" i="1"/>
  <c r="V976" i="1"/>
  <c r="U977" i="1"/>
  <c r="W977" i="1"/>
  <c r="X977" i="1"/>
  <c r="AB977" i="1"/>
  <c r="L978" i="1"/>
  <c r="K978" i="1"/>
  <c r="M978" i="1"/>
  <c r="O978" i="1"/>
  <c r="Q978" i="1"/>
  <c r="P978" i="1"/>
  <c r="S978" i="1"/>
  <c r="T978" i="1"/>
  <c r="V977" i="1"/>
  <c r="U978" i="1"/>
  <c r="W978" i="1"/>
  <c r="X978" i="1"/>
  <c r="AB978" i="1"/>
  <c r="L979" i="1"/>
  <c r="K979" i="1"/>
  <c r="M979" i="1"/>
  <c r="O979" i="1"/>
  <c r="Q979" i="1"/>
  <c r="P979" i="1"/>
  <c r="S979" i="1"/>
  <c r="T979" i="1"/>
  <c r="V978" i="1"/>
  <c r="U979" i="1"/>
  <c r="W979" i="1"/>
  <c r="X979" i="1"/>
  <c r="AB979" i="1"/>
  <c r="L980" i="1"/>
  <c r="K980" i="1"/>
  <c r="M980" i="1"/>
  <c r="O980" i="1"/>
  <c r="Q980" i="1"/>
  <c r="P980" i="1"/>
  <c r="S980" i="1"/>
  <c r="T980" i="1"/>
  <c r="V979" i="1"/>
  <c r="U980" i="1"/>
  <c r="W980" i="1"/>
  <c r="X980" i="1"/>
  <c r="AB980" i="1"/>
  <c r="L981" i="1"/>
  <c r="K981" i="1"/>
  <c r="M981" i="1"/>
  <c r="O981" i="1"/>
  <c r="Q981" i="1"/>
  <c r="P981" i="1"/>
  <c r="S981" i="1"/>
  <c r="T981" i="1"/>
  <c r="V980" i="1"/>
  <c r="U981" i="1"/>
  <c r="W981" i="1"/>
  <c r="X981" i="1"/>
  <c r="AB981" i="1"/>
  <c r="L982" i="1"/>
  <c r="K982" i="1"/>
  <c r="M982" i="1"/>
  <c r="O982" i="1"/>
  <c r="Q982" i="1"/>
  <c r="P982" i="1"/>
  <c r="S982" i="1"/>
  <c r="T982" i="1"/>
  <c r="V981" i="1"/>
  <c r="U982" i="1"/>
  <c r="W982" i="1"/>
  <c r="X982" i="1"/>
  <c r="AB982" i="1"/>
  <c r="L983" i="1"/>
  <c r="K983" i="1"/>
  <c r="M983" i="1"/>
  <c r="O983" i="1"/>
  <c r="Q983" i="1"/>
  <c r="P983" i="1"/>
  <c r="S983" i="1"/>
  <c r="T983" i="1"/>
  <c r="V982" i="1"/>
  <c r="U983" i="1"/>
  <c r="W983" i="1"/>
  <c r="X983" i="1"/>
  <c r="AB983" i="1"/>
  <c r="L984" i="1"/>
  <c r="K984" i="1"/>
  <c r="M984" i="1"/>
  <c r="O984" i="1"/>
  <c r="Q984" i="1"/>
  <c r="P984" i="1"/>
  <c r="S984" i="1"/>
  <c r="T984" i="1"/>
  <c r="V983" i="1"/>
  <c r="U984" i="1"/>
  <c r="W984" i="1"/>
  <c r="X984" i="1"/>
  <c r="AB984" i="1"/>
  <c r="L985" i="1"/>
  <c r="K985" i="1"/>
  <c r="M985" i="1"/>
  <c r="O985" i="1"/>
  <c r="Q985" i="1"/>
  <c r="P985" i="1"/>
  <c r="S985" i="1"/>
  <c r="T985" i="1"/>
  <c r="V984" i="1"/>
  <c r="U985" i="1"/>
  <c r="W985" i="1"/>
  <c r="X985" i="1"/>
  <c r="AB985" i="1"/>
  <c r="L986" i="1"/>
  <c r="K986" i="1"/>
  <c r="M986" i="1"/>
  <c r="O986" i="1"/>
  <c r="Q986" i="1"/>
  <c r="P986" i="1"/>
  <c r="S986" i="1"/>
  <c r="T986" i="1"/>
  <c r="V985" i="1"/>
  <c r="U986" i="1"/>
  <c r="W986" i="1"/>
  <c r="X986" i="1"/>
  <c r="AB986" i="1"/>
  <c r="L987" i="1"/>
  <c r="K987" i="1"/>
  <c r="M987" i="1"/>
  <c r="O987" i="1"/>
  <c r="Q987" i="1"/>
  <c r="P987" i="1"/>
  <c r="S987" i="1"/>
  <c r="T987" i="1"/>
  <c r="V986" i="1"/>
  <c r="U987" i="1"/>
  <c r="W987" i="1"/>
  <c r="X987" i="1"/>
  <c r="AB987" i="1"/>
  <c r="L988" i="1"/>
  <c r="K988" i="1"/>
  <c r="M988" i="1"/>
  <c r="O988" i="1"/>
  <c r="Q988" i="1"/>
  <c r="P988" i="1"/>
  <c r="S988" i="1"/>
  <c r="T988" i="1"/>
  <c r="V987" i="1"/>
  <c r="U988" i="1"/>
  <c r="W988" i="1"/>
  <c r="X988" i="1"/>
  <c r="AB988" i="1"/>
  <c r="L989" i="1"/>
  <c r="K989" i="1"/>
  <c r="M989" i="1"/>
  <c r="O989" i="1"/>
  <c r="Q989" i="1"/>
  <c r="P989" i="1"/>
  <c r="S989" i="1"/>
  <c r="T989" i="1"/>
  <c r="V988" i="1"/>
  <c r="U989" i="1"/>
  <c r="W989" i="1"/>
  <c r="X989" i="1"/>
  <c r="AB989" i="1"/>
  <c r="L990" i="1"/>
  <c r="K990" i="1"/>
  <c r="M990" i="1"/>
  <c r="O990" i="1"/>
  <c r="Q990" i="1"/>
  <c r="P990" i="1"/>
  <c r="S990" i="1"/>
  <c r="T990" i="1"/>
  <c r="V989" i="1"/>
  <c r="U990" i="1"/>
  <c r="W990" i="1"/>
  <c r="X990" i="1"/>
  <c r="AB990" i="1"/>
  <c r="L991" i="1"/>
  <c r="K991" i="1"/>
  <c r="M991" i="1"/>
  <c r="O991" i="1"/>
  <c r="Q991" i="1"/>
  <c r="P991" i="1"/>
  <c r="S991" i="1"/>
  <c r="T991" i="1"/>
  <c r="V990" i="1"/>
  <c r="U991" i="1"/>
  <c r="W991" i="1"/>
  <c r="X991" i="1"/>
  <c r="AB991" i="1"/>
  <c r="L992" i="1"/>
  <c r="K992" i="1"/>
  <c r="M992" i="1"/>
  <c r="O992" i="1"/>
  <c r="Q992" i="1"/>
  <c r="P992" i="1"/>
  <c r="S992" i="1"/>
  <c r="T992" i="1"/>
  <c r="V991" i="1"/>
  <c r="U992" i="1"/>
  <c r="W992" i="1"/>
  <c r="X992" i="1"/>
  <c r="AB992" i="1"/>
  <c r="L993" i="1"/>
  <c r="K993" i="1"/>
  <c r="M993" i="1"/>
  <c r="O993" i="1"/>
  <c r="Q993" i="1"/>
  <c r="P993" i="1"/>
  <c r="S993" i="1"/>
  <c r="T993" i="1"/>
  <c r="V992" i="1"/>
  <c r="U993" i="1"/>
  <c r="W993" i="1"/>
  <c r="X993" i="1"/>
  <c r="AB993" i="1"/>
  <c r="L994" i="1"/>
  <c r="K994" i="1"/>
  <c r="M994" i="1"/>
  <c r="O994" i="1"/>
  <c r="Q994" i="1"/>
  <c r="P994" i="1"/>
  <c r="S994" i="1"/>
  <c r="T994" i="1"/>
  <c r="V993" i="1"/>
  <c r="U994" i="1"/>
  <c r="W994" i="1"/>
  <c r="X994" i="1"/>
  <c r="AB994" i="1"/>
  <c r="L995" i="1"/>
  <c r="K995" i="1"/>
  <c r="M995" i="1"/>
  <c r="O995" i="1"/>
  <c r="Q995" i="1"/>
  <c r="P995" i="1"/>
  <c r="S995" i="1"/>
  <c r="T995" i="1"/>
  <c r="V994" i="1"/>
  <c r="U995" i="1"/>
  <c r="W995" i="1"/>
  <c r="X995" i="1"/>
  <c r="AB995" i="1"/>
  <c r="L996" i="1"/>
  <c r="K996" i="1"/>
  <c r="M996" i="1"/>
  <c r="O996" i="1"/>
  <c r="Q996" i="1"/>
  <c r="P996" i="1"/>
  <c r="S996" i="1"/>
  <c r="T996" i="1"/>
  <c r="V995" i="1"/>
  <c r="U996" i="1"/>
  <c r="W996" i="1"/>
  <c r="X996" i="1"/>
  <c r="AB996" i="1"/>
  <c r="L997" i="1"/>
  <c r="K997" i="1"/>
  <c r="M997" i="1"/>
  <c r="O997" i="1"/>
  <c r="Q997" i="1"/>
  <c r="P997" i="1"/>
  <c r="S997" i="1"/>
  <c r="T997" i="1"/>
  <c r="V996" i="1"/>
  <c r="U997" i="1"/>
  <c r="W997" i="1"/>
  <c r="X997" i="1"/>
  <c r="AB997" i="1"/>
  <c r="L998" i="1"/>
  <c r="K998" i="1"/>
  <c r="M998" i="1"/>
  <c r="O998" i="1"/>
  <c r="Q998" i="1"/>
  <c r="P998" i="1"/>
  <c r="S998" i="1"/>
  <c r="T998" i="1"/>
  <c r="V997" i="1"/>
  <c r="U998" i="1"/>
  <c r="W998" i="1"/>
  <c r="X998" i="1"/>
  <c r="AB998" i="1"/>
  <c r="L999" i="1"/>
  <c r="K999" i="1"/>
  <c r="M999" i="1"/>
  <c r="O999" i="1"/>
  <c r="Q999" i="1"/>
  <c r="P999" i="1"/>
  <c r="S999" i="1"/>
  <c r="T999" i="1"/>
  <c r="V998" i="1"/>
  <c r="U999" i="1"/>
  <c r="W999" i="1"/>
  <c r="X999" i="1"/>
  <c r="AB999" i="1"/>
  <c r="L1000" i="1"/>
  <c r="K1000" i="1"/>
  <c r="M1000" i="1"/>
  <c r="O1000" i="1"/>
  <c r="Q1000" i="1"/>
  <c r="P1000" i="1"/>
  <c r="S1000" i="1"/>
  <c r="T1000" i="1"/>
  <c r="V999" i="1"/>
  <c r="U1000" i="1"/>
  <c r="W1000" i="1"/>
  <c r="X1000" i="1"/>
  <c r="AB1000" i="1"/>
  <c r="L1001" i="1"/>
  <c r="K1001" i="1"/>
  <c r="M1001" i="1"/>
  <c r="O1001" i="1"/>
  <c r="Q1001" i="1"/>
  <c r="P1001" i="1"/>
  <c r="S1001" i="1"/>
  <c r="T1001" i="1"/>
  <c r="V1000" i="1"/>
  <c r="U1001" i="1"/>
  <c r="W1001" i="1"/>
  <c r="X1001" i="1"/>
  <c r="AB1001" i="1"/>
  <c r="L1002" i="1"/>
  <c r="K1002" i="1"/>
  <c r="M1002" i="1"/>
  <c r="O1002" i="1"/>
  <c r="Q1002" i="1"/>
  <c r="P1002" i="1"/>
  <c r="S1002" i="1"/>
  <c r="T1002" i="1"/>
  <c r="V1001" i="1"/>
  <c r="U1002" i="1"/>
  <c r="W1002" i="1"/>
  <c r="X1002" i="1"/>
  <c r="AB1002" i="1"/>
  <c r="L1003" i="1"/>
  <c r="K1003" i="1"/>
  <c r="M1003" i="1"/>
  <c r="O1003" i="1"/>
  <c r="Q1003" i="1"/>
  <c r="P1003" i="1"/>
  <c r="S1003" i="1"/>
  <c r="T1003" i="1"/>
  <c r="V1002" i="1"/>
  <c r="U1003" i="1"/>
  <c r="W1003" i="1"/>
  <c r="X1003" i="1"/>
  <c r="AB1003" i="1"/>
  <c r="L1004" i="1"/>
  <c r="K1004" i="1"/>
  <c r="M1004" i="1"/>
  <c r="O1004" i="1"/>
  <c r="Q1004" i="1"/>
  <c r="P1004" i="1"/>
  <c r="S1004" i="1"/>
  <c r="T1004" i="1"/>
  <c r="V1003" i="1"/>
  <c r="U1004" i="1"/>
  <c r="W1004" i="1"/>
  <c r="X1004" i="1"/>
  <c r="AB1004" i="1"/>
  <c r="L1005" i="1"/>
  <c r="K1005" i="1"/>
  <c r="M1005" i="1"/>
  <c r="O1005" i="1"/>
  <c r="Q1005" i="1"/>
  <c r="P1005" i="1"/>
  <c r="S1005" i="1"/>
  <c r="T1005" i="1"/>
  <c r="V1004" i="1"/>
  <c r="U1005" i="1"/>
  <c r="W1005" i="1"/>
  <c r="X1005" i="1"/>
  <c r="AB1005" i="1"/>
  <c r="L1006" i="1"/>
  <c r="K1006" i="1"/>
  <c r="M1006" i="1"/>
  <c r="O1006" i="1"/>
  <c r="Q1006" i="1"/>
  <c r="P1006" i="1"/>
  <c r="S1006" i="1"/>
  <c r="T1006" i="1"/>
  <c r="V1005" i="1"/>
  <c r="U1006" i="1"/>
  <c r="W1006" i="1"/>
  <c r="X1006" i="1"/>
  <c r="AB1006" i="1"/>
  <c r="L1007" i="1"/>
  <c r="K1007" i="1"/>
  <c r="M1007" i="1"/>
  <c r="O1007" i="1"/>
  <c r="Q1007" i="1"/>
  <c r="P1007" i="1"/>
  <c r="S1007" i="1"/>
  <c r="T1007" i="1"/>
  <c r="V1006" i="1"/>
  <c r="U1007" i="1"/>
  <c r="W1007" i="1"/>
  <c r="X1007" i="1"/>
  <c r="AB1007" i="1"/>
  <c r="L1008" i="1"/>
  <c r="K1008" i="1"/>
  <c r="M1008" i="1"/>
  <c r="O1008" i="1"/>
  <c r="Q1008" i="1"/>
  <c r="P1008" i="1"/>
  <c r="S1008" i="1"/>
  <c r="T1008" i="1"/>
  <c r="V1007" i="1"/>
  <c r="U1008" i="1"/>
  <c r="W1008" i="1"/>
  <c r="X1008" i="1"/>
  <c r="AB1008" i="1"/>
  <c r="L1009" i="1"/>
  <c r="K1009" i="1"/>
  <c r="M1009" i="1"/>
  <c r="O1009" i="1"/>
  <c r="Q1009" i="1"/>
  <c r="P1009" i="1"/>
  <c r="S1009" i="1"/>
  <c r="T1009" i="1"/>
  <c r="V1008" i="1"/>
  <c r="U1009" i="1"/>
  <c r="W1009" i="1"/>
  <c r="X1009" i="1"/>
  <c r="AB1009" i="1"/>
  <c r="L1010" i="1"/>
  <c r="K1010" i="1"/>
  <c r="M1010" i="1"/>
  <c r="O1010" i="1"/>
  <c r="Q1010" i="1"/>
  <c r="P1010" i="1"/>
  <c r="S1010" i="1"/>
  <c r="T1010" i="1"/>
  <c r="V1009" i="1"/>
  <c r="U1010" i="1"/>
  <c r="W1010" i="1"/>
  <c r="X1010" i="1"/>
  <c r="AB1010" i="1"/>
  <c r="L1011" i="1"/>
  <c r="K1011" i="1"/>
  <c r="M1011" i="1"/>
  <c r="O1011" i="1"/>
  <c r="Q1011" i="1"/>
  <c r="P1011" i="1"/>
  <c r="S1011" i="1"/>
  <c r="T1011" i="1"/>
  <c r="V1010" i="1"/>
  <c r="U1011" i="1"/>
  <c r="W1011" i="1"/>
  <c r="X1011" i="1"/>
  <c r="AB1011" i="1"/>
  <c r="L1012" i="1"/>
  <c r="K1012" i="1"/>
  <c r="M1012" i="1"/>
  <c r="O1012" i="1"/>
  <c r="Q1012" i="1"/>
  <c r="P1012" i="1"/>
  <c r="S1012" i="1"/>
  <c r="T1012" i="1"/>
  <c r="V1011" i="1"/>
  <c r="U1012" i="1"/>
  <c r="W1012" i="1"/>
  <c r="X1012" i="1"/>
  <c r="AB1012" i="1"/>
  <c r="L1013" i="1"/>
  <c r="K1013" i="1"/>
  <c r="M1013" i="1"/>
  <c r="O1013" i="1"/>
  <c r="Q1013" i="1"/>
  <c r="P1013" i="1"/>
  <c r="S1013" i="1"/>
  <c r="T1013" i="1"/>
  <c r="V1012" i="1"/>
  <c r="U1013" i="1"/>
  <c r="W1013" i="1"/>
  <c r="X1013" i="1"/>
  <c r="AB1013" i="1"/>
  <c r="L1014" i="1"/>
  <c r="K1014" i="1"/>
  <c r="M1014" i="1"/>
  <c r="O1014" i="1"/>
  <c r="Q1014" i="1"/>
  <c r="P1014" i="1"/>
  <c r="S1014" i="1"/>
  <c r="T1014" i="1"/>
  <c r="V1013" i="1"/>
  <c r="U1014" i="1"/>
  <c r="W1014" i="1"/>
  <c r="X1014" i="1"/>
  <c r="AB1014" i="1"/>
  <c r="L1015" i="1"/>
  <c r="K1015" i="1"/>
  <c r="M1015" i="1"/>
  <c r="O1015" i="1"/>
  <c r="Q1015" i="1"/>
  <c r="P1015" i="1"/>
  <c r="S1015" i="1"/>
  <c r="T1015" i="1"/>
  <c r="V1014" i="1"/>
  <c r="U1015" i="1"/>
  <c r="W1015" i="1"/>
  <c r="X1015" i="1"/>
  <c r="AB1015" i="1"/>
  <c r="L1016" i="1"/>
  <c r="K1016" i="1"/>
  <c r="M1016" i="1"/>
  <c r="O1016" i="1"/>
  <c r="Q1016" i="1"/>
  <c r="P1016" i="1"/>
  <c r="S1016" i="1"/>
  <c r="T1016" i="1"/>
  <c r="V1015" i="1"/>
  <c r="U1016" i="1"/>
  <c r="W1016" i="1"/>
  <c r="X1016" i="1"/>
  <c r="AB1016" i="1"/>
  <c r="L1017" i="1"/>
  <c r="K1017" i="1"/>
  <c r="M1017" i="1"/>
  <c r="O1017" i="1"/>
  <c r="Q1017" i="1"/>
  <c r="P1017" i="1"/>
  <c r="S1017" i="1"/>
  <c r="T1017" i="1"/>
  <c r="V1016" i="1"/>
  <c r="U1017" i="1"/>
  <c r="W1017" i="1"/>
  <c r="X1017" i="1"/>
  <c r="AB1017" i="1"/>
  <c r="L1018" i="1"/>
  <c r="K1018" i="1"/>
  <c r="M1018" i="1"/>
  <c r="O1018" i="1"/>
  <c r="Q1018" i="1"/>
  <c r="P1018" i="1"/>
  <c r="S1018" i="1"/>
  <c r="T1018" i="1"/>
  <c r="V1017" i="1"/>
  <c r="U1018" i="1"/>
  <c r="W1018" i="1"/>
  <c r="X1018" i="1"/>
  <c r="AB1018" i="1"/>
  <c r="L1019" i="1"/>
  <c r="K1019" i="1"/>
  <c r="M1019" i="1"/>
  <c r="O1019" i="1"/>
  <c r="Q1019" i="1"/>
  <c r="P1019" i="1"/>
  <c r="S1019" i="1"/>
  <c r="T1019" i="1"/>
  <c r="V1018" i="1"/>
  <c r="U1019" i="1"/>
  <c r="W1019" i="1"/>
  <c r="X1019" i="1"/>
  <c r="AB1019" i="1"/>
  <c r="L1020" i="1"/>
  <c r="K1020" i="1"/>
  <c r="M1020" i="1"/>
  <c r="O1020" i="1"/>
  <c r="Q1020" i="1"/>
  <c r="P1020" i="1"/>
  <c r="S1020" i="1"/>
  <c r="T1020" i="1"/>
  <c r="V1019" i="1"/>
  <c r="U1020" i="1"/>
  <c r="W1020" i="1"/>
  <c r="X1020" i="1"/>
  <c r="AB1020" i="1"/>
  <c r="L1021" i="1"/>
  <c r="K1021" i="1"/>
  <c r="M1021" i="1"/>
  <c r="O1021" i="1"/>
  <c r="Q1021" i="1"/>
  <c r="P1021" i="1"/>
  <c r="S1021" i="1"/>
  <c r="T1021" i="1"/>
  <c r="V1020" i="1"/>
  <c r="U1021" i="1"/>
  <c r="W1021" i="1"/>
  <c r="X1021" i="1"/>
  <c r="AB1021" i="1"/>
  <c r="L1022" i="1"/>
  <c r="K1022" i="1"/>
  <c r="M1022" i="1"/>
  <c r="O1022" i="1"/>
  <c r="Q1022" i="1"/>
  <c r="P1022" i="1"/>
  <c r="S1022" i="1"/>
  <c r="T1022" i="1"/>
  <c r="V1021" i="1"/>
  <c r="U1022" i="1"/>
  <c r="W1022" i="1"/>
  <c r="X1022" i="1"/>
  <c r="AB1022" i="1"/>
  <c r="L1023" i="1"/>
  <c r="K1023" i="1"/>
  <c r="M1023" i="1"/>
  <c r="O1023" i="1"/>
  <c r="Q1023" i="1"/>
  <c r="P1023" i="1"/>
  <c r="S1023" i="1"/>
  <c r="T1023" i="1"/>
  <c r="V1022" i="1"/>
  <c r="U1023" i="1"/>
  <c r="W1023" i="1"/>
  <c r="X1023" i="1"/>
  <c r="AB1023" i="1"/>
  <c r="L1024" i="1"/>
  <c r="K1024" i="1"/>
  <c r="M1024" i="1"/>
  <c r="O1024" i="1"/>
  <c r="Q1024" i="1"/>
  <c r="P1024" i="1"/>
  <c r="S1024" i="1"/>
  <c r="T1024" i="1"/>
  <c r="V1023" i="1"/>
  <c r="U1024" i="1"/>
  <c r="W1024" i="1"/>
  <c r="X1024" i="1"/>
  <c r="AB1024" i="1"/>
  <c r="L1025" i="1"/>
  <c r="K1025" i="1"/>
  <c r="M1025" i="1"/>
  <c r="O1025" i="1"/>
  <c r="Q1025" i="1"/>
  <c r="P1025" i="1"/>
  <c r="S1025" i="1"/>
  <c r="T1025" i="1"/>
  <c r="V1024" i="1"/>
  <c r="U1025" i="1"/>
  <c r="W1025" i="1"/>
  <c r="X1025" i="1"/>
  <c r="AB1025" i="1"/>
  <c r="L1026" i="1"/>
  <c r="K1026" i="1"/>
  <c r="M1026" i="1"/>
  <c r="O1026" i="1"/>
  <c r="Q1026" i="1"/>
  <c r="P1026" i="1"/>
  <c r="S1026" i="1"/>
  <c r="T1026" i="1"/>
  <c r="V1025" i="1"/>
  <c r="U1026" i="1"/>
  <c r="W1026" i="1"/>
  <c r="X1026" i="1"/>
  <c r="AB1026" i="1"/>
  <c r="L1027" i="1"/>
  <c r="K1027" i="1"/>
  <c r="M1027" i="1"/>
  <c r="O1027" i="1"/>
  <c r="Q1027" i="1"/>
  <c r="P1027" i="1"/>
  <c r="S1027" i="1"/>
  <c r="T1027" i="1"/>
  <c r="V1026" i="1"/>
  <c r="U1027" i="1"/>
  <c r="W1027" i="1"/>
  <c r="X1027" i="1"/>
  <c r="AB1027" i="1"/>
  <c r="L1028" i="1"/>
  <c r="K1028" i="1"/>
  <c r="M1028" i="1"/>
  <c r="O1028" i="1"/>
  <c r="Q1028" i="1"/>
  <c r="P1028" i="1"/>
  <c r="S1028" i="1"/>
  <c r="T1028" i="1"/>
  <c r="V1027" i="1"/>
  <c r="U1028" i="1"/>
  <c r="W1028" i="1"/>
  <c r="X1028" i="1"/>
  <c r="AB1028" i="1"/>
  <c r="L1029" i="1"/>
  <c r="K1029" i="1"/>
  <c r="M1029" i="1"/>
  <c r="O1029" i="1"/>
  <c r="Q1029" i="1"/>
  <c r="P1029" i="1"/>
  <c r="S1029" i="1"/>
  <c r="T1029" i="1"/>
  <c r="V1028" i="1"/>
  <c r="U1029" i="1"/>
  <c r="W1029" i="1"/>
  <c r="X1029" i="1"/>
  <c r="AB1029" i="1"/>
  <c r="L1030" i="1"/>
  <c r="K1030" i="1"/>
  <c r="M1030" i="1"/>
  <c r="O1030" i="1"/>
  <c r="Q1030" i="1"/>
  <c r="P1030" i="1"/>
  <c r="S1030" i="1"/>
  <c r="T1030" i="1"/>
  <c r="V1029" i="1"/>
  <c r="U1030" i="1"/>
  <c r="W1030" i="1"/>
  <c r="X1030" i="1"/>
  <c r="AB1030" i="1"/>
  <c r="L1031" i="1"/>
  <c r="K1031" i="1"/>
  <c r="M1031" i="1"/>
  <c r="O1031" i="1"/>
  <c r="Q1031" i="1"/>
  <c r="P1031" i="1"/>
  <c r="S1031" i="1"/>
  <c r="J1031" i="1"/>
  <c r="T1031" i="1"/>
  <c r="V1030" i="1"/>
  <c r="U1031" i="1"/>
  <c r="W1031" i="1"/>
  <c r="X1031" i="1"/>
  <c r="AB1031" i="1"/>
  <c r="L1032" i="1"/>
  <c r="K1032" i="1"/>
  <c r="M1032" i="1"/>
  <c r="O1032" i="1"/>
  <c r="Q1032" i="1"/>
  <c r="P1032" i="1"/>
  <c r="S1032" i="1"/>
  <c r="T1032" i="1"/>
  <c r="V1031" i="1"/>
  <c r="U1032" i="1"/>
  <c r="W1032" i="1"/>
  <c r="X1032" i="1"/>
  <c r="AB1032" i="1"/>
  <c r="L1033" i="1"/>
  <c r="K1033" i="1"/>
  <c r="M1033" i="1"/>
  <c r="O1033" i="1"/>
  <c r="Q1033" i="1"/>
  <c r="P1033" i="1"/>
  <c r="S1033" i="1"/>
  <c r="T1033" i="1"/>
  <c r="V1032" i="1"/>
  <c r="U1033" i="1"/>
  <c r="W1033" i="1"/>
  <c r="X1033" i="1"/>
  <c r="AB1033" i="1"/>
  <c r="L1034" i="1"/>
  <c r="K1034" i="1"/>
  <c r="M1034" i="1"/>
  <c r="O1034" i="1"/>
  <c r="Q1034" i="1"/>
  <c r="P1034" i="1"/>
  <c r="S1034" i="1"/>
  <c r="T1034" i="1"/>
  <c r="V1033" i="1"/>
  <c r="U1034" i="1"/>
  <c r="W1034" i="1"/>
  <c r="X1034" i="1"/>
  <c r="AB1034" i="1"/>
  <c r="L1035" i="1"/>
  <c r="K1035" i="1"/>
  <c r="M1035" i="1"/>
  <c r="O1035" i="1"/>
  <c r="Q1035" i="1"/>
  <c r="P1035" i="1"/>
  <c r="S1035" i="1"/>
  <c r="T1035" i="1"/>
  <c r="V1034" i="1"/>
  <c r="U1035" i="1"/>
  <c r="W1035" i="1"/>
  <c r="X1035" i="1"/>
  <c r="AB1035" i="1"/>
  <c r="L1036" i="1"/>
  <c r="K1036" i="1"/>
  <c r="M1036" i="1"/>
  <c r="O1036" i="1"/>
  <c r="Q1036" i="1"/>
  <c r="P1036" i="1"/>
  <c r="S1036" i="1"/>
  <c r="T1036" i="1"/>
  <c r="V1035" i="1"/>
  <c r="U1036" i="1"/>
  <c r="W1036" i="1"/>
  <c r="X1036" i="1"/>
  <c r="AB1036" i="1"/>
  <c r="L1037" i="1"/>
  <c r="K1037" i="1"/>
  <c r="M1037" i="1"/>
  <c r="O1037" i="1"/>
  <c r="Q1037" i="1"/>
  <c r="P1037" i="1"/>
  <c r="S1037" i="1"/>
  <c r="T1037" i="1"/>
  <c r="V1036" i="1"/>
  <c r="U1037" i="1"/>
  <c r="W1037" i="1"/>
  <c r="X1037" i="1"/>
  <c r="AB1037" i="1"/>
  <c r="L1038" i="1"/>
  <c r="K1038" i="1"/>
  <c r="M1038" i="1"/>
  <c r="O1038" i="1"/>
  <c r="Q1038" i="1"/>
  <c r="P1038" i="1"/>
  <c r="S1038" i="1"/>
  <c r="T1038" i="1"/>
  <c r="V1037" i="1"/>
  <c r="U1038" i="1"/>
  <c r="W1038" i="1"/>
  <c r="X1038" i="1"/>
  <c r="AB1038" i="1"/>
  <c r="L1039" i="1"/>
  <c r="K1039" i="1"/>
  <c r="M1039" i="1"/>
  <c r="O1039" i="1"/>
  <c r="Q1039" i="1"/>
  <c r="P1039" i="1"/>
  <c r="S1039" i="1"/>
  <c r="T1039" i="1"/>
  <c r="V1038" i="1"/>
  <c r="U1039" i="1"/>
  <c r="W1039" i="1"/>
  <c r="X1039" i="1"/>
  <c r="AB1039" i="1"/>
  <c r="L1040" i="1"/>
  <c r="K1040" i="1"/>
  <c r="M1040" i="1"/>
  <c r="O1040" i="1"/>
  <c r="Q1040" i="1"/>
  <c r="P1040" i="1"/>
  <c r="S1040" i="1"/>
  <c r="T1040" i="1"/>
  <c r="V1039" i="1"/>
  <c r="U1040" i="1"/>
  <c r="W1040" i="1"/>
  <c r="X1040" i="1"/>
  <c r="AB1040" i="1"/>
  <c r="L1041" i="1"/>
  <c r="K1041" i="1"/>
  <c r="M1041" i="1"/>
  <c r="O1041" i="1"/>
  <c r="Q1041" i="1"/>
  <c r="P1041" i="1"/>
  <c r="S1041" i="1"/>
  <c r="T1041" i="1"/>
  <c r="V1040" i="1"/>
  <c r="U1041" i="1"/>
  <c r="W1041" i="1"/>
  <c r="X1041" i="1"/>
  <c r="AB1041" i="1"/>
  <c r="L1042" i="1"/>
  <c r="K1042" i="1"/>
  <c r="M1042" i="1"/>
  <c r="O1042" i="1"/>
  <c r="Q1042" i="1"/>
  <c r="P1042" i="1"/>
  <c r="S1042" i="1"/>
  <c r="T1042" i="1"/>
  <c r="V1041" i="1"/>
  <c r="U1042" i="1"/>
  <c r="W1042" i="1"/>
  <c r="X1042" i="1"/>
  <c r="AB1042" i="1"/>
  <c r="L1043" i="1"/>
  <c r="K1043" i="1"/>
  <c r="M1043" i="1"/>
  <c r="O1043" i="1"/>
  <c r="Q1043" i="1"/>
  <c r="P1043" i="1"/>
  <c r="S1043" i="1"/>
  <c r="T1043" i="1"/>
  <c r="V1042" i="1"/>
  <c r="U1043" i="1"/>
  <c r="W1043" i="1"/>
  <c r="X1043" i="1"/>
  <c r="AB1043" i="1"/>
  <c r="L1044" i="1"/>
  <c r="K1044" i="1"/>
  <c r="M1044" i="1"/>
  <c r="O1044" i="1"/>
  <c r="Q1044" i="1"/>
  <c r="P1044" i="1"/>
  <c r="S1044" i="1"/>
  <c r="T1044" i="1"/>
  <c r="V1043" i="1"/>
  <c r="U1044" i="1"/>
  <c r="W1044" i="1"/>
  <c r="X1044" i="1"/>
  <c r="AB1044" i="1"/>
  <c r="L1045" i="1"/>
  <c r="K1045" i="1"/>
  <c r="M1045" i="1"/>
  <c r="O1045" i="1"/>
  <c r="Q1045" i="1"/>
  <c r="P1045" i="1"/>
  <c r="S1045" i="1"/>
  <c r="T1045" i="1"/>
  <c r="V1044" i="1"/>
  <c r="U1045" i="1"/>
  <c r="W1045" i="1"/>
  <c r="X1045" i="1"/>
  <c r="AB1045" i="1"/>
  <c r="L1046" i="1"/>
  <c r="K1046" i="1"/>
  <c r="M1046" i="1"/>
  <c r="O1046" i="1"/>
  <c r="Q1046" i="1"/>
  <c r="P1046" i="1"/>
  <c r="S1046" i="1"/>
  <c r="T1046" i="1"/>
  <c r="V1045" i="1"/>
  <c r="U1046" i="1"/>
  <c r="W1046" i="1"/>
  <c r="X1046" i="1"/>
  <c r="AB1046" i="1"/>
  <c r="L1047" i="1"/>
  <c r="K1047" i="1"/>
  <c r="M1047" i="1"/>
  <c r="O1047" i="1"/>
  <c r="Q1047" i="1"/>
  <c r="P1047" i="1"/>
  <c r="S1047" i="1"/>
  <c r="T1047" i="1"/>
  <c r="V1046" i="1"/>
  <c r="U1047" i="1"/>
  <c r="W1047" i="1"/>
  <c r="X1047" i="1"/>
  <c r="AB1047" i="1"/>
  <c r="L1048" i="1"/>
  <c r="K1048" i="1"/>
  <c r="M1048" i="1"/>
  <c r="O1048" i="1"/>
  <c r="Q1048" i="1"/>
  <c r="P1048" i="1"/>
  <c r="S1048" i="1"/>
  <c r="T1048" i="1"/>
  <c r="V1047" i="1"/>
  <c r="U1048" i="1"/>
  <c r="W1048" i="1"/>
  <c r="X1048" i="1"/>
  <c r="AB1048" i="1"/>
  <c r="L1049" i="1"/>
  <c r="K1049" i="1"/>
  <c r="M1049" i="1"/>
  <c r="O1049" i="1"/>
  <c r="Q1049" i="1"/>
  <c r="P1049" i="1"/>
  <c r="S1049" i="1"/>
  <c r="T1049" i="1"/>
  <c r="V1048" i="1"/>
  <c r="U1049" i="1"/>
  <c r="W1049" i="1"/>
  <c r="X1049" i="1"/>
  <c r="AB1049" i="1"/>
  <c r="L1050" i="1"/>
  <c r="K1050" i="1"/>
  <c r="M1050" i="1"/>
  <c r="O1050" i="1"/>
  <c r="Q1050" i="1"/>
  <c r="P1050" i="1"/>
  <c r="S1050" i="1"/>
  <c r="T1050" i="1"/>
  <c r="V1049" i="1"/>
  <c r="U1050" i="1"/>
  <c r="W1050" i="1"/>
  <c r="X1050" i="1"/>
  <c r="AB1050" i="1"/>
  <c r="L1051" i="1"/>
  <c r="K1051" i="1"/>
  <c r="M1051" i="1"/>
  <c r="O1051" i="1"/>
  <c r="Q1051" i="1"/>
  <c r="P1051" i="1"/>
  <c r="S1051" i="1"/>
  <c r="T1051" i="1"/>
  <c r="V1050" i="1"/>
  <c r="U1051" i="1"/>
  <c r="W1051" i="1"/>
  <c r="X1051" i="1"/>
  <c r="AB1051" i="1"/>
  <c r="L1052" i="1"/>
  <c r="K1052" i="1"/>
  <c r="M1052" i="1"/>
  <c r="O1052" i="1"/>
  <c r="Q1052" i="1"/>
  <c r="P1052" i="1"/>
  <c r="S1052" i="1"/>
  <c r="T1052" i="1"/>
  <c r="V1051" i="1"/>
  <c r="U1052" i="1"/>
  <c r="W1052" i="1"/>
  <c r="X1052" i="1"/>
  <c r="AB1052" i="1"/>
  <c r="L1053" i="1"/>
  <c r="K1053" i="1"/>
  <c r="M1053" i="1"/>
  <c r="O1053" i="1"/>
  <c r="Q1053" i="1"/>
  <c r="P1053" i="1"/>
  <c r="S1053" i="1"/>
  <c r="T1053" i="1"/>
  <c r="V1052" i="1"/>
  <c r="U1053" i="1"/>
  <c r="W1053" i="1"/>
  <c r="X1053" i="1"/>
  <c r="AB1053" i="1"/>
  <c r="L1054" i="1"/>
  <c r="K1054" i="1"/>
  <c r="M1054" i="1"/>
  <c r="O1054" i="1"/>
  <c r="Q1054" i="1"/>
  <c r="P1054" i="1"/>
  <c r="S1054" i="1"/>
  <c r="T1054" i="1"/>
  <c r="V1053" i="1"/>
  <c r="U1054" i="1"/>
  <c r="W1054" i="1"/>
  <c r="X1054" i="1"/>
  <c r="AB1054" i="1"/>
  <c r="L1055" i="1"/>
  <c r="K1055" i="1"/>
  <c r="M1055" i="1"/>
  <c r="O1055" i="1"/>
  <c r="Q1055" i="1"/>
  <c r="P1055" i="1"/>
  <c r="S1055" i="1"/>
  <c r="T1055" i="1"/>
  <c r="V1054" i="1"/>
  <c r="U1055" i="1"/>
  <c r="W1055" i="1"/>
  <c r="X1055" i="1"/>
  <c r="AB1055" i="1"/>
  <c r="L1056" i="1"/>
  <c r="K1056" i="1"/>
  <c r="M1056" i="1"/>
  <c r="O1056" i="1"/>
  <c r="Q1056" i="1"/>
  <c r="P1056" i="1"/>
  <c r="S1056" i="1"/>
  <c r="T1056" i="1"/>
  <c r="V1055" i="1"/>
  <c r="U1056" i="1"/>
  <c r="W1056" i="1"/>
  <c r="X1056" i="1"/>
  <c r="AB1056" i="1"/>
  <c r="L1057" i="1"/>
  <c r="K1057" i="1"/>
  <c r="M1057" i="1"/>
  <c r="O1057" i="1"/>
  <c r="Q1057" i="1"/>
  <c r="P1057" i="1"/>
  <c r="S1057" i="1"/>
  <c r="T1057" i="1"/>
  <c r="V1056" i="1"/>
  <c r="U1057" i="1"/>
  <c r="W1057" i="1"/>
  <c r="X1057" i="1"/>
  <c r="AB1057" i="1"/>
  <c r="L1058" i="1"/>
  <c r="K1058" i="1"/>
  <c r="M1058" i="1"/>
  <c r="O1058" i="1"/>
  <c r="Q1058" i="1"/>
  <c r="P1058" i="1"/>
  <c r="S1058" i="1"/>
  <c r="T1058" i="1"/>
  <c r="V1057" i="1"/>
  <c r="U1058" i="1"/>
  <c r="W1058" i="1"/>
  <c r="X1058" i="1"/>
  <c r="AB1058" i="1"/>
  <c r="L1059" i="1"/>
  <c r="K1059" i="1"/>
  <c r="M1059" i="1"/>
  <c r="O1059" i="1"/>
  <c r="Q1059" i="1"/>
  <c r="P1059" i="1"/>
  <c r="S1059" i="1"/>
  <c r="T1059" i="1"/>
  <c r="V1058" i="1"/>
  <c r="U1059" i="1"/>
  <c r="W1059" i="1"/>
  <c r="X1059" i="1"/>
  <c r="AB1059" i="1"/>
  <c r="L1060" i="1"/>
  <c r="K1060" i="1"/>
  <c r="M1060" i="1"/>
  <c r="O1060" i="1"/>
  <c r="Q1060" i="1"/>
  <c r="P1060" i="1"/>
  <c r="S1060" i="1"/>
  <c r="T1060" i="1"/>
  <c r="V1059" i="1"/>
  <c r="U1060" i="1"/>
  <c r="W1060" i="1"/>
  <c r="X1060" i="1"/>
  <c r="AB1060" i="1"/>
  <c r="L1061" i="1"/>
  <c r="K1061" i="1"/>
  <c r="M1061" i="1"/>
  <c r="O1061" i="1"/>
  <c r="Q1061" i="1"/>
  <c r="P1061" i="1"/>
  <c r="S1061" i="1"/>
  <c r="T1061" i="1"/>
  <c r="V1060" i="1"/>
  <c r="U1061" i="1"/>
  <c r="W1061" i="1"/>
  <c r="X1061" i="1"/>
  <c r="AB1061" i="1"/>
  <c r="L1062" i="1"/>
  <c r="K1062" i="1"/>
  <c r="M1062" i="1"/>
  <c r="O1062" i="1"/>
  <c r="Q1062" i="1"/>
  <c r="P1062" i="1"/>
  <c r="S1062" i="1"/>
  <c r="T1062" i="1"/>
  <c r="V1061" i="1"/>
  <c r="U1062" i="1"/>
  <c r="W1062" i="1"/>
  <c r="X1062" i="1"/>
  <c r="AB1062" i="1"/>
  <c r="L1063" i="1"/>
  <c r="K1063" i="1"/>
  <c r="M1063" i="1"/>
  <c r="O1063" i="1"/>
  <c r="Q1063" i="1"/>
  <c r="P1063" i="1"/>
  <c r="S1063" i="1"/>
  <c r="T1063" i="1"/>
  <c r="V1062" i="1"/>
  <c r="U1063" i="1"/>
  <c r="W1063" i="1"/>
  <c r="X1063" i="1"/>
  <c r="AB1063" i="1"/>
  <c r="L1064" i="1"/>
  <c r="K1064" i="1"/>
  <c r="M1064" i="1"/>
  <c r="O1064" i="1"/>
  <c r="Q1064" i="1"/>
  <c r="P1064" i="1"/>
  <c r="S1064" i="1"/>
  <c r="T1064" i="1"/>
  <c r="V1063" i="1"/>
  <c r="U1064" i="1"/>
  <c r="W1064" i="1"/>
  <c r="X1064" i="1"/>
  <c r="AB1064" i="1"/>
  <c r="L1065" i="1"/>
  <c r="K1065" i="1"/>
  <c r="M1065" i="1"/>
  <c r="O1065" i="1"/>
  <c r="Q1065" i="1"/>
  <c r="P1065" i="1"/>
  <c r="S1065" i="1"/>
  <c r="T1065" i="1"/>
  <c r="V1064" i="1"/>
  <c r="U1065" i="1"/>
  <c r="W1065" i="1"/>
  <c r="X1065" i="1"/>
  <c r="AB1065" i="1"/>
  <c r="L1066" i="1"/>
  <c r="K1066" i="1"/>
  <c r="M1066" i="1"/>
  <c r="O1066" i="1"/>
  <c r="Q1066" i="1"/>
  <c r="P1066" i="1"/>
  <c r="S1066" i="1"/>
  <c r="T1066" i="1"/>
  <c r="V1065" i="1"/>
  <c r="U1066" i="1"/>
  <c r="W1066" i="1"/>
  <c r="X1066" i="1"/>
  <c r="AB1066" i="1"/>
  <c r="L1067" i="1"/>
  <c r="K1067" i="1"/>
  <c r="M1067" i="1"/>
  <c r="O1067" i="1"/>
  <c r="Q1067" i="1"/>
  <c r="P1067" i="1"/>
  <c r="S1067" i="1"/>
  <c r="T1067" i="1"/>
  <c r="V1066" i="1"/>
  <c r="U1067" i="1"/>
  <c r="W1067" i="1"/>
  <c r="X1067" i="1"/>
  <c r="AB1067" i="1"/>
  <c r="L1068" i="1"/>
  <c r="K1068" i="1"/>
  <c r="M1068" i="1"/>
  <c r="O1068" i="1"/>
  <c r="Q1068" i="1"/>
  <c r="P1068" i="1"/>
  <c r="S1068" i="1"/>
  <c r="T1068" i="1"/>
  <c r="V1067" i="1"/>
  <c r="U1068" i="1"/>
  <c r="W1068" i="1"/>
  <c r="X1068" i="1"/>
  <c r="AB1068" i="1"/>
  <c r="L1069" i="1"/>
  <c r="K1069" i="1"/>
  <c r="M1069" i="1"/>
  <c r="O1069" i="1"/>
  <c r="Q1069" i="1"/>
  <c r="P1069" i="1"/>
  <c r="S1069" i="1"/>
  <c r="T1069" i="1"/>
  <c r="V1068" i="1"/>
  <c r="U1069" i="1"/>
  <c r="W1069" i="1"/>
  <c r="X1069" i="1"/>
  <c r="AB1069" i="1"/>
  <c r="L1070" i="1"/>
  <c r="K1070" i="1"/>
  <c r="M1070" i="1"/>
  <c r="O1070" i="1"/>
  <c r="Q1070" i="1"/>
  <c r="P1070" i="1"/>
  <c r="S1070" i="1"/>
  <c r="T1070" i="1"/>
  <c r="V1069" i="1"/>
  <c r="U1070" i="1"/>
  <c r="W1070" i="1"/>
  <c r="X1070" i="1"/>
  <c r="AB1070" i="1"/>
  <c r="L1071" i="1"/>
  <c r="K1071" i="1"/>
  <c r="M1071" i="1"/>
  <c r="O1071" i="1"/>
  <c r="Q1071" i="1"/>
  <c r="P1071" i="1"/>
  <c r="S1071" i="1"/>
  <c r="T1071" i="1"/>
  <c r="V1070" i="1"/>
  <c r="U1071" i="1"/>
  <c r="W1071" i="1"/>
  <c r="X1071" i="1"/>
  <c r="AB1071" i="1"/>
  <c r="L1072" i="1"/>
  <c r="K1072" i="1"/>
  <c r="M1072" i="1"/>
  <c r="O1072" i="1"/>
  <c r="Q1072" i="1"/>
  <c r="P1072" i="1"/>
  <c r="S1072" i="1"/>
  <c r="T1072" i="1"/>
  <c r="V1071" i="1"/>
  <c r="U1072" i="1"/>
  <c r="W1072" i="1"/>
  <c r="X1072" i="1"/>
  <c r="AB1072" i="1"/>
  <c r="L1073" i="1"/>
  <c r="K1073" i="1"/>
  <c r="M1073" i="1"/>
  <c r="O1073" i="1"/>
  <c r="Q1073" i="1"/>
  <c r="P1073" i="1"/>
  <c r="S1073" i="1"/>
  <c r="J1073" i="1"/>
  <c r="N1073" i="1"/>
  <c r="T1073" i="1"/>
  <c r="V1072" i="1"/>
  <c r="U1073" i="1"/>
  <c r="W1073" i="1"/>
  <c r="X1073" i="1"/>
  <c r="AB1073" i="1"/>
  <c r="L1074" i="1"/>
  <c r="K1074" i="1"/>
  <c r="M1074" i="1"/>
  <c r="O1074" i="1"/>
  <c r="Q1074" i="1"/>
  <c r="P1074" i="1"/>
  <c r="S1074" i="1"/>
  <c r="T1074" i="1"/>
  <c r="V1073" i="1"/>
  <c r="U1074" i="1"/>
  <c r="W1074" i="1"/>
  <c r="X1074" i="1"/>
  <c r="AB1074" i="1"/>
  <c r="L1075" i="1"/>
  <c r="K1075" i="1"/>
  <c r="M1075" i="1"/>
  <c r="O1075" i="1"/>
  <c r="Q1075" i="1"/>
  <c r="P1075" i="1"/>
  <c r="S1075" i="1"/>
  <c r="T1075" i="1"/>
  <c r="V1074" i="1"/>
  <c r="U1075" i="1"/>
  <c r="W1075" i="1"/>
  <c r="X1075" i="1"/>
  <c r="AB1075" i="1"/>
  <c r="L1076" i="1"/>
  <c r="K1076" i="1"/>
  <c r="M1076" i="1"/>
  <c r="O1076" i="1"/>
  <c r="Q1076" i="1"/>
  <c r="P1076" i="1"/>
  <c r="S1076" i="1"/>
  <c r="T1076" i="1"/>
  <c r="V1075" i="1"/>
  <c r="U1076" i="1"/>
  <c r="W1076" i="1"/>
  <c r="X1076" i="1"/>
  <c r="AB1076" i="1"/>
  <c r="L1077" i="1"/>
  <c r="K1077" i="1"/>
  <c r="M1077" i="1"/>
  <c r="O1077" i="1"/>
  <c r="Q1077" i="1"/>
  <c r="P1077" i="1"/>
  <c r="S1077" i="1"/>
  <c r="T1077" i="1"/>
  <c r="V1076" i="1"/>
  <c r="U1077" i="1"/>
  <c r="W1077" i="1"/>
  <c r="X1077" i="1"/>
  <c r="AB1077" i="1"/>
  <c r="L1078" i="1"/>
  <c r="K1078" i="1"/>
  <c r="M1078" i="1"/>
  <c r="O1078" i="1"/>
  <c r="Q1078" i="1"/>
  <c r="P1078" i="1"/>
  <c r="S1078" i="1"/>
  <c r="T1078" i="1"/>
  <c r="V1077" i="1"/>
  <c r="U1078" i="1"/>
  <c r="W1078" i="1"/>
  <c r="X1078" i="1"/>
  <c r="AB1078" i="1"/>
  <c r="L1079" i="1"/>
  <c r="K1079" i="1"/>
  <c r="M1079" i="1"/>
  <c r="O1079" i="1"/>
  <c r="Q1079" i="1"/>
  <c r="P1079" i="1"/>
  <c r="S1079" i="1"/>
  <c r="T1079" i="1"/>
  <c r="V1078" i="1"/>
  <c r="U1079" i="1"/>
  <c r="W1079" i="1"/>
  <c r="X1079" i="1"/>
  <c r="AB1079" i="1"/>
  <c r="L1080" i="1"/>
  <c r="K1080" i="1"/>
  <c r="M1080" i="1"/>
  <c r="O1080" i="1"/>
  <c r="Q1080" i="1"/>
  <c r="P1080" i="1"/>
  <c r="S1080" i="1"/>
  <c r="T1080" i="1"/>
  <c r="V1079" i="1"/>
  <c r="U1080" i="1"/>
  <c r="W1080" i="1"/>
  <c r="X1080" i="1"/>
  <c r="AB1080" i="1"/>
  <c r="L1081" i="1"/>
  <c r="K1081" i="1"/>
  <c r="M1081" i="1"/>
  <c r="O1081" i="1"/>
  <c r="Q1081" i="1"/>
  <c r="P1081" i="1"/>
  <c r="S1081" i="1"/>
  <c r="T1081" i="1"/>
  <c r="V1080" i="1"/>
  <c r="U1081" i="1"/>
  <c r="W1081" i="1"/>
  <c r="X1081" i="1"/>
  <c r="AB1081" i="1"/>
  <c r="L1082" i="1"/>
  <c r="K1082" i="1"/>
  <c r="M1082" i="1"/>
  <c r="O1082" i="1"/>
  <c r="Q1082" i="1"/>
  <c r="P1082" i="1"/>
  <c r="S1082" i="1"/>
  <c r="T1082" i="1"/>
  <c r="V1081" i="1"/>
  <c r="U1082" i="1"/>
  <c r="W1082" i="1"/>
  <c r="X1082" i="1"/>
  <c r="AB1082" i="1"/>
  <c r="L1083" i="1"/>
  <c r="K1083" i="1"/>
  <c r="M1083" i="1"/>
  <c r="O1083" i="1"/>
  <c r="Q1083" i="1"/>
  <c r="P1083" i="1"/>
  <c r="S1083" i="1"/>
  <c r="T1083" i="1"/>
  <c r="V1082" i="1"/>
  <c r="U1083" i="1"/>
  <c r="W1083" i="1"/>
  <c r="X1083" i="1"/>
  <c r="AB1083" i="1"/>
  <c r="L1084" i="1"/>
  <c r="K1084" i="1"/>
  <c r="M1084" i="1"/>
  <c r="O1084" i="1"/>
  <c r="Q1084" i="1"/>
  <c r="P1084" i="1"/>
  <c r="S1084" i="1"/>
  <c r="T1084" i="1"/>
  <c r="V1083" i="1"/>
  <c r="U1084" i="1"/>
  <c r="W1084" i="1"/>
  <c r="X1084" i="1"/>
  <c r="AB1084" i="1"/>
  <c r="L1085" i="1"/>
  <c r="K1085" i="1"/>
  <c r="M1085" i="1"/>
  <c r="O1085" i="1"/>
  <c r="Q1085" i="1"/>
  <c r="P1085" i="1"/>
  <c r="S1085" i="1"/>
  <c r="T1085" i="1"/>
  <c r="V1084" i="1"/>
  <c r="U1085" i="1"/>
  <c r="W1085" i="1"/>
  <c r="X1085" i="1"/>
  <c r="AB1085" i="1"/>
  <c r="L1086" i="1"/>
  <c r="K1086" i="1"/>
  <c r="M1086" i="1"/>
  <c r="O1086" i="1"/>
  <c r="Q1086" i="1"/>
  <c r="P1086" i="1"/>
  <c r="S1086" i="1"/>
  <c r="T1086" i="1"/>
  <c r="V1085" i="1"/>
  <c r="U1086" i="1"/>
  <c r="W1086" i="1"/>
  <c r="X1086" i="1"/>
  <c r="AB1086" i="1"/>
  <c r="L1087" i="1"/>
  <c r="K1087" i="1"/>
  <c r="M1087" i="1"/>
  <c r="O1087" i="1"/>
  <c r="Q1087" i="1"/>
  <c r="P1087" i="1"/>
  <c r="S1087" i="1"/>
  <c r="T1087" i="1"/>
  <c r="V1086" i="1"/>
  <c r="U1087" i="1"/>
  <c r="W1087" i="1"/>
  <c r="X1087" i="1"/>
  <c r="AB1087" i="1"/>
  <c r="L1088" i="1"/>
  <c r="K1088" i="1"/>
  <c r="M1088" i="1"/>
  <c r="O1088" i="1"/>
  <c r="Q1088" i="1"/>
  <c r="P1088" i="1"/>
  <c r="S1088" i="1"/>
  <c r="T1088" i="1"/>
  <c r="V1087" i="1"/>
  <c r="U1088" i="1"/>
  <c r="W1088" i="1"/>
  <c r="X1088" i="1"/>
  <c r="AB1088" i="1"/>
  <c r="L1089" i="1"/>
  <c r="K1089" i="1"/>
  <c r="M1089" i="1"/>
  <c r="O1089" i="1"/>
  <c r="Q1089" i="1"/>
  <c r="P1089" i="1"/>
  <c r="S1089" i="1"/>
  <c r="T1089" i="1"/>
  <c r="V1088" i="1"/>
  <c r="U1089" i="1"/>
  <c r="W1089" i="1"/>
  <c r="X1089" i="1"/>
  <c r="AB1089" i="1"/>
  <c r="L1090" i="1"/>
  <c r="K1090" i="1"/>
  <c r="M1090" i="1"/>
  <c r="O1090" i="1"/>
  <c r="Q1090" i="1"/>
  <c r="P1090" i="1"/>
  <c r="S1090" i="1"/>
  <c r="T1090" i="1"/>
  <c r="V1089" i="1"/>
  <c r="U1090" i="1"/>
  <c r="W1090" i="1"/>
  <c r="X1090" i="1"/>
  <c r="AB1090" i="1"/>
  <c r="L1091" i="1"/>
  <c r="K1091" i="1"/>
  <c r="M1091" i="1"/>
  <c r="O1091" i="1"/>
  <c r="Q1091" i="1"/>
  <c r="P1091" i="1"/>
  <c r="S1091" i="1"/>
  <c r="T1091" i="1"/>
  <c r="V1090" i="1"/>
  <c r="U1091" i="1"/>
  <c r="W1091" i="1"/>
  <c r="X1091" i="1"/>
  <c r="AB1091" i="1"/>
  <c r="L1092" i="1"/>
  <c r="K1092" i="1"/>
  <c r="M1092" i="1"/>
  <c r="O1092" i="1"/>
  <c r="Q1092" i="1"/>
  <c r="P1092" i="1"/>
  <c r="S1092" i="1"/>
  <c r="T1092" i="1"/>
  <c r="V1091" i="1"/>
  <c r="U1092" i="1"/>
  <c r="W1092" i="1"/>
  <c r="X1092" i="1"/>
  <c r="AB1092" i="1"/>
  <c r="L1093" i="1"/>
  <c r="K1093" i="1"/>
  <c r="M1093" i="1"/>
  <c r="O1093" i="1"/>
  <c r="Q1093" i="1"/>
  <c r="P1093" i="1"/>
  <c r="S1093" i="1"/>
  <c r="T1093" i="1"/>
  <c r="V1092" i="1"/>
  <c r="U1093" i="1"/>
  <c r="W1093" i="1"/>
  <c r="X1093" i="1"/>
  <c r="AB1093" i="1"/>
  <c r="L1094" i="1"/>
  <c r="K1094" i="1"/>
  <c r="M1094" i="1"/>
  <c r="O1094" i="1"/>
  <c r="Q1094" i="1"/>
  <c r="P1094" i="1"/>
  <c r="S1094" i="1"/>
  <c r="T1094" i="1"/>
  <c r="V1093" i="1"/>
  <c r="U1094" i="1"/>
  <c r="W1094" i="1"/>
  <c r="X1094" i="1"/>
  <c r="AB1094" i="1"/>
  <c r="L1095" i="1"/>
  <c r="K1095" i="1"/>
  <c r="M1095" i="1"/>
  <c r="O1095" i="1"/>
  <c r="Q1095" i="1"/>
  <c r="P1095" i="1"/>
  <c r="S1095" i="1"/>
  <c r="T1095" i="1"/>
  <c r="V1094" i="1"/>
  <c r="U1095" i="1"/>
  <c r="W1095" i="1"/>
  <c r="X1095" i="1"/>
  <c r="AB1095" i="1"/>
  <c r="L1096" i="1"/>
  <c r="K1096" i="1"/>
  <c r="M1096" i="1"/>
  <c r="O1096" i="1"/>
  <c r="Q1096" i="1"/>
  <c r="P1096" i="1"/>
  <c r="S1096" i="1"/>
  <c r="T1096" i="1"/>
  <c r="V1095" i="1"/>
  <c r="U1096" i="1"/>
  <c r="W1096" i="1"/>
  <c r="X1096" i="1"/>
  <c r="AB1096" i="1"/>
  <c r="L1097" i="1"/>
  <c r="K1097" i="1"/>
  <c r="M1097" i="1"/>
  <c r="O1097" i="1"/>
  <c r="Q1097" i="1"/>
  <c r="P1097" i="1"/>
  <c r="S1097" i="1"/>
  <c r="T1097" i="1"/>
  <c r="V1096" i="1"/>
  <c r="U1097" i="1"/>
  <c r="W1097" i="1"/>
  <c r="X1097" i="1"/>
  <c r="AB1097" i="1"/>
  <c r="L1098" i="1"/>
  <c r="K1098" i="1"/>
  <c r="M1098" i="1"/>
  <c r="O1098" i="1"/>
  <c r="Q1098" i="1"/>
  <c r="P1098" i="1"/>
  <c r="S1098" i="1"/>
  <c r="T1098" i="1"/>
  <c r="V1097" i="1"/>
  <c r="U1098" i="1"/>
  <c r="W1098" i="1"/>
  <c r="X1098" i="1"/>
  <c r="AB1098" i="1"/>
  <c r="L1099" i="1"/>
  <c r="K1099" i="1"/>
  <c r="M1099" i="1"/>
  <c r="O1099" i="1"/>
  <c r="Q1099" i="1"/>
  <c r="P1099" i="1"/>
  <c r="S1099" i="1"/>
  <c r="T1099" i="1"/>
  <c r="V1098" i="1"/>
  <c r="U1099" i="1"/>
  <c r="W1099" i="1"/>
  <c r="X1099" i="1"/>
  <c r="AB1099" i="1"/>
  <c r="L1100" i="1"/>
  <c r="K1100" i="1"/>
  <c r="M1100" i="1"/>
  <c r="O1100" i="1"/>
  <c r="Q1100" i="1"/>
  <c r="P1100" i="1"/>
  <c r="S1100" i="1"/>
  <c r="T1100" i="1"/>
  <c r="V1099" i="1"/>
  <c r="U1100" i="1"/>
  <c r="W1100" i="1"/>
  <c r="X1100" i="1"/>
  <c r="AB1100" i="1"/>
  <c r="L1101" i="1"/>
  <c r="K1101" i="1"/>
  <c r="M1101" i="1"/>
  <c r="O1101" i="1"/>
  <c r="Q1101" i="1"/>
  <c r="P1101" i="1"/>
  <c r="S1101" i="1"/>
  <c r="T1101" i="1"/>
  <c r="V1100" i="1"/>
  <c r="U1101" i="1"/>
  <c r="W1101" i="1"/>
  <c r="X1101" i="1"/>
  <c r="AB1101" i="1"/>
  <c r="L1102" i="1"/>
  <c r="K1102" i="1"/>
  <c r="M1102" i="1"/>
  <c r="O1102" i="1"/>
  <c r="Q1102" i="1"/>
  <c r="P1102" i="1"/>
  <c r="S1102" i="1"/>
  <c r="T1102" i="1"/>
  <c r="V1101" i="1"/>
  <c r="U1102" i="1"/>
  <c r="W1102" i="1"/>
  <c r="X1102" i="1"/>
  <c r="AB1102" i="1"/>
  <c r="L1103" i="1"/>
  <c r="K1103" i="1"/>
  <c r="M1103" i="1"/>
  <c r="O1103" i="1"/>
  <c r="Q1103" i="1"/>
  <c r="P1103" i="1"/>
  <c r="S1103" i="1"/>
  <c r="T1103" i="1"/>
  <c r="V1102" i="1"/>
  <c r="U1103" i="1"/>
  <c r="W1103" i="1"/>
  <c r="X1103" i="1"/>
  <c r="AB1103" i="1"/>
  <c r="L1104" i="1"/>
  <c r="K1104" i="1"/>
  <c r="M1104" i="1"/>
  <c r="O1104" i="1"/>
  <c r="Q1104" i="1"/>
  <c r="P1104" i="1"/>
  <c r="S1104" i="1"/>
  <c r="T1104" i="1"/>
  <c r="V1103" i="1"/>
  <c r="U1104" i="1"/>
  <c r="W1104" i="1"/>
  <c r="X1104" i="1"/>
  <c r="AB1104" i="1"/>
  <c r="L1105" i="1"/>
  <c r="K1105" i="1"/>
  <c r="M1105" i="1"/>
  <c r="O1105" i="1"/>
  <c r="Q1105" i="1"/>
  <c r="P1105" i="1"/>
  <c r="S1105" i="1"/>
  <c r="T1105" i="1"/>
  <c r="V1104" i="1"/>
  <c r="U1105" i="1"/>
  <c r="W1105" i="1"/>
  <c r="X1105" i="1"/>
  <c r="AB1105" i="1"/>
  <c r="L1106" i="1"/>
  <c r="K1106" i="1"/>
  <c r="M1106" i="1"/>
  <c r="O1106" i="1"/>
  <c r="Q1106" i="1"/>
  <c r="P1106" i="1"/>
  <c r="S1106" i="1"/>
  <c r="T1106" i="1"/>
  <c r="V1105" i="1"/>
  <c r="U1106" i="1"/>
  <c r="W1106" i="1"/>
  <c r="X1106" i="1"/>
  <c r="AB1106" i="1"/>
  <c r="L1107" i="1"/>
  <c r="K1107" i="1"/>
  <c r="M1107" i="1"/>
  <c r="O1107" i="1"/>
  <c r="Q1107" i="1"/>
  <c r="P1107" i="1"/>
  <c r="S1107" i="1"/>
  <c r="T1107" i="1"/>
  <c r="V1106" i="1"/>
  <c r="U1107" i="1"/>
  <c r="W1107" i="1"/>
  <c r="X1107" i="1"/>
  <c r="AB1107" i="1"/>
  <c r="L1108" i="1"/>
  <c r="K1108" i="1"/>
  <c r="M1108" i="1"/>
  <c r="O1108" i="1"/>
  <c r="Q1108" i="1"/>
  <c r="P1108" i="1"/>
  <c r="S1108" i="1"/>
  <c r="T1108" i="1"/>
  <c r="V1107" i="1"/>
  <c r="U1108" i="1"/>
  <c r="W1108" i="1"/>
  <c r="X1108" i="1"/>
  <c r="AB1108" i="1"/>
  <c r="L1109" i="1"/>
  <c r="K1109" i="1"/>
  <c r="M1109" i="1"/>
  <c r="O1109" i="1"/>
  <c r="Q1109" i="1"/>
  <c r="P1109" i="1"/>
  <c r="S1109" i="1"/>
  <c r="T1109" i="1"/>
  <c r="V1108" i="1"/>
  <c r="U1109" i="1"/>
  <c r="W1109" i="1"/>
  <c r="X1109" i="1"/>
  <c r="AB1109" i="1"/>
  <c r="L1110" i="1"/>
  <c r="K1110" i="1"/>
  <c r="M1110" i="1"/>
  <c r="O1110" i="1"/>
  <c r="Q1110" i="1"/>
  <c r="P1110" i="1"/>
  <c r="S1110" i="1"/>
  <c r="T1110" i="1"/>
  <c r="V1109" i="1"/>
  <c r="U1110" i="1"/>
  <c r="W1110" i="1"/>
  <c r="X1110" i="1"/>
  <c r="AB1110" i="1"/>
  <c r="L1111" i="1"/>
  <c r="K1111" i="1"/>
  <c r="M1111" i="1"/>
  <c r="O1111" i="1"/>
  <c r="Q1111" i="1"/>
  <c r="P1111" i="1"/>
  <c r="S1111" i="1"/>
  <c r="T1111" i="1"/>
  <c r="V1110" i="1"/>
  <c r="U1111" i="1"/>
  <c r="W1111" i="1"/>
  <c r="X1111" i="1"/>
  <c r="AB1111" i="1"/>
  <c r="L1112" i="1"/>
  <c r="K1112" i="1"/>
  <c r="M1112" i="1"/>
  <c r="O1112" i="1"/>
  <c r="Q1112" i="1"/>
  <c r="P1112" i="1"/>
  <c r="S1112" i="1"/>
  <c r="T1112" i="1"/>
  <c r="V1111" i="1"/>
  <c r="U1112" i="1"/>
  <c r="W1112" i="1"/>
  <c r="X1112" i="1"/>
  <c r="AB1112" i="1"/>
  <c r="L1113" i="1"/>
  <c r="K1113" i="1"/>
  <c r="M1113" i="1"/>
  <c r="O1113" i="1"/>
  <c r="Q1113" i="1"/>
  <c r="P1113" i="1"/>
  <c r="S1113" i="1"/>
  <c r="T1113" i="1"/>
  <c r="V1112" i="1"/>
  <c r="U1113" i="1"/>
  <c r="W1113" i="1"/>
  <c r="X1113" i="1"/>
  <c r="AB1113" i="1"/>
  <c r="L1114" i="1"/>
  <c r="K1114" i="1"/>
  <c r="M1114" i="1"/>
  <c r="O1114" i="1"/>
  <c r="Q1114" i="1"/>
  <c r="P1114" i="1"/>
  <c r="S1114" i="1"/>
  <c r="T1114" i="1"/>
  <c r="V1113" i="1"/>
  <c r="U1114" i="1"/>
  <c r="W1114" i="1"/>
  <c r="X1114" i="1"/>
  <c r="AB1114" i="1"/>
  <c r="L1115" i="1"/>
  <c r="K1115" i="1"/>
  <c r="M1115" i="1"/>
  <c r="O1115" i="1"/>
  <c r="Q1115" i="1"/>
  <c r="P1115" i="1"/>
  <c r="S1115" i="1"/>
  <c r="T1115" i="1"/>
  <c r="V1114" i="1"/>
  <c r="U1115" i="1"/>
  <c r="W1115" i="1"/>
  <c r="X1115" i="1"/>
  <c r="AB1115" i="1"/>
  <c r="L1116" i="1"/>
  <c r="K1116" i="1"/>
  <c r="M1116" i="1"/>
  <c r="O1116" i="1"/>
  <c r="Q1116" i="1"/>
  <c r="P1116" i="1"/>
  <c r="S1116" i="1"/>
  <c r="T1116" i="1"/>
  <c r="V1115" i="1"/>
  <c r="U1116" i="1"/>
  <c r="W1116" i="1"/>
  <c r="X1116" i="1"/>
  <c r="AB1116" i="1"/>
  <c r="L1117" i="1"/>
  <c r="K1117" i="1"/>
  <c r="M1117" i="1"/>
  <c r="O1117" i="1"/>
  <c r="Q1117" i="1"/>
  <c r="P1117" i="1"/>
  <c r="S1117" i="1"/>
  <c r="T1117" i="1"/>
  <c r="V1116" i="1"/>
  <c r="U1117" i="1"/>
  <c r="W1117" i="1"/>
  <c r="X1117" i="1"/>
  <c r="AB1117" i="1"/>
  <c r="L1118" i="1"/>
  <c r="K1118" i="1"/>
  <c r="M1118" i="1"/>
  <c r="O1118" i="1"/>
  <c r="Q1118" i="1"/>
  <c r="P1118" i="1"/>
  <c r="S1118" i="1"/>
  <c r="T1118" i="1"/>
  <c r="V1117" i="1"/>
  <c r="U1118" i="1"/>
  <c r="W1118" i="1"/>
  <c r="X1118" i="1"/>
  <c r="AB1118" i="1"/>
  <c r="L1119" i="1"/>
  <c r="K1119" i="1"/>
  <c r="M1119" i="1"/>
  <c r="O1119" i="1"/>
  <c r="Q1119" i="1"/>
  <c r="P1119" i="1"/>
  <c r="S1119" i="1"/>
  <c r="T1119" i="1"/>
  <c r="V1118" i="1"/>
  <c r="U1119" i="1"/>
  <c r="W1119" i="1"/>
  <c r="X1119" i="1"/>
  <c r="AB1119" i="1"/>
  <c r="L1120" i="1"/>
  <c r="K1120" i="1"/>
  <c r="M1120" i="1"/>
  <c r="O1120" i="1"/>
  <c r="Q1120" i="1"/>
  <c r="P1120" i="1"/>
  <c r="S1120" i="1"/>
  <c r="T1120" i="1"/>
  <c r="V1119" i="1"/>
  <c r="U1120" i="1"/>
  <c r="W1120" i="1"/>
  <c r="X1120" i="1"/>
  <c r="AB1120" i="1"/>
  <c r="L1121" i="1"/>
  <c r="K1121" i="1"/>
  <c r="M1121" i="1"/>
  <c r="O1121" i="1"/>
  <c r="Q1121" i="1"/>
  <c r="P1121" i="1"/>
  <c r="S1121" i="1"/>
  <c r="T1121" i="1"/>
  <c r="V1120" i="1"/>
  <c r="U1121" i="1"/>
  <c r="W1121" i="1"/>
  <c r="X1121" i="1"/>
  <c r="AB1121" i="1"/>
  <c r="L1122" i="1"/>
  <c r="K1122" i="1"/>
  <c r="M1122" i="1"/>
  <c r="O1122" i="1"/>
  <c r="Q1122" i="1"/>
  <c r="P1122" i="1"/>
  <c r="S1122" i="1"/>
  <c r="T1122" i="1"/>
  <c r="V1121" i="1"/>
  <c r="U1122" i="1"/>
  <c r="W1122" i="1"/>
  <c r="X1122" i="1"/>
  <c r="AB1122" i="1"/>
  <c r="L1123" i="1"/>
  <c r="K1123" i="1"/>
  <c r="M1123" i="1"/>
  <c r="O1123" i="1"/>
  <c r="Q1123" i="1"/>
  <c r="P1123" i="1"/>
  <c r="S1123" i="1"/>
  <c r="T1123" i="1"/>
  <c r="V1122" i="1"/>
  <c r="U1123" i="1"/>
  <c r="W1123" i="1"/>
  <c r="X1123" i="1"/>
  <c r="AB1123" i="1"/>
  <c r="L1124" i="1"/>
  <c r="K1124" i="1"/>
  <c r="M1124" i="1"/>
  <c r="O1124" i="1"/>
  <c r="Q1124" i="1"/>
  <c r="P1124" i="1"/>
  <c r="S1124" i="1"/>
  <c r="T1124" i="1"/>
  <c r="V1123" i="1"/>
  <c r="U1124" i="1"/>
  <c r="W1124" i="1"/>
  <c r="X1124" i="1"/>
  <c r="AB1124" i="1"/>
  <c r="L1125" i="1"/>
  <c r="K1125" i="1"/>
  <c r="M1125" i="1"/>
  <c r="O1125" i="1"/>
  <c r="Q1125" i="1"/>
  <c r="P1125" i="1"/>
  <c r="S1125" i="1"/>
  <c r="T1125" i="1"/>
  <c r="V1124" i="1"/>
  <c r="U1125" i="1"/>
  <c r="W1125" i="1"/>
  <c r="X1125" i="1"/>
  <c r="AB1125" i="1"/>
  <c r="L1126" i="1"/>
  <c r="K1126" i="1"/>
  <c r="M1126" i="1"/>
  <c r="O1126" i="1"/>
  <c r="Q1126" i="1"/>
  <c r="P1126" i="1"/>
  <c r="S1126" i="1"/>
  <c r="T1126" i="1"/>
  <c r="V1125" i="1"/>
  <c r="U1126" i="1"/>
  <c r="W1126" i="1"/>
  <c r="X1126" i="1"/>
  <c r="AB1126" i="1"/>
  <c r="L1127" i="1"/>
  <c r="K1127" i="1"/>
  <c r="M1127" i="1"/>
  <c r="O1127" i="1"/>
  <c r="Q1127" i="1"/>
  <c r="P1127" i="1"/>
  <c r="S1127" i="1"/>
  <c r="T1127" i="1"/>
  <c r="V1126" i="1"/>
  <c r="U1127" i="1"/>
  <c r="W1127" i="1"/>
  <c r="X1127" i="1"/>
  <c r="AB1127" i="1"/>
  <c r="L1128" i="1"/>
  <c r="K1128" i="1"/>
  <c r="M1128" i="1"/>
  <c r="O1128" i="1"/>
  <c r="Q1128" i="1"/>
  <c r="P1128" i="1"/>
  <c r="S1128" i="1"/>
  <c r="T1128" i="1"/>
  <c r="V1127" i="1"/>
  <c r="U1128" i="1"/>
  <c r="W1128" i="1"/>
  <c r="X1128" i="1"/>
  <c r="AB1128" i="1"/>
  <c r="L1129" i="1"/>
  <c r="K1129" i="1"/>
  <c r="M1129" i="1"/>
  <c r="O1129" i="1"/>
  <c r="Q1129" i="1"/>
  <c r="P1129" i="1"/>
  <c r="S1129" i="1"/>
  <c r="T1129" i="1"/>
  <c r="V1128" i="1"/>
  <c r="U1129" i="1"/>
  <c r="W1129" i="1"/>
  <c r="X1129" i="1"/>
  <c r="AB1129" i="1"/>
  <c r="L1130" i="1"/>
  <c r="K1130" i="1"/>
  <c r="M1130" i="1"/>
  <c r="O1130" i="1"/>
  <c r="Q1130" i="1"/>
  <c r="P1130" i="1"/>
  <c r="S1130" i="1"/>
  <c r="T1130" i="1"/>
  <c r="V1129" i="1"/>
  <c r="U1130" i="1"/>
  <c r="W1130" i="1"/>
  <c r="X1130" i="1"/>
  <c r="AB1130" i="1"/>
  <c r="L1131" i="1"/>
  <c r="K1131" i="1"/>
  <c r="M1131" i="1"/>
  <c r="O1131" i="1"/>
  <c r="Q1131" i="1"/>
  <c r="P1131" i="1"/>
  <c r="S1131" i="1"/>
  <c r="T1131" i="1"/>
  <c r="V1130" i="1"/>
  <c r="U1131" i="1"/>
  <c r="W1131" i="1"/>
  <c r="X1131" i="1"/>
  <c r="AB1131" i="1"/>
  <c r="L1132" i="1"/>
  <c r="K1132" i="1"/>
  <c r="M1132" i="1"/>
  <c r="O1132" i="1"/>
  <c r="Q1132" i="1"/>
  <c r="P1132" i="1"/>
  <c r="S1132" i="1"/>
  <c r="T1132" i="1"/>
  <c r="V1131" i="1"/>
  <c r="U1132" i="1"/>
  <c r="W1132" i="1"/>
  <c r="X1132" i="1"/>
  <c r="AB1132" i="1"/>
  <c r="L1133" i="1"/>
  <c r="K1133" i="1"/>
  <c r="M1133" i="1"/>
  <c r="O1133" i="1"/>
  <c r="Q1133" i="1"/>
  <c r="P1133" i="1"/>
  <c r="S1133" i="1"/>
  <c r="T1133" i="1"/>
  <c r="V1132" i="1"/>
  <c r="U1133" i="1"/>
  <c r="W1133" i="1"/>
  <c r="X1133" i="1"/>
  <c r="AB1133" i="1"/>
  <c r="L1134" i="1"/>
  <c r="K1134" i="1"/>
  <c r="M1134" i="1"/>
  <c r="O1134" i="1"/>
  <c r="Q1134" i="1"/>
  <c r="P1134" i="1"/>
  <c r="S1134" i="1"/>
  <c r="T1134" i="1"/>
  <c r="V1133" i="1"/>
  <c r="U1134" i="1"/>
  <c r="W1134" i="1"/>
  <c r="X1134" i="1"/>
  <c r="AB1134" i="1"/>
  <c r="L1135" i="1"/>
  <c r="K1135" i="1"/>
  <c r="M1135" i="1"/>
  <c r="O1135" i="1"/>
  <c r="Q1135" i="1"/>
  <c r="P1135" i="1"/>
  <c r="S1135" i="1"/>
  <c r="T1135" i="1"/>
  <c r="V1134" i="1"/>
  <c r="U1135" i="1"/>
  <c r="W1135" i="1"/>
  <c r="X1135" i="1"/>
  <c r="AB1135" i="1"/>
  <c r="L1136" i="1"/>
  <c r="K1136" i="1"/>
  <c r="M1136" i="1"/>
  <c r="O1136" i="1"/>
  <c r="Q1136" i="1"/>
  <c r="P1136" i="1"/>
  <c r="S1136" i="1"/>
  <c r="J1136" i="1"/>
  <c r="N1136" i="1"/>
  <c r="T1136" i="1"/>
  <c r="V1135" i="1"/>
  <c r="U1136" i="1"/>
  <c r="W1136" i="1"/>
  <c r="X1136" i="1"/>
  <c r="AB1136" i="1"/>
  <c r="L1137" i="1"/>
  <c r="K1137" i="1"/>
  <c r="M1137" i="1"/>
  <c r="O1137" i="1"/>
  <c r="Q1137" i="1"/>
  <c r="P1137" i="1"/>
  <c r="S1137" i="1"/>
  <c r="T1137" i="1"/>
  <c r="V1136" i="1"/>
  <c r="U1137" i="1"/>
  <c r="W1137" i="1"/>
  <c r="X1137" i="1"/>
  <c r="AB1137" i="1"/>
  <c r="L1138" i="1"/>
  <c r="K1138" i="1"/>
  <c r="M1138" i="1"/>
  <c r="O1138" i="1"/>
  <c r="Q1138" i="1"/>
  <c r="P1138" i="1"/>
  <c r="S1138" i="1"/>
  <c r="T1138" i="1"/>
  <c r="V1137" i="1"/>
  <c r="U1138" i="1"/>
  <c r="W1138" i="1"/>
  <c r="X1138" i="1"/>
  <c r="AB1138" i="1"/>
  <c r="L1139" i="1"/>
  <c r="K1139" i="1"/>
  <c r="M1139" i="1"/>
  <c r="O1139" i="1"/>
  <c r="Q1139" i="1"/>
  <c r="P1139" i="1"/>
  <c r="S1139" i="1"/>
  <c r="T1139" i="1"/>
  <c r="V1138" i="1"/>
  <c r="U1139" i="1"/>
  <c r="W1139" i="1"/>
  <c r="X1139" i="1"/>
  <c r="AB1139" i="1"/>
  <c r="L1140" i="1"/>
  <c r="K1140" i="1"/>
  <c r="M1140" i="1"/>
  <c r="O1140" i="1"/>
  <c r="Q1140" i="1"/>
  <c r="P1140" i="1"/>
  <c r="S1140" i="1"/>
  <c r="T1140" i="1"/>
  <c r="V1139" i="1"/>
  <c r="U1140" i="1"/>
  <c r="W1140" i="1"/>
  <c r="X1140" i="1"/>
  <c r="AB1140" i="1"/>
  <c r="L1141" i="1"/>
  <c r="K1141" i="1"/>
  <c r="M1141" i="1"/>
  <c r="O1141" i="1"/>
  <c r="Q1141" i="1"/>
  <c r="P1141" i="1"/>
  <c r="S1141" i="1"/>
  <c r="T1141" i="1"/>
  <c r="V1140" i="1"/>
  <c r="U1141" i="1"/>
  <c r="W1141" i="1"/>
  <c r="X1141" i="1"/>
  <c r="AB1141" i="1"/>
  <c r="L1142" i="1"/>
  <c r="K1142" i="1"/>
  <c r="M1142" i="1"/>
  <c r="O1142" i="1"/>
  <c r="Q1142" i="1"/>
  <c r="P1142" i="1"/>
  <c r="S1142" i="1"/>
  <c r="T1142" i="1"/>
  <c r="V1141" i="1"/>
  <c r="U1142" i="1"/>
  <c r="W1142" i="1"/>
  <c r="X1142" i="1"/>
  <c r="AB1142" i="1"/>
  <c r="L1143" i="1"/>
  <c r="K1143" i="1"/>
  <c r="M1143" i="1"/>
  <c r="O1143" i="1"/>
  <c r="Q1143" i="1"/>
  <c r="P1143" i="1"/>
  <c r="S1143" i="1"/>
  <c r="T1143" i="1"/>
  <c r="V1142" i="1"/>
  <c r="U1143" i="1"/>
  <c r="W1143" i="1"/>
  <c r="X1143" i="1"/>
  <c r="AB1143" i="1"/>
  <c r="L1144" i="1"/>
  <c r="K1144" i="1"/>
  <c r="M1144" i="1"/>
  <c r="O1144" i="1"/>
  <c r="Q1144" i="1"/>
  <c r="P1144" i="1"/>
  <c r="S1144" i="1"/>
  <c r="T1144" i="1"/>
  <c r="V1143" i="1"/>
  <c r="U1144" i="1"/>
  <c r="W1144" i="1"/>
  <c r="X1144" i="1"/>
  <c r="AB1144" i="1"/>
  <c r="L1145" i="1"/>
  <c r="K1145" i="1"/>
  <c r="M1145" i="1"/>
  <c r="O1145" i="1"/>
  <c r="Q1145" i="1"/>
  <c r="P1145" i="1"/>
  <c r="S1145" i="1"/>
  <c r="T1145" i="1"/>
  <c r="V1144" i="1"/>
  <c r="U1145" i="1"/>
  <c r="W1145" i="1"/>
  <c r="X1145" i="1"/>
  <c r="AB1145" i="1"/>
  <c r="L1146" i="1"/>
  <c r="K1146" i="1"/>
  <c r="M1146" i="1"/>
  <c r="O1146" i="1"/>
  <c r="Q1146" i="1"/>
  <c r="P1146" i="1"/>
  <c r="S1146" i="1"/>
  <c r="T1146" i="1"/>
  <c r="V1145" i="1"/>
  <c r="U1146" i="1"/>
  <c r="W1146" i="1"/>
  <c r="X1146" i="1"/>
  <c r="AB1146" i="1"/>
  <c r="L1147" i="1"/>
  <c r="K1147" i="1"/>
  <c r="M1147" i="1"/>
  <c r="O1147" i="1"/>
  <c r="Q1147" i="1"/>
  <c r="P1147" i="1"/>
  <c r="S1147" i="1"/>
  <c r="T1147" i="1"/>
  <c r="V1146" i="1"/>
  <c r="U1147" i="1"/>
  <c r="W1147" i="1"/>
  <c r="X1147" i="1"/>
  <c r="AB1147" i="1"/>
  <c r="L1148" i="1"/>
  <c r="K1148" i="1"/>
  <c r="M1148" i="1"/>
  <c r="O1148" i="1"/>
  <c r="Q1148" i="1"/>
  <c r="P1148" i="1"/>
  <c r="S1148" i="1"/>
  <c r="T1148" i="1"/>
  <c r="V1147" i="1"/>
  <c r="U1148" i="1"/>
  <c r="W1148" i="1"/>
  <c r="X1148" i="1"/>
  <c r="AB1148" i="1"/>
  <c r="L1149" i="1"/>
  <c r="K1149" i="1"/>
  <c r="M1149" i="1"/>
  <c r="O1149" i="1"/>
  <c r="Q1149" i="1"/>
  <c r="P1149" i="1"/>
  <c r="S1149" i="1"/>
  <c r="T1149" i="1"/>
  <c r="V1148" i="1"/>
  <c r="U1149" i="1"/>
  <c r="W1149" i="1"/>
  <c r="X1149" i="1"/>
  <c r="AB1149" i="1"/>
  <c r="L1150" i="1"/>
  <c r="K1150" i="1"/>
  <c r="M1150" i="1"/>
  <c r="O1150" i="1"/>
  <c r="Q1150" i="1"/>
  <c r="P1150" i="1"/>
  <c r="S1150" i="1"/>
  <c r="T1150" i="1"/>
  <c r="V1149" i="1"/>
  <c r="U1150" i="1"/>
  <c r="W1150" i="1"/>
  <c r="X1150" i="1"/>
  <c r="AB1150" i="1"/>
  <c r="L1151" i="1"/>
  <c r="K1151" i="1"/>
  <c r="M1151" i="1"/>
  <c r="O1151" i="1"/>
  <c r="Q1151" i="1"/>
  <c r="P1151" i="1"/>
  <c r="S1151" i="1"/>
  <c r="T1151" i="1"/>
  <c r="V1150" i="1"/>
  <c r="U1151" i="1"/>
  <c r="W1151" i="1"/>
  <c r="X1151" i="1"/>
  <c r="AB1151" i="1"/>
  <c r="L1152" i="1"/>
  <c r="K1152" i="1"/>
  <c r="M1152" i="1"/>
  <c r="O1152" i="1"/>
  <c r="Q1152" i="1"/>
  <c r="P1152" i="1"/>
  <c r="S1152" i="1"/>
  <c r="T1152" i="1"/>
  <c r="V1151" i="1"/>
  <c r="U1152" i="1"/>
  <c r="W1152" i="1"/>
  <c r="X1152" i="1"/>
  <c r="AB1152" i="1"/>
  <c r="L1153" i="1"/>
  <c r="K1153" i="1"/>
  <c r="M1153" i="1"/>
  <c r="O1153" i="1"/>
  <c r="Q1153" i="1"/>
  <c r="P1153" i="1"/>
  <c r="S1153" i="1"/>
  <c r="T1153" i="1"/>
  <c r="V1152" i="1"/>
  <c r="U1153" i="1"/>
  <c r="W1153" i="1"/>
  <c r="X1153" i="1"/>
  <c r="AB1153" i="1"/>
  <c r="L1154" i="1"/>
  <c r="K1154" i="1"/>
  <c r="M1154" i="1"/>
  <c r="O1154" i="1"/>
  <c r="Q1154" i="1"/>
  <c r="P1154" i="1"/>
  <c r="S1154" i="1"/>
  <c r="T1154" i="1"/>
  <c r="V1153" i="1"/>
  <c r="U1154" i="1"/>
  <c r="W1154" i="1"/>
  <c r="X1154" i="1"/>
  <c r="AB1154" i="1"/>
  <c r="L1155" i="1"/>
  <c r="K1155" i="1"/>
  <c r="M1155" i="1"/>
  <c r="O1155" i="1"/>
  <c r="Q1155" i="1"/>
  <c r="P1155" i="1"/>
  <c r="S1155" i="1"/>
  <c r="T1155" i="1"/>
  <c r="V1154" i="1"/>
  <c r="U1155" i="1"/>
  <c r="W1155" i="1"/>
  <c r="X1155" i="1"/>
  <c r="AB1155" i="1"/>
  <c r="L1156" i="1"/>
  <c r="K1156" i="1"/>
  <c r="M1156" i="1"/>
  <c r="O1156" i="1"/>
  <c r="Q1156" i="1"/>
  <c r="P1156" i="1"/>
  <c r="S1156" i="1"/>
  <c r="T1156" i="1"/>
  <c r="V1155" i="1"/>
  <c r="U1156" i="1"/>
  <c r="W1156" i="1"/>
  <c r="X1156" i="1"/>
  <c r="AB1156" i="1"/>
  <c r="L1157" i="1"/>
  <c r="K1157" i="1"/>
  <c r="M1157" i="1"/>
  <c r="O1157" i="1"/>
  <c r="Q1157" i="1"/>
  <c r="P1157" i="1"/>
  <c r="S1157" i="1"/>
  <c r="T1157" i="1"/>
  <c r="V1156" i="1"/>
  <c r="U1157" i="1"/>
  <c r="W1157" i="1"/>
  <c r="X1157" i="1"/>
  <c r="AB1157" i="1"/>
  <c r="L1158" i="1"/>
  <c r="K1158" i="1"/>
  <c r="M1158" i="1"/>
  <c r="O1158" i="1"/>
  <c r="Q1158" i="1"/>
  <c r="P1158" i="1"/>
  <c r="S1158" i="1"/>
  <c r="T1158" i="1"/>
  <c r="V1157" i="1"/>
  <c r="U1158" i="1"/>
  <c r="W1158" i="1"/>
  <c r="X1158" i="1"/>
  <c r="AB1158" i="1"/>
  <c r="L1159" i="1"/>
  <c r="K1159" i="1"/>
  <c r="M1159" i="1"/>
  <c r="O1159" i="1"/>
  <c r="Q1159" i="1"/>
  <c r="P1159" i="1"/>
  <c r="S1159" i="1"/>
  <c r="T1159" i="1"/>
  <c r="V1158" i="1"/>
  <c r="U1159" i="1"/>
  <c r="W1159" i="1"/>
  <c r="X1159" i="1"/>
  <c r="AB1159" i="1"/>
  <c r="L1160" i="1"/>
  <c r="K1160" i="1"/>
  <c r="M1160" i="1"/>
  <c r="O1160" i="1"/>
  <c r="Q1160" i="1"/>
  <c r="P1160" i="1"/>
  <c r="S1160" i="1"/>
  <c r="T1160" i="1"/>
  <c r="V1159" i="1"/>
  <c r="U1160" i="1"/>
  <c r="W1160" i="1"/>
  <c r="X1160" i="1"/>
  <c r="AB1160" i="1"/>
  <c r="L1161" i="1"/>
  <c r="K1161" i="1"/>
  <c r="M1161" i="1"/>
  <c r="O1161" i="1"/>
  <c r="Q1161" i="1"/>
  <c r="P1161" i="1"/>
  <c r="S1161" i="1"/>
  <c r="T1161" i="1"/>
  <c r="V1160" i="1"/>
  <c r="U1161" i="1"/>
  <c r="W1161" i="1"/>
  <c r="X1161" i="1"/>
  <c r="AB1161" i="1"/>
  <c r="L1162" i="1"/>
  <c r="K1162" i="1"/>
  <c r="M1162" i="1"/>
  <c r="O1162" i="1"/>
  <c r="Q1162" i="1"/>
  <c r="P1162" i="1"/>
  <c r="S1162" i="1"/>
  <c r="T1162" i="1"/>
  <c r="V1161" i="1"/>
  <c r="U1162" i="1"/>
  <c r="W1162" i="1"/>
  <c r="X1162" i="1"/>
  <c r="AB1162" i="1"/>
  <c r="L1163" i="1"/>
  <c r="K1163" i="1"/>
  <c r="M1163" i="1"/>
  <c r="O1163" i="1"/>
  <c r="Q1163" i="1"/>
  <c r="P1163" i="1"/>
  <c r="S1163" i="1"/>
  <c r="T1163" i="1"/>
  <c r="V1162" i="1"/>
  <c r="U1163" i="1"/>
  <c r="W1163" i="1"/>
  <c r="X1163" i="1"/>
  <c r="AB1163" i="1"/>
  <c r="L1164" i="1"/>
  <c r="K1164" i="1"/>
  <c r="M1164" i="1"/>
  <c r="O1164" i="1"/>
  <c r="Q1164" i="1"/>
  <c r="P1164" i="1"/>
  <c r="S1164" i="1"/>
  <c r="T1164" i="1"/>
  <c r="V1163" i="1"/>
  <c r="U1164" i="1"/>
  <c r="W1164" i="1"/>
  <c r="X1164" i="1"/>
  <c r="AB1164" i="1"/>
  <c r="L1165" i="1"/>
  <c r="K1165" i="1"/>
  <c r="M1165" i="1"/>
  <c r="O1165" i="1"/>
  <c r="Q1165" i="1"/>
  <c r="P1165" i="1"/>
  <c r="S1165" i="1"/>
  <c r="T1165" i="1"/>
  <c r="V1164" i="1"/>
  <c r="U1165" i="1"/>
  <c r="W1165" i="1"/>
  <c r="X1165" i="1"/>
  <c r="AB1165" i="1"/>
  <c r="L1166" i="1"/>
  <c r="K1166" i="1"/>
  <c r="M1166" i="1"/>
  <c r="O1166" i="1"/>
  <c r="Q1166" i="1"/>
  <c r="P1166" i="1"/>
  <c r="S1166" i="1"/>
  <c r="T1166" i="1"/>
  <c r="V1165" i="1"/>
  <c r="U1166" i="1"/>
  <c r="W1166" i="1"/>
  <c r="X1166" i="1"/>
  <c r="AB1166" i="1"/>
  <c r="L1167" i="1"/>
  <c r="K1167" i="1"/>
  <c r="M1167" i="1"/>
  <c r="O1167" i="1"/>
  <c r="Q1167" i="1"/>
  <c r="P1167" i="1"/>
  <c r="S1167" i="1"/>
  <c r="T1167" i="1"/>
  <c r="V1166" i="1"/>
  <c r="U1167" i="1"/>
  <c r="W1167" i="1"/>
  <c r="X1167" i="1"/>
  <c r="AB1167" i="1"/>
  <c r="L1168" i="1"/>
  <c r="K1168" i="1"/>
  <c r="M1168" i="1"/>
  <c r="O1168" i="1"/>
  <c r="Q1168" i="1"/>
  <c r="P1168" i="1"/>
  <c r="S1168" i="1"/>
  <c r="T1168" i="1"/>
  <c r="V1167" i="1"/>
  <c r="U1168" i="1"/>
  <c r="W1168" i="1"/>
  <c r="X1168" i="1"/>
  <c r="AB1168" i="1"/>
  <c r="L1169" i="1"/>
  <c r="K1169" i="1"/>
  <c r="M1169" i="1"/>
  <c r="O1169" i="1"/>
  <c r="Q1169" i="1"/>
  <c r="P1169" i="1"/>
  <c r="S1169" i="1"/>
  <c r="T1169" i="1"/>
  <c r="V1168" i="1"/>
  <c r="U1169" i="1"/>
  <c r="W1169" i="1"/>
  <c r="X1169" i="1"/>
  <c r="AB1169" i="1"/>
  <c r="L1170" i="1"/>
  <c r="K1170" i="1"/>
  <c r="M1170" i="1"/>
  <c r="O1170" i="1"/>
  <c r="Q1170" i="1"/>
  <c r="P1170" i="1"/>
  <c r="S1170" i="1"/>
  <c r="T1170" i="1"/>
  <c r="V1169" i="1"/>
  <c r="U1170" i="1"/>
  <c r="W1170" i="1"/>
  <c r="X1170" i="1"/>
  <c r="AB1170" i="1"/>
  <c r="L1171" i="1"/>
  <c r="K1171" i="1"/>
  <c r="M1171" i="1"/>
  <c r="O1171" i="1"/>
  <c r="Q1171" i="1"/>
  <c r="P1171" i="1"/>
  <c r="S1171" i="1"/>
  <c r="T1171" i="1"/>
  <c r="V1170" i="1"/>
  <c r="U1171" i="1"/>
  <c r="W1171" i="1"/>
  <c r="X1171" i="1"/>
  <c r="AB1171" i="1"/>
  <c r="L1172" i="1"/>
  <c r="K1172" i="1"/>
  <c r="M1172" i="1"/>
  <c r="O1172" i="1"/>
  <c r="Q1172" i="1"/>
  <c r="P1172" i="1"/>
  <c r="S1172" i="1"/>
  <c r="T1172" i="1"/>
  <c r="V1171" i="1"/>
  <c r="U1172" i="1"/>
  <c r="W1172" i="1"/>
  <c r="X1172" i="1"/>
  <c r="AB1172" i="1"/>
  <c r="L1173" i="1"/>
  <c r="K1173" i="1"/>
  <c r="M1173" i="1"/>
  <c r="O1173" i="1"/>
  <c r="Q1173" i="1"/>
  <c r="P1173" i="1"/>
  <c r="S1173" i="1"/>
  <c r="T1173" i="1"/>
  <c r="V1172" i="1"/>
  <c r="U1173" i="1"/>
  <c r="W1173" i="1"/>
  <c r="X1173" i="1"/>
  <c r="AB1173" i="1"/>
  <c r="L1174" i="1"/>
  <c r="K1174" i="1"/>
  <c r="M1174" i="1"/>
  <c r="O1174" i="1"/>
  <c r="Q1174" i="1"/>
  <c r="P1174" i="1"/>
  <c r="S1174" i="1"/>
  <c r="T1174" i="1"/>
  <c r="V1173" i="1"/>
  <c r="U1174" i="1"/>
  <c r="W1174" i="1"/>
  <c r="X1174" i="1"/>
  <c r="AB1174" i="1"/>
  <c r="L1175" i="1"/>
  <c r="K1175" i="1"/>
  <c r="M1175" i="1"/>
  <c r="O1175" i="1"/>
  <c r="Q1175" i="1"/>
  <c r="P1175" i="1"/>
  <c r="S1175" i="1"/>
  <c r="T1175" i="1"/>
  <c r="V1174" i="1"/>
  <c r="U1175" i="1"/>
  <c r="W1175" i="1"/>
  <c r="X1175" i="1"/>
  <c r="AB1175" i="1"/>
  <c r="L1176" i="1"/>
  <c r="K1176" i="1"/>
  <c r="M1176" i="1"/>
  <c r="O1176" i="1"/>
  <c r="Q1176" i="1"/>
  <c r="P1176" i="1"/>
  <c r="S1176" i="1"/>
  <c r="T1176" i="1"/>
  <c r="V1175" i="1"/>
  <c r="U1176" i="1"/>
  <c r="W1176" i="1"/>
  <c r="X1176" i="1"/>
  <c r="AB1176" i="1"/>
  <c r="L1177" i="1"/>
  <c r="K1177" i="1"/>
  <c r="M1177" i="1"/>
  <c r="O1177" i="1"/>
  <c r="Q1177" i="1"/>
  <c r="P1177" i="1"/>
  <c r="S1177" i="1"/>
  <c r="T1177" i="1"/>
  <c r="V1176" i="1"/>
  <c r="U1177" i="1"/>
  <c r="W1177" i="1"/>
  <c r="X1177" i="1"/>
  <c r="AB1177" i="1"/>
  <c r="L1178" i="1"/>
  <c r="K1178" i="1"/>
  <c r="M1178" i="1"/>
  <c r="O1178" i="1"/>
  <c r="Q1178" i="1"/>
  <c r="P1178" i="1"/>
  <c r="S1178" i="1"/>
  <c r="T1178" i="1"/>
  <c r="V1177" i="1"/>
  <c r="U1178" i="1"/>
  <c r="W1178" i="1"/>
  <c r="X1178" i="1"/>
  <c r="AB1178" i="1"/>
  <c r="L1179" i="1"/>
  <c r="K1179" i="1"/>
  <c r="M1179" i="1"/>
  <c r="O1179" i="1"/>
  <c r="Q1179" i="1"/>
  <c r="P1179" i="1"/>
  <c r="S1179" i="1"/>
  <c r="T1179" i="1"/>
  <c r="V1178" i="1"/>
  <c r="U1179" i="1"/>
  <c r="W1179" i="1"/>
  <c r="X1179" i="1"/>
  <c r="AB1179" i="1"/>
  <c r="L1180" i="1"/>
  <c r="K1180" i="1"/>
  <c r="M1180" i="1"/>
  <c r="O1180" i="1"/>
  <c r="Q1180" i="1"/>
  <c r="P1180" i="1"/>
  <c r="S1180" i="1"/>
  <c r="T1180" i="1"/>
  <c r="V1179" i="1"/>
  <c r="U1180" i="1"/>
  <c r="W1180" i="1"/>
  <c r="X1180" i="1"/>
  <c r="AB1180" i="1"/>
  <c r="L1181" i="1"/>
  <c r="K1181" i="1"/>
  <c r="M1181" i="1"/>
  <c r="O1181" i="1"/>
  <c r="Q1181" i="1"/>
  <c r="P1181" i="1"/>
  <c r="S1181" i="1"/>
  <c r="T1181" i="1"/>
  <c r="V1180" i="1"/>
  <c r="U1181" i="1"/>
  <c r="W1181" i="1"/>
  <c r="X1181" i="1"/>
  <c r="AB1181" i="1"/>
  <c r="L1182" i="1"/>
  <c r="K1182" i="1"/>
  <c r="M1182" i="1"/>
  <c r="O1182" i="1"/>
  <c r="Q1182" i="1"/>
  <c r="P1182" i="1"/>
  <c r="S1182" i="1"/>
  <c r="T1182" i="1"/>
  <c r="V1181" i="1"/>
  <c r="U1182" i="1"/>
  <c r="W1182" i="1"/>
  <c r="X1182" i="1"/>
  <c r="AB1182" i="1"/>
  <c r="L1183" i="1"/>
  <c r="K1183" i="1"/>
  <c r="M1183" i="1"/>
  <c r="O1183" i="1"/>
  <c r="Q1183" i="1"/>
  <c r="P1183" i="1"/>
  <c r="S1183" i="1"/>
  <c r="T1183" i="1"/>
  <c r="V1182" i="1"/>
  <c r="U1183" i="1"/>
  <c r="W1183" i="1"/>
  <c r="X1183" i="1"/>
  <c r="AB1183" i="1"/>
  <c r="L1184" i="1"/>
  <c r="K1184" i="1"/>
  <c r="M1184" i="1"/>
  <c r="O1184" i="1"/>
  <c r="Q1184" i="1"/>
  <c r="P1184" i="1"/>
  <c r="S1184" i="1"/>
  <c r="T1184" i="1"/>
  <c r="V1183" i="1"/>
  <c r="U1184" i="1"/>
  <c r="W1184" i="1"/>
  <c r="X1184" i="1"/>
  <c r="AB1184" i="1"/>
  <c r="L1185" i="1"/>
  <c r="K1185" i="1"/>
  <c r="M1185" i="1"/>
  <c r="O1185" i="1"/>
  <c r="Q1185" i="1"/>
  <c r="P1185" i="1"/>
  <c r="S1185" i="1"/>
  <c r="T1185" i="1"/>
  <c r="V1184" i="1"/>
  <c r="U1185" i="1"/>
  <c r="W1185" i="1"/>
  <c r="X1185" i="1"/>
  <c r="AB1185" i="1"/>
  <c r="L1186" i="1"/>
  <c r="K1186" i="1"/>
  <c r="M1186" i="1"/>
  <c r="O1186" i="1"/>
  <c r="Q1186" i="1"/>
  <c r="P1186" i="1"/>
  <c r="S1186" i="1"/>
  <c r="T1186" i="1"/>
  <c r="V1185" i="1"/>
  <c r="U1186" i="1"/>
  <c r="W1186" i="1"/>
  <c r="X1186" i="1"/>
  <c r="AB1186" i="1"/>
  <c r="L1187" i="1"/>
  <c r="K1187" i="1"/>
  <c r="M1187" i="1"/>
  <c r="O1187" i="1"/>
  <c r="Q1187" i="1"/>
  <c r="P1187" i="1"/>
  <c r="S1187" i="1"/>
  <c r="T1187" i="1"/>
  <c r="V1186" i="1"/>
  <c r="U1187" i="1"/>
  <c r="W1187" i="1"/>
  <c r="X1187" i="1"/>
  <c r="AB1187" i="1"/>
  <c r="L1188" i="1"/>
  <c r="K1188" i="1"/>
  <c r="M1188" i="1"/>
  <c r="O1188" i="1"/>
  <c r="Q1188" i="1"/>
  <c r="P1188" i="1"/>
  <c r="S1188" i="1"/>
  <c r="T1188" i="1"/>
  <c r="V1187" i="1"/>
  <c r="U1188" i="1"/>
  <c r="W1188" i="1"/>
  <c r="X1188" i="1"/>
  <c r="AB1188" i="1"/>
  <c r="L1189" i="1"/>
  <c r="K1189" i="1"/>
  <c r="M1189" i="1"/>
  <c r="O1189" i="1"/>
  <c r="Q1189" i="1"/>
  <c r="P1189" i="1"/>
  <c r="S1189" i="1"/>
  <c r="T1189" i="1"/>
  <c r="V1188" i="1"/>
  <c r="U1189" i="1"/>
  <c r="W1189" i="1"/>
  <c r="X1189" i="1"/>
  <c r="AB1189" i="1"/>
  <c r="L1190" i="1"/>
  <c r="K1190" i="1"/>
  <c r="M1190" i="1"/>
  <c r="O1190" i="1"/>
  <c r="Q1190" i="1"/>
  <c r="P1190" i="1"/>
  <c r="S1190" i="1"/>
  <c r="T1190" i="1"/>
  <c r="V1189" i="1"/>
  <c r="U1190" i="1"/>
  <c r="W1190" i="1"/>
  <c r="X1190" i="1"/>
  <c r="AB1190" i="1"/>
  <c r="L1191" i="1"/>
  <c r="K1191" i="1"/>
  <c r="M1191" i="1"/>
  <c r="O1191" i="1"/>
  <c r="Q1191" i="1"/>
  <c r="P1191" i="1"/>
  <c r="S1191" i="1"/>
  <c r="T1191" i="1"/>
  <c r="V1190" i="1"/>
  <c r="U1191" i="1"/>
  <c r="W1191" i="1"/>
  <c r="X1191" i="1"/>
  <c r="AB1191" i="1"/>
  <c r="L1192" i="1"/>
  <c r="K1192" i="1"/>
  <c r="M1192" i="1"/>
  <c r="O1192" i="1"/>
  <c r="Q1192" i="1"/>
  <c r="P1192" i="1"/>
  <c r="S1192" i="1"/>
  <c r="T1192" i="1"/>
  <c r="V1191" i="1"/>
  <c r="U1192" i="1"/>
  <c r="W1192" i="1"/>
  <c r="X1192" i="1"/>
  <c r="AB1192" i="1"/>
  <c r="L1193" i="1"/>
  <c r="K1193" i="1"/>
  <c r="M1193" i="1"/>
  <c r="O1193" i="1"/>
  <c r="Q1193" i="1"/>
  <c r="P1193" i="1"/>
  <c r="S1193" i="1"/>
  <c r="T1193" i="1"/>
  <c r="V1192" i="1"/>
  <c r="U1193" i="1"/>
  <c r="W1193" i="1"/>
  <c r="X1193" i="1"/>
  <c r="AB1193" i="1"/>
  <c r="L1194" i="1"/>
  <c r="K1194" i="1"/>
  <c r="M1194" i="1"/>
  <c r="O1194" i="1"/>
  <c r="Q1194" i="1"/>
  <c r="P1194" i="1"/>
  <c r="S1194" i="1"/>
  <c r="J1194" i="1"/>
  <c r="N1194" i="1"/>
  <c r="T1194" i="1"/>
  <c r="V1193" i="1"/>
  <c r="U1194" i="1"/>
  <c r="W1194" i="1"/>
  <c r="X1194" i="1"/>
  <c r="AB1194" i="1"/>
  <c r="L1195" i="1"/>
  <c r="K1195" i="1"/>
  <c r="M1195" i="1"/>
  <c r="O1195" i="1"/>
  <c r="Q1195" i="1"/>
  <c r="P1195" i="1"/>
  <c r="S1195" i="1"/>
  <c r="T1195" i="1"/>
  <c r="V1194" i="1"/>
  <c r="U1195" i="1"/>
  <c r="W1195" i="1"/>
  <c r="X1195" i="1"/>
  <c r="AB1195" i="1"/>
  <c r="L1196" i="1"/>
  <c r="K1196" i="1"/>
  <c r="M1196" i="1"/>
  <c r="O1196" i="1"/>
  <c r="Q1196" i="1"/>
  <c r="P1196" i="1"/>
  <c r="S1196" i="1"/>
  <c r="T1196" i="1"/>
  <c r="V1195" i="1"/>
  <c r="U1196" i="1"/>
  <c r="W1196" i="1"/>
  <c r="X1196" i="1"/>
  <c r="AB1196" i="1"/>
  <c r="L1197" i="1"/>
  <c r="K1197" i="1"/>
  <c r="M1197" i="1"/>
  <c r="O1197" i="1"/>
  <c r="Q1197" i="1"/>
  <c r="P1197" i="1"/>
  <c r="S1197" i="1"/>
  <c r="T1197" i="1"/>
  <c r="V1196" i="1"/>
  <c r="U1197" i="1"/>
  <c r="W1197" i="1"/>
  <c r="X1197" i="1"/>
  <c r="AB1197" i="1"/>
  <c r="L1198" i="1"/>
  <c r="K1198" i="1"/>
  <c r="M1198" i="1"/>
  <c r="O1198" i="1"/>
  <c r="Q1198" i="1"/>
  <c r="P1198" i="1"/>
  <c r="S1198" i="1"/>
  <c r="T1198" i="1"/>
  <c r="V1197" i="1"/>
  <c r="U1198" i="1"/>
  <c r="W1198" i="1"/>
  <c r="X1198" i="1"/>
  <c r="AB1198" i="1"/>
  <c r="L1199" i="1"/>
  <c r="K1199" i="1"/>
  <c r="M1199" i="1"/>
  <c r="O1199" i="1"/>
  <c r="Q1199" i="1"/>
  <c r="P1199" i="1"/>
  <c r="S1199" i="1"/>
  <c r="T1199" i="1"/>
  <c r="V1198" i="1"/>
  <c r="U1199" i="1"/>
  <c r="W1199" i="1"/>
  <c r="X1199" i="1"/>
  <c r="AB1199" i="1"/>
  <c r="L1200" i="1"/>
  <c r="K1200" i="1"/>
  <c r="M1200" i="1"/>
  <c r="O1200" i="1"/>
  <c r="Q1200" i="1"/>
  <c r="P1200" i="1"/>
  <c r="S1200" i="1"/>
  <c r="T1200" i="1"/>
  <c r="V1199" i="1"/>
  <c r="U1200" i="1"/>
  <c r="W1200" i="1"/>
  <c r="X1200" i="1"/>
  <c r="AB1200" i="1"/>
  <c r="L1201" i="1"/>
  <c r="K1201" i="1"/>
  <c r="M1201" i="1"/>
  <c r="O1201" i="1"/>
  <c r="Q1201" i="1"/>
  <c r="P1201" i="1"/>
  <c r="S1201" i="1"/>
  <c r="T1201" i="1"/>
  <c r="V1200" i="1"/>
  <c r="U1201" i="1"/>
  <c r="W1201" i="1"/>
  <c r="X1201" i="1"/>
  <c r="AB1201" i="1"/>
  <c r="L1202" i="1"/>
  <c r="K1202" i="1"/>
  <c r="M1202" i="1"/>
  <c r="O1202" i="1"/>
  <c r="Q1202" i="1"/>
  <c r="P1202" i="1"/>
  <c r="S1202" i="1"/>
  <c r="T1202" i="1"/>
  <c r="V1201" i="1"/>
  <c r="U1202" i="1"/>
  <c r="W1202" i="1"/>
  <c r="X1202" i="1"/>
  <c r="AB1202" i="1"/>
  <c r="L1203" i="1"/>
  <c r="K1203" i="1"/>
  <c r="M1203" i="1"/>
  <c r="O1203" i="1"/>
  <c r="Q1203" i="1"/>
  <c r="P1203" i="1"/>
  <c r="S1203" i="1"/>
  <c r="T1203" i="1"/>
  <c r="V1202" i="1"/>
  <c r="U1203" i="1"/>
  <c r="W1203" i="1"/>
  <c r="X1203" i="1"/>
  <c r="AB1203" i="1"/>
  <c r="L1204" i="1"/>
  <c r="K1204" i="1"/>
  <c r="M1204" i="1"/>
  <c r="O1204" i="1"/>
  <c r="Q1204" i="1"/>
  <c r="P1204" i="1"/>
  <c r="S1204" i="1"/>
  <c r="T1204" i="1"/>
  <c r="V1203" i="1"/>
  <c r="U1204" i="1"/>
  <c r="W1204" i="1"/>
  <c r="X1204" i="1"/>
  <c r="AB1204" i="1"/>
  <c r="L1205" i="1"/>
  <c r="K1205" i="1"/>
  <c r="M1205" i="1"/>
  <c r="O1205" i="1"/>
  <c r="Q1205" i="1"/>
  <c r="P1205" i="1"/>
  <c r="S1205" i="1"/>
  <c r="T1205" i="1"/>
  <c r="V1204" i="1"/>
  <c r="U1205" i="1"/>
  <c r="W1205" i="1"/>
  <c r="X1205" i="1"/>
  <c r="AB1205" i="1"/>
  <c r="L1206" i="1"/>
  <c r="K1206" i="1"/>
  <c r="M1206" i="1"/>
  <c r="O1206" i="1"/>
  <c r="Q1206" i="1"/>
  <c r="P1206" i="1"/>
  <c r="S1206" i="1"/>
  <c r="T1206" i="1"/>
  <c r="V1205" i="1"/>
  <c r="U1206" i="1"/>
  <c r="W1206" i="1"/>
  <c r="X1206" i="1"/>
  <c r="AB1206" i="1"/>
  <c r="L1207" i="1"/>
  <c r="K1207" i="1"/>
  <c r="M1207" i="1"/>
  <c r="O1207" i="1"/>
  <c r="Q1207" i="1"/>
  <c r="P1207" i="1"/>
  <c r="S1207" i="1"/>
  <c r="T1207" i="1"/>
  <c r="V1206" i="1"/>
  <c r="U1207" i="1"/>
  <c r="W1207" i="1"/>
  <c r="X1207" i="1"/>
  <c r="AB1207" i="1"/>
  <c r="L1208" i="1"/>
  <c r="K1208" i="1"/>
  <c r="M1208" i="1"/>
  <c r="O1208" i="1"/>
  <c r="Q1208" i="1"/>
  <c r="P1208" i="1"/>
  <c r="S1208" i="1"/>
  <c r="T1208" i="1"/>
  <c r="V1207" i="1"/>
  <c r="U1208" i="1"/>
  <c r="W1208" i="1"/>
  <c r="X1208" i="1"/>
  <c r="AB1208" i="1"/>
  <c r="L1209" i="1"/>
  <c r="K1209" i="1"/>
  <c r="M1209" i="1"/>
  <c r="O1209" i="1"/>
  <c r="Q1209" i="1"/>
  <c r="P1209" i="1"/>
  <c r="S1209" i="1"/>
  <c r="T1209" i="1"/>
  <c r="V1208" i="1"/>
  <c r="U1209" i="1"/>
  <c r="W1209" i="1"/>
  <c r="X1209" i="1"/>
  <c r="AB1209" i="1"/>
  <c r="L1210" i="1"/>
  <c r="K1210" i="1"/>
  <c r="M1210" i="1"/>
  <c r="O1210" i="1"/>
  <c r="Q1210" i="1"/>
  <c r="P1210" i="1"/>
  <c r="S1210" i="1"/>
  <c r="T1210" i="1"/>
  <c r="V1209" i="1"/>
  <c r="U1210" i="1"/>
  <c r="W1210" i="1"/>
  <c r="X1210" i="1"/>
  <c r="AB1210" i="1"/>
  <c r="L1211" i="1"/>
  <c r="K1211" i="1"/>
  <c r="M1211" i="1"/>
  <c r="O1211" i="1"/>
  <c r="Q1211" i="1"/>
  <c r="P1211" i="1"/>
  <c r="S1211" i="1"/>
  <c r="T1211" i="1"/>
  <c r="V1210" i="1"/>
  <c r="U1211" i="1"/>
  <c r="W1211" i="1"/>
  <c r="X1211" i="1"/>
  <c r="AB1211" i="1"/>
  <c r="L1212" i="1"/>
  <c r="K1212" i="1"/>
  <c r="M1212" i="1"/>
  <c r="O1212" i="1"/>
  <c r="Q1212" i="1"/>
  <c r="P1212" i="1"/>
  <c r="S1212" i="1"/>
  <c r="T1212" i="1"/>
  <c r="V1211" i="1"/>
  <c r="U1212" i="1"/>
  <c r="W1212" i="1"/>
  <c r="X1212" i="1"/>
  <c r="AB1212" i="1"/>
  <c r="L1213" i="1"/>
  <c r="K1213" i="1"/>
  <c r="M1213" i="1"/>
  <c r="O1213" i="1"/>
  <c r="Q1213" i="1"/>
  <c r="P1213" i="1"/>
  <c r="S1213" i="1"/>
  <c r="T1213" i="1"/>
  <c r="V1212" i="1"/>
  <c r="U1213" i="1"/>
  <c r="W1213" i="1"/>
  <c r="X1213" i="1"/>
  <c r="AB1213" i="1"/>
  <c r="L1214" i="1"/>
  <c r="K1214" i="1"/>
  <c r="M1214" i="1"/>
  <c r="O1214" i="1"/>
  <c r="Q1214" i="1"/>
  <c r="P1214" i="1"/>
  <c r="S1214" i="1"/>
  <c r="T1214" i="1"/>
  <c r="V1213" i="1"/>
  <c r="U1214" i="1"/>
  <c r="W1214" i="1"/>
  <c r="X1214" i="1"/>
  <c r="AB1214" i="1"/>
  <c r="L1215" i="1"/>
  <c r="K1215" i="1"/>
  <c r="M1215" i="1"/>
  <c r="O1215" i="1"/>
  <c r="Q1215" i="1"/>
  <c r="P1215" i="1"/>
  <c r="S1215" i="1"/>
  <c r="T1215" i="1"/>
  <c r="V1214" i="1"/>
  <c r="U1215" i="1"/>
  <c r="W1215" i="1"/>
  <c r="X1215" i="1"/>
  <c r="AB1215" i="1"/>
  <c r="L1216" i="1"/>
  <c r="K1216" i="1"/>
  <c r="M1216" i="1"/>
  <c r="O1216" i="1"/>
  <c r="Q1216" i="1"/>
  <c r="P1216" i="1"/>
  <c r="S1216" i="1"/>
  <c r="T1216" i="1"/>
  <c r="V1215" i="1"/>
  <c r="U1216" i="1"/>
  <c r="W1216" i="1"/>
  <c r="X1216" i="1"/>
  <c r="AB1216" i="1"/>
  <c r="L1217" i="1"/>
  <c r="K1217" i="1"/>
  <c r="M1217" i="1"/>
  <c r="O1217" i="1"/>
  <c r="Q1217" i="1"/>
  <c r="P1217" i="1"/>
  <c r="S1217" i="1"/>
  <c r="T1217" i="1"/>
  <c r="V1216" i="1"/>
  <c r="U1217" i="1"/>
  <c r="W1217" i="1"/>
  <c r="X1217" i="1"/>
  <c r="AB1217" i="1"/>
  <c r="L1218" i="1"/>
  <c r="K1218" i="1"/>
  <c r="M1218" i="1"/>
  <c r="O1218" i="1"/>
  <c r="Q1218" i="1"/>
  <c r="P1218" i="1"/>
  <c r="S1218" i="1"/>
  <c r="T1218" i="1"/>
  <c r="V1217" i="1"/>
  <c r="U1218" i="1"/>
  <c r="W1218" i="1"/>
  <c r="X1218" i="1"/>
  <c r="AB1218" i="1"/>
  <c r="L1219" i="1"/>
  <c r="K1219" i="1"/>
  <c r="M1219" i="1"/>
  <c r="O1219" i="1"/>
  <c r="Q1219" i="1"/>
  <c r="P1219" i="1"/>
  <c r="S1219" i="1"/>
  <c r="T1219" i="1"/>
  <c r="V1218" i="1"/>
  <c r="U1219" i="1"/>
  <c r="W1219" i="1"/>
  <c r="X1219" i="1"/>
  <c r="AB1219" i="1"/>
  <c r="L1220" i="1"/>
  <c r="K1220" i="1"/>
  <c r="M1220" i="1"/>
  <c r="O1220" i="1"/>
  <c r="Q1220" i="1"/>
  <c r="P1220" i="1"/>
  <c r="S1220" i="1"/>
  <c r="T1220" i="1"/>
  <c r="V1219" i="1"/>
  <c r="U1220" i="1"/>
  <c r="W1220" i="1"/>
  <c r="X1220" i="1"/>
  <c r="AB1220" i="1"/>
  <c r="L1221" i="1"/>
  <c r="K1221" i="1"/>
  <c r="M1221" i="1"/>
  <c r="O1221" i="1"/>
  <c r="Q1221" i="1"/>
  <c r="P1221" i="1"/>
  <c r="S1221" i="1"/>
  <c r="T1221" i="1"/>
  <c r="V1220" i="1"/>
  <c r="U1221" i="1"/>
  <c r="W1221" i="1"/>
  <c r="X1221" i="1"/>
  <c r="AB1221" i="1"/>
  <c r="L1222" i="1"/>
  <c r="K1222" i="1"/>
  <c r="M1222" i="1"/>
  <c r="O1222" i="1"/>
  <c r="Q1222" i="1"/>
  <c r="P1222" i="1"/>
  <c r="S1222" i="1"/>
  <c r="T1222" i="1"/>
  <c r="V1221" i="1"/>
  <c r="U1222" i="1"/>
  <c r="W1222" i="1"/>
  <c r="X1222" i="1"/>
  <c r="AB1222" i="1"/>
  <c r="L1223" i="1"/>
  <c r="K1223" i="1"/>
  <c r="M1223" i="1"/>
  <c r="O1223" i="1"/>
  <c r="Q1223" i="1"/>
  <c r="P1223" i="1"/>
  <c r="S1223" i="1"/>
  <c r="T1223" i="1"/>
  <c r="V1222" i="1"/>
  <c r="U1223" i="1"/>
  <c r="W1223" i="1"/>
  <c r="X1223" i="1"/>
  <c r="AB1223" i="1"/>
  <c r="L1224" i="1"/>
  <c r="K1224" i="1"/>
  <c r="M1224" i="1"/>
  <c r="O1224" i="1"/>
  <c r="Q1224" i="1"/>
  <c r="P1224" i="1"/>
  <c r="S1224" i="1"/>
  <c r="T1224" i="1"/>
  <c r="V1223" i="1"/>
  <c r="U1224" i="1"/>
  <c r="W1224" i="1"/>
  <c r="X1224" i="1"/>
  <c r="AB1224" i="1"/>
  <c r="L1225" i="1"/>
  <c r="K1225" i="1"/>
  <c r="M1225" i="1"/>
  <c r="O1225" i="1"/>
  <c r="Q1225" i="1"/>
  <c r="P1225" i="1"/>
  <c r="S1225" i="1"/>
  <c r="T1225" i="1"/>
  <c r="V1224" i="1"/>
  <c r="U1225" i="1"/>
  <c r="W1225" i="1"/>
  <c r="X1225" i="1"/>
  <c r="AB1225" i="1"/>
  <c r="L1226" i="1"/>
  <c r="K1226" i="1"/>
  <c r="M1226" i="1"/>
  <c r="O1226" i="1"/>
  <c r="Q1226" i="1"/>
  <c r="P1226" i="1"/>
  <c r="S1226" i="1"/>
  <c r="T1226" i="1"/>
  <c r="V1225" i="1"/>
  <c r="U1226" i="1"/>
  <c r="W1226" i="1"/>
  <c r="X1226" i="1"/>
  <c r="AB1226" i="1"/>
  <c r="L1227" i="1"/>
  <c r="K1227" i="1"/>
  <c r="M1227" i="1"/>
  <c r="O1227" i="1"/>
  <c r="Q1227" i="1"/>
  <c r="P1227" i="1"/>
  <c r="S1227" i="1"/>
  <c r="T1227" i="1"/>
  <c r="V1226" i="1"/>
  <c r="U1227" i="1"/>
  <c r="W1227" i="1"/>
  <c r="X1227" i="1"/>
  <c r="AB1227" i="1"/>
  <c r="L1228" i="1"/>
  <c r="K1228" i="1"/>
  <c r="M1228" i="1"/>
  <c r="O1228" i="1"/>
  <c r="Q1228" i="1"/>
  <c r="P1228" i="1"/>
  <c r="S1228" i="1"/>
  <c r="T1228" i="1"/>
  <c r="V1227" i="1"/>
  <c r="U1228" i="1"/>
  <c r="W1228" i="1"/>
  <c r="X1228" i="1"/>
  <c r="AB1228" i="1"/>
  <c r="L1229" i="1"/>
  <c r="K1229" i="1"/>
  <c r="M1229" i="1"/>
  <c r="O1229" i="1"/>
  <c r="Q1229" i="1"/>
  <c r="P1229" i="1"/>
  <c r="S1229" i="1"/>
  <c r="T1229" i="1"/>
  <c r="V1228" i="1"/>
  <c r="U1229" i="1"/>
  <c r="W1229" i="1"/>
  <c r="X1229" i="1"/>
  <c r="AB1229" i="1"/>
  <c r="L1230" i="1"/>
  <c r="K1230" i="1"/>
  <c r="M1230" i="1"/>
  <c r="O1230" i="1"/>
  <c r="Q1230" i="1"/>
  <c r="P1230" i="1"/>
  <c r="S1230" i="1"/>
  <c r="T1230" i="1"/>
  <c r="V1229" i="1"/>
  <c r="U1230" i="1"/>
  <c r="W1230" i="1"/>
  <c r="X1230" i="1"/>
  <c r="AB1230" i="1"/>
  <c r="L1231" i="1"/>
  <c r="K1231" i="1"/>
  <c r="M1231" i="1"/>
  <c r="O1231" i="1"/>
  <c r="Q1231" i="1"/>
  <c r="P1231" i="1"/>
  <c r="S1231" i="1"/>
  <c r="T1231" i="1"/>
  <c r="V1230" i="1"/>
  <c r="U1231" i="1"/>
  <c r="W1231" i="1"/>
  <c r="X1231" i="1"/>
  <c r="AB1231" i="1"/>
  <c r="L1232" i="1"/>
  <c r="K1232" i="1"/>
  <c r="M1232" i="1"/>
  <c r="O1232" i="1"/>
  <c r="Q1232" i="1"/>
  <c r="P1232" i="1"/>
  <c r="S1232" i="1"/>
  <c r="T1232" i="1"/>
  <c r="V1231" i="1"/>
  <c r="U1232" i="1"/>
  <c r="W1232" i="1"/>
  <c r="X1232" i="1"/>
  <c r="AB1232" i="1"/>
  <c r="L1233" i="1"/>
  <c r="K1233" i="1"/>
  <c r="M1233" i="1"/>
  <c r="O1233" i="1"/>
  <c r="Q1233" i="1"/>
  <c r="P1233" i="1"/>
  <c r="S1233" i="1"/>
  <c r="T1233" i="1"/>
  <c r="V1232" i="1"/>
  <c r="U1233" i="1"/>
  <c r="W1233" i="1"/>
  <c r="X1233" i="1"/>
  <c r="AB1233" i="1"/>
  <c r="L1234" i="1"/>
  <c r="K1234" i="1"/>
  <c r="M1234" i="1"/>
  <c r="O1234" i="1"/>
  <c r="Q1234" i="1"/>
  <c r="P1234" i="1"/>
  <c r="S1234" i="1"/>
  <c r="T1234" i="1"/>
  <c r="V1233" i="1"/>
  <c r="U1234" i="1"/>
  <c r="W1234" i="1"/>
  <c r="X1234" i="1"/>
  <c r="AB1234" i="1"/>
  <c r="L1235" i="1"/>
  <c r="K1235" i="1"/>
  <c r="M1235" i="1"/>
  <c r="O1235" i="1"/>
  <c r="Q1235" i="1"/>
  <c r="P1235" i="1"/>
  <c r="S1235" i="1"/>
  <c r="T1235" i="1"/>
  <c r="V1234" i="1"/>
  <c r="U1235" i="1"/>
  <c r="W1235" i="1"/>
  <c r="X1235" i="1"/>
  <c r="AB1235" i="1"/>
  <c r="L1236" i="1"/>
  <c r="K1236" i="1"/>
  <c r="M1236" i="1"/>
  <c r="O1236" i="1"/>
  <c r="Q1236" i="1"/>
  <c r="P1236" i="1"/>
  <c r="S1236" i="1"/>
  <c r="T1236" i="1"/>
  <c r="V1235" i="1"/>
  <c r="U1236" i="1"/>
  <c r="W1236" i="1"/>
  <c r="X1236" i="1"/>
  <c r="AB1236" i="1"/>
  <c r="L1237" i="1"/>
  <c r="K1237" i="1"/>
  <c r="M1237" i="1"/>
  <c r="O1237" i="1"/>
  <c r="Q1237" i="1"/>
  <c r="P1237" i="1"/>
  <c r="S1237" i="1"/>
  <c r="T1237" i="1"/>
  <c r="V1236" i="1"/>
  <c r="U1237" i="1"/>
  <c r="W1237" i="1"/>
  <c r="X1237" i="1"/>
  <c r="AB1237" i="1"/>
  <c r="L1238" i="1"/>
  <c r="K1238" i="1"/>
  <c r="M1238" i="1"/>
  <c r="O1238" i="1"/>
  <c r="Q1238" i="1"/>
  <c r="P1238" i="1"/>
  <c r="S1238" i="1"/>
  <c r="T1238" i="1"/>
  <c r="V1237" i="1"/>
  <c r="U1238" i="1"/>
  <c r="W1238" i="1"/>
  <c r="X1238" i="1"/>
  <c r="AB1238" i="1"/>
  <c r="L1239" i="1"/>
  <c r="K1239" i="1"/>
  <c r="M1239" i="1"/>
  <c r="O1239" i="1"/>
  <c r="Q1239" i="1"/>
  <c r="P1239" i="1"/>
  <c r="S1239" i="1"/>
  <c r="T1239" i="1"/>
  <c r="V1238" i="1"/>
  <c r="U1239" i="1"/>
  <c r="W1239" i="1"/>
  <c r="X1239" i="1"/>
  <c r="AB1239" i="1"/>
  <c r="L1240" i="1"/>
  <c r="K1240" i="1"/>
  <c r="M1240" i="1"/>
  <c r="O1240" i="1"/>
  <c r="Q1240" i="1"/>
  <c r="P1240" i="1"/>
  <c r="S1240" i="1"/>
  <c r="T1240" i="1"/>
  <c r="V1239" i="1"/>
  <c r="U1240" i="1"/>
  <c r="W1240" i="1"/>
  <c r="X1240" i="1"/>
  <c r="AB1240" i="1"/>
  <c r="L1241" i="1"/>
  <c r="K1241" i="1"/>
  <c r="M1241" i="1"/>
  <c r="O1241" i="1"/>
  <c r="Q1241" i="1"/>
  <c r="P1241" i="1"/>
  <c r="S1241" i="1"/>
  <c r="T1241" i="1"/>
  <c r="V1240" i="1"/>
  <c r="U1241" i="1"/>
  <c r="W1241" i="1"/>
  <c r="X1241" i="1"/>
  <c r="AB1241" i="1"/>
  <c r="L1242" i="1"/>
  <c r="K1242" i="1"/>
  <c r="M1242" i="1"/>
  <c r="O1242" i="1"/>
  <c r="Q1242" i="1"/>
  <c r="P1242" i="1"/>
  <c r="S1242" i="1"/>
  <c r="T1242" i="1"/>
  <c r="V1241" i="1"/>
  <c r="U1242" i="1"/>
  <c r="W1242" i="1"/>
  <c r="X1242" i="1"/>
  <c r="AB1242" i="1"/>
  <c r="L1243" i="1"/>
  <c r="K1243" i="1"/>
  <c r="M1243" i="1"/>
  <c r="O1243" i="1"/>
  <c r="Q1243" i="1"/>
  <c r="P1243" i="1"/>
  <c r="S1243" i="1"/>
  <c r="T1243" i="1"/>
  <c r="V1242" i="1"/>
  <c r="U1243" i="1"/>
  <c r="W1243" i="1"/>
  <c r="X1243" i="1"/>
  <c r="AB1243" i="1"/>
  <c r="L1244" i="1"/>
  <c r="K1244" i="1"/>
  <c r="M1244" i="1"/>
  <c r="O1244" i="1"/>
  <c r="Q1244" i="1"/>
  <c r="P1244" i="1"/>
  <c r="S1244" i="1"/>
  <c r="T1244" i="1"/>
  <c r="V1243" i="1"/>
  <c r="U1244" i="1"/>
  <c r="W1244" i="1"/>
  <c r="X1244" i="1"/>
  <c r="AB1244" i="1"/>
  <c r="L1245" i="1"/>
  <c r="K1245" i="1"/>
  <c r="M1245" i="1"/>
  <c r="O1245" i="1"/>
  <c r="Q1245" i="1"/>
  <c r="P1245" i="1"/>
  <c r="S1245" i="1"/>
  <c r="T1245" i="1"/>
  <c r="V1244" i="1"/>
  <c r="U1245" i="1"/>
  <c r="W1245" i="1"/>
  <c r="X1245" i="1"/>
  <c r="AB1245" i="1"/>
  <c r="L1246" i="1"/>
  <c r="K1246" i="1"/>
  <c r="M1246" i="1"/>
  <c r="O1246" i="1"/>
  <c r="Q1246" i="1"/>
  <c r="P1246" i="1"/>
  <c r="S1246" i="1"/>
  <c r="T1246" i="1"/>
  <c r="V1245" i="1"/>
  <c r="U1246" i="1"/>
  <c r="W1246" i="1"/>
  <c r="X1246" i="1"/>
  <c r="AB1246" i="1"/>
  <c r="L1247" i="1"/>
  <c r="K1247" i="1"/>
  <c r="M1247" i="1"/>
  <c r="O1247" i="1"/>
  <c r="Q1247" i="1"/>
  <c r="P1247" i="1"/>
  <c r="S1247" i="1"/>
  <c r="T1247" i="1"/>
  <c r="V1246" i="1"/>
  <c r="U1247" i="1"/>
  <c r="W1247" i="1"/>
  <c r="X1247" i="1"/>
  <c r="AB1247" i="1"/>
  <c r="L1248" i="1"/>
  <c r="K1248" i="1"/>
  <c r="M1248" i="1"/>
  <c r="O1248" i="1"/>
  <c r="Q1248" i="1"/>
  <c r="P1248" i="1"/>
  <c r="S1248" i="1"/>
  <c r="T1248" i="1"/>
  <c r="V1247" i="1"/>
  <c r="U1248" i="1"/>
  <c r="W1248" i="1"/>
  <c r="X1248" i="1"/>
  <c r="AB1248" i="1"/>
  <c r="L1249" i="1"/>
  <c r="K1249" i="1"/>
  <c r="M1249" i="1"/>
  <c r="O1249" i="1"/>
  <c r="Q1249" i="1"/>
  <c r="P1249" i="1"/>
  <c r="S1249" i="1"/>
  <c r="T1249" i="1"/>
  <c r="V1248" i="1"/>
  <c r="U1249" i="1"/>
  <c r="W1249" i="1"/>
  <c r="X1249" i="1"/>
  <c r="AB1249" i="1"/>
  <c r="L1250" i="1"/>
  <c r="K1250" i="1"/>
  <c r="M1250" i="1"/>
  <c r="O1250" i="1"/>
  <c r="Q1250" i="1"/>
  <c r="P1250" i="1"/>
  <c r="S1250" i="1"/>
  <c r="J1250" i="1"/>
  <c r="N1250" i="1"/>
  <c r="T1250" i="1"/>
  <c r="V1249" i="1"/>
  <c r="U1250" i="1"/>
  <c r="W1250" i="1"/>
  <c r="X1250" i="1"/>
  <c r="AB1250" i="1"/>
  <c r="L1251" i="1"/>
  <c r="K1251" i="1"/>
  <c r="M1251" i="1"/>
  <c r="O1251" i="1"/>
  <c r="Q1251" i="1"/>
  <c r="P1251" i="1"/>
  <c r="S1251" i="1"/>
  <c r="T1251" i="1"/>
  <c r="V1250" i="1"/>
  <c r="U1251" i="1"/>
  <c r="W1251" i="1"/>
  <c r="X1251" i="1"/>
  <c r="AB1251" i="1"/>
  <c r="L1252" i="1"/>
  <c r="K1252" i="1"/>
  <c r="M1252" i="1"/>
  <c r="O1252" i="1"/>
  <c r="Q1252" i="1"/>
  <c r="P1252" i="1"/>
  <c r="S1252" i="1"/>
  <c r="T1252" i="1"/>
  <c r="V1251" i="1"/>
  <c r="U1252" i="1"/>
  <c r="W1252" i="1"/>
  <c r="X1252" i="1"/>
  <c r="AB1252" i="1"/>
  <c r="L1253" i="1"/>
  <c r="K1253" i="1"/>
  <c r="M1253" i="1"/>
  <c r="O1253" i="1"/>
  <c r="Q1253" i="1"/>
  <c r="P1253" i="1"/>
  <c r="S1253" i="1"/>
  <c r="T1253" i="1"/>
  <c r="V1252" i="1"/>
  <c r="U1253" i="1"/>
  <c r="W1253" i="1"/>
  <c r="X1253" i="1"/>
  <c r="AB1253" i="1"/>
  <c r="L1254" i="1"/>
  <c r="K1254" i="1"/>
  <c r="M1254" i="1"/>
  <c r="O1254" i="1"/>
  <c r="Q1254" i="1"/>
  <c r="P1254" i="1"/>
  <c r="S1254" i="1"/>
  <c r="T1254" i="1"/>
  <c r="V1253" i="1"/>
  <c r="U1254" i="1"/>
  <c r="W1254" i="1"/>
  <c r="X1254" i="1"/>
  <c r="AB1254" i="1"/>
  <c r="L1255" i="1"/>
  <c r="K1255" i="1"/>
  <c r="M1255" i="1"/>
  <c r="O1255" i="1"/>
  <c r="Q1255" i="1"/>
  <c r="P1255" i="1"/>
  <c r="S1255" i="1"/>
  <c r="T1255" i="1"/>
  <c r="V1254" i="1"/>
  <c r="U1255" i="1"/>
  <c r="W1255" i="1"/>
  <c r="X1255" i="1"/>
  <c r="AB1255" i="1"/>
  <c r="L1256" i="1"/>
  <c r="K1256" i="1"/>
  <c r="M1256" i="1"/>
  <c r="O1256" i="1"/>
  <c r="Q1256" i="1"/>
  <c r="P1256" i="1"/>
  <c r="S1256" i="1"/>
  <c r="T1256" i="1"/>
  <c r="V1255" i="1"/>
  <c r="U1256" i="1"/>
  <c r="W1256" i="1"/>
  <c r="X1256" i="1"/>
  <c r="AB1256" i="1"/>
  <c r="L1257" i="1"/>
  <c r="K1257" i="1"/>
  <c r="M1257" i="1"/>
  <c r="O1257" i="1"/>
  <c r="Q1257" i="1"/>
  <c r="P1257" i="1"/>
  <c r="S1257" i="1"/>
  <c r="T1257" i="1"/>
  <c r="V1256" i="1"/>
  <c r="U1257" i="1"/>
  <c r="W1257" i="1"/>
  <c r="X1257" i="1"/>
  <c r="AB1257" i="1"/>
  <c r="L1258" i="1"/>
  <c r="K1258" i="1"/>
  <c r="M1258" i="1"/>
  <c r="O1258" i="1"/>
  <c r="Q1258" i="1"/>
  <c r="P1258" i="1"/>
  <c r="S1258" i="1"/>
  <c r="T1258" i="1"/>
  <c r="V1257" i="1"/>
  <c r="U1258" i="1"/>
  <c r="W1258" i="1"/>
  <c r="X1258" i="1"/>
  <c r="AB1258" i="1"/>
  <c r="L1259" i="1"/>
  <c r="K1259" i="1"/>
  <c r="M1259" i="1"/>
  <c r="O1259" i="1"/>
  <c r="Q1259" i="1"/>
  <c r="P1259" i="1"/>
  <c r="S1259" i="1"/>
  <c r="T1259" i="1"/>
  <c r="V1258" i="1"/>
  <c r="U1259" i="1"/>
  <c r="W1259" i="1"/>
  <c r="X1259" i="1"/>
  <c r="AB1259" i="1"/>
  <c r="L1260" i="1"/>
  <c r="K1260" i="1"/>
  <c r="M1260" i="1"/>
  <c r="O1260" i="1"/>
  <c r="Q1260" i="1"/>
  <c r="P1260" i="1"/>
  <c r="S1260" i="1"/>
  <c r="T1260" i="1"/>
  <c r="V1259" i="1"/>
  <c r="U1260" i="1"/>
  <c r="W1260" i="1"/>
  <c r="X1260" i="1"/>
  <c r="AB1260" i="1"/>
  <c r="L1261" i="1"/>
  <c r="K1261" i="1"/>
  <c r="M1261" i="1"/>
  <c r="O1261" i="1"/>
  <c r="Q1261" i="1"/>
  <c r="P1261" i="1"/>
  <c r="S1261" i="1"/>
  <c r="T1261" i="1"/>
  <c r="V1260" i="1"/>
  <c r="U1261" i="1"/>
  <c r="W1261" i="1"/>
  <c r="X1261" i="1"/>
  <c r="AB1261" i="1"/>
  <c r="L1262" i="1"/>
  <c r="K1262" i="1"/>
  <c r="M1262" i="1"/>
  <c r="O1262" i="1"/>
  <c r="Q1262" i="1"/>
  <c r="P1262" i="1"/>
  <c r="S1262" i="1"/>
  <c r="T1262" i="1"/>
  <c r="V1261" i="1"/>
  <c r="U1262" i="1"/>
  <c r="W1262" i="1"/>
  <c r="X1262" i="1"/>
  <c r="AB1262" i="1"/>
  <c r="L1263" i="1"/>
  <c r="K1263" i="1"/>
  <c r="M1263" i="1"/>
  <c r="O1263" i="1"/>
  <c r="Q1263" i="1"/>
  <c r="P1263" i="1"/>
  <c r="S1263" i="1"/>
  <c r="T1263" i="1"/>
  <c r="V1262" i="1"/>
  <c r="U1263" i="1"/>
  <c r="W1263" i="1"/>
  <c r="X1263" i="1"/>
  <c r="AB1263" i="1"/>
  <c r="L1264" i="1"/>
  <c r="K1264" i="1"/>
  <c r="M1264" i="1"/>
  <c r="O1264" i="1"/>
  <c r="Q1264" i="1"/>
  <c r="P1264" i="1"/>
  <c r="S1264" i="1"/>
  <c r="T1264" i="1"/>
  <c r="V1263" i="1"/>
  <c r="U1264" i="1"/>
  <c r="W1264" i="1"/>
  <c r="X1264" i="1"/>
  <c r="AB1264" i="1"/>
  <c r="L1265" i="1"/>
  <c r="K1265" i="1"/>
  <c r="M1265" i="1"/>
  <c r="O1265" i="1"/>
  <c r="Q1265" i="1"/>
  <c r="P1265" i="1"/>
  <c r="S1265" i="1"/>
  <c r="T1265" i="1"/>
  <c r="V1264" i="1"/>
  <c r="U1265" i="1"/>
  <c r="W1265" i="1"/>
  <c r="X1265" i="1"/>
  <c r="AB1265" i="1"/>
  <c r="L1266" i="1"/>
  <c r="K1266" i="1"/>
  <c r="M1266" i="1"/>
  <c r="O1266" i="1"/>
  <c r="Q1266" i="1"/>
  <c r="P1266" i="1"/>
  <c r="S1266" i="1"/>
  <c r="T1266" i="1"/>
  <c r="V1265" i="1"/>
  <c r="U1266" i="1"/>
  <c r="W1266" i="1"/>
  <c r="X1266" i="1"/>
  <c r="AB1266" i="1"/>
  <c r="L1267" i="1"/>
  <c r="K1267" i="1"/>
  <c r="M1267" i="1"/>
  <c r="O1267" i="1"/>
  <c r="Q1267" i="1"/>
  <c r="P1267" i="1"/>
  <c r="S1267" i="1"/>
  <c r="T1267" i="1"/>
  <c r="V1266" i="1"/>
  <c r="U1267" i="1"/>
  <c r="W1267" i="1"/>
  <c r="X1267" i="1"/>
  <c r="AB1267" i="1"/>
  <c r="L1268" i="1"/>
  <c r="K1268" i="1"/>
  <c r="M1268" i="1"/>
  <c r="O1268" i="1"/>
  <c r="Q1268" i="1"/>
  <c r="P1268" i="1"/>
  <c r="S1268" i="1"/>
  <c r="T1268" i="1"/>
  <c r="V1267" i="1"/>
  <c r="U1268" i="1"/>
  <c r="W1268" i="1"/>
  <c r="X1268" i="1"/>
  <c r="AB1268" i="1"/>
  <c r="L1269" i="1"/>
  <c r="K1269" i="1"/>
  <c r="M1269" i="1"/>
  <c r="O1269" i="1"/>
  <c r="Q1269" i="1"/>
  <c r="P1269" i="1"/>
  <c r="S1269" i="1"/>
  <c r="T1269" i="1"/>
  <c r="V1268" i="1"/>
  <c r="U1269" i="1"/>
  <c r="W1269" i="1"/>
  <c r="X1269" i="1"/>
  <c r="AB1269" i="1"/>
  <c r="L1270" i="1"/>
  <c r="K1270" i="1"/>
  <c r="M1270" i="1"/>
  <c r="O1270" i="1"/>
  <c r="Q1270" i="1"/>
  <c r="P1270" i="1"/>
  <c r="S1270" i="1"/>
  <c r="T1270" i="1"/>
  <c r="V1269" i="1"/>
  <c r="U1270" i="1"/>
  <c r="W1270" i="1"/>
  <c r="X1270" i="1"/>
  <c r="AB1270" i="1"/>
  <c r="L1271" i="1"/>
  <c r="K1271" i="1"/>
  <c r="M1271" i="1"/>
  <c r="O1271" i="1"/>
  <c r="Q1271" i="1"/>
  <c r="P1271" i="1"/>
  <c r="S1271" i="1"/>
  <c r="T1271" i="1"/>
  <c r="V1270" i="1"/>
  <c r="U1271" i="1"/>
  <c r="W1271" i="1"/>
  <c r="X1271" i="1"/>
  <c r="AB1271" i="1"/>
  <c r="L1272" i="1"/>
  <c r="K1272" i="1"/>
  <c r="M1272" i="1"/>
  <c r="O1272" i="1"/>
  <c r="Q1272" i="1"/>
  <c r="P1272" i="1"/>
  <c r="S1272" i="1"/>
  <c r="T1272" i="1"/>
  <c r="V1271" i="1"/>
  <c r="U1272" i="1"/>
  <c r="W1272" i="1"/>
  <c r="X1272" i="1"/>
  <c r="AB1272" i="1"/>
  <c r="L1273" i="1"/>
  <c r="K1273" i="1"/>
  <c r="M1273" i="1"/>
  <c r="O1273" i="1"/>
  <c r="Q1273" i="1"/>
  <c r="P1273" i="1"/>
  <c r="S1273" i="1"/>
  <c r="T1273" i="1"/>
  <c r="V1272" i="1"/>
  <c r="U1273" i="1"/>
  <c r="W1273" i="1"/>
  <c r="X1273" i="1"/>
  <c r="AB1273" i="1"/>
  <c r="L1274" i="1"/>
  <c r="K1274" i="1"/>
  <c r="M1274" i="1"/>
  <c r="O1274" i="1"/>
  <c r="Q1274" i="1"/>
  <c r="P1274" i="1"/>
  <c r="S1274" i="1"/>
  <c r="T1274" i="1"/>
  <c r="V1273" i="1"/>
  <c r="U1274" i="1"/>
  <c r="W1274" i="1"/>
  <c r="X1274" i="1"/>
  <c r="AB1274" i="1"/>
  <c r="L1275" i="1"/>
  <c r="K1275" i="1"/>
  <c r="M1275" i="1"/>
  <c r="O1275" i="1"/>
  <c r="Q1275" i="1"/>
  <c r="P1275" i="1"/>
  <c r="S1275" i="1"/>
  <c r="T1275" i="1"/>
  <c r="V1274" i="1"/>
  <c r="U1275" i="1"/>
  <c r="W1275" i="1"/>
  <c r="X1275" i="1"/>
  <c r="AB1275" i="1"/>
  <c r="L1276" i="1"/>
  <c r="K1276" i="1"/>
  <c r="M1276" i="1"/>
  <c r="O1276" i="1"/>
  <c r="Q1276" i="1"/>
  <c r="P1276" i="1"/>
  <c r="S1276" i="1"/>
  <c r="T1276" i="1"/>
  <c r="V1275" i="1"/>
  <c r="U1276" i="1"/>
  <c r="W1276" i="1"/>
  <c r="X1276" i="1"/>
  <c r="AB1276" i="1"/>
  <c r="L1277" i="1"/>
  <c r="K1277" i="1"/>
  <c r="M1277" i="1"/>
  <c r="O1277" i="1"/>
  <c r="Q1277" i="1"/>
  <c r="P1277" i="1"/>
  <c r="S1277" i="1"/>
  <c r="T1277" i="1"/>
  <c r="V1276" i="1"/>
  <c r="U1277" i="1"/>
  <c r="W1277" i="1"/>
  <c r="X1277" i="1"/>
  <c r="AB1277" i="1"/>
  <c r="L1278" i="1"/>
  <c r="K1278" i="1"/>
  <c r="M1278" i="1"/>
  <c r="O1278" i="1"/>
  <c r="Q1278" i="1"/>
  <c r="P1278" i="1"/>
  <c r="S1278" i="1"/>
  <c r="T1278" i="1"/>
  <c r="V1277" i="1"/>
  <c r="U1278" i="1"/>
  <c r="W1278" i="1"/>
  <c r="X1278" i="1"/>
  <c r="AB1278" i="1"/>
  <c r="L1279" i="1"/>
  <c r="K1279" i="1"/>
  <c r="M1279" i="1"/>
  <c r="O1279" i="1"/>
  <c r="Q1279" i="1"/>
  <c r="P1279" i="1"/>
  <c r="S1279" i="1"/>
  <c r="T1279" i="1"/>
  <c r="V1278" i="1"/>
  <c r="U1279" i="1"/>
  <c r="W1279" i="1"/>
  <c r="X1279" i="1"/>
  <c r="AB1279" i="1"/>
  <c r="L1280" i="1"/>
  <c r="K1280" i="1"/>
  <c r="M1280" i="1"/>
  <c r="O1280" i="1"/>
  <c r="Q1280" i="1"/>
  <c r="P1280" i="1"/>
  <c r="S1280" i="1"/>
  <c r="T1280" i="1"/>
  <c r="V1279" i="1"/>
  <c r="U1280" i="1"/>
  <c r="W1280" i="1"/>
  <c r="X1280" i="1"/>
  <c r="AB1280" i="1"/>
  <c r="L1281" i="1"/>
  <c r="K1281" i="1"/>
  <c r="M1281" i="1"/>
  <c r="O1281" i="1"/>
  <c r="Q1281" i="1"/>
  <c r="P1281" i="1"/>
  <c r="S1281" i="1"/>
  <c r="T1281" i="1"/>
  <c r="V1280" i="1"/>
  <c r="U1281" i="1"/>
  <c r="W1281" i="1"/>
  <c r="X1281" i="1"/>
  <c r="AB1281" i="1"/>
  <c r="L1282" i="1"/>
  <c r="K1282" i="1"/>
  <c r="M1282" i="1"/>
  <c r="O1282" i="1"/>
  <c r="Q1282" i="1"/>
  <c r="P1282" i="1"/>
  <c r="S1282" i="1"/>
  <c r="T1282" i="1"/>
  <c r="V1281" i="1"/>
  <c r="U1282" i="1"/>
  <c r="W1282" i="1"/>
  <c r="X1282" i="1"/>
  <c r="AB1282" i="1"/>
  <c r="L1283" i="1"/>
  <c r="K1283" i="1"/>
  <c r="M1283" i="1"/>
  <c r="O1283" i="1"/>
  <c r="Q1283" i="1"/>
  <c r="P1283" i="1"/>
  <c r="S1283" i="1"/>
  <c r="T1283" i="1"/>
  <c r="V1282" i="1"/>
  <c r="U1283" i="1"/>
  <c r="W1283" i="1"/>
  <c r="X1283" i="1"/>
  <c r="AB1283" i="1"/>
  <c r="L1284" i="1"/>
  <c r="K1284" i="1"/>
  <c r="M1284" i="1"/>
  <c r="O1284" i="1"/>
  <c r="Q1284" i="1"/>
  <c r="P1284" i="1"/>
  <c r="S1284" i="1"/>
  <c r="T1284" i="1"/>
  <c r="V1283" i="1"/>
  <c r="U1284" i="1"/>
  <c r="W1284" i="1"/>
  <c r="X1284" i="1"/>
  <c r="AB1284" i="1"/>
  <c r="L1285" i="1"/>
  <c r="K1285" i="1"/>
  <c r="M1285" i="1"/>
  <c r="O1285" i="1"/>
  <c r="Q1285" i="1"/>
  <c r="P1285" i="1"/>
  <c r="S1285" i="1"/>
  <c r="T1285" i="1"/>
  <c r="V1284" i="1"/>
  <c r="U1285" i="1"/>
  <c r="W1285" i="1"/>
  <c r="X1285" i="1"/>
  <c r="AB1285" i="1"/>
  <c r="L1286" i="1"/>
  <c r="K1286" i="1"/>
  <c r="M1286" i="1"/>
  <c r="O1286" i="1"/>
  <c r="Q1286" i="1"/>
  <c r="P1286" i="1"/>
  <c r="S1286" i="1"/>
  <c r="T1286" i="1"/>
  <c r="V1285" i="1"/>
  <c r="U1286" i="1"/>
  <c r="W1286" i="1"/>
  <c r="X1286" i="1"/>
  <c r="AB1286" i="1"/>
  <c r="L1287" i="1"/>
  <c r="K1287" i="1"/>
  <c r="M1287" i="1"/>
  <c r="O1287" i="1"/>
  <c r="Q1287" i="1"/>
  <c r="P1287" i="1"/>
  <c r="S1287" i="1"/>
  <c r="T1287" i="1"/>
  <c r="V1286" i="1"/>
  <c r="U1287" i="1"/>
  <c r="W1287" i="1"/>
  <c r="X1287" i="1"/>
  <c r="AB1287" i="1"/>
  <c r="L1288" i="1"/>
  <c r="K1288" i="1"/>
  <c r="M1288" i="1"/>
  <c r="O1288" i="1"/>
  <c r="Q1288" i="1"/>
  <c r="P1288" i="1"/>
  <c r="S1288" i="1"/>
  <c r="T1288" i="1"/>
  <c r="V1287" i="1"/>
  <c r="U1288" i="1"/>
  <c r="W1288" i="1"/>
  <c r="X1288" i="1"/>
  <c r="AB1288" i="1"/>
  <c r="L1289" i="1"/>
  <c r="K1289" i="1"/>
  <c r="M1289" i="1"/>
  <c r="O1289" i="1"/>
  <c r="Q1289" i="1"/>
  <c r="P1289" i="1"/>
  <c r="S1289" i="1"/>
  <c r="T1289" i="1"/>
  <c r="V1288" i="1"/>
  <c r="U1289" i="1"/>
  <c r="W1289" i="1"/>
  <c r="X1289" i="1"/>
  <c r="AB1289" i="1"/>
  <c r="L1290" i="1"/>
  <c r="K1290" i="1"/>
  <c r="M1290" i="1"/>
  <c r="O1290" i="1"/>
  <c r="Q1290" i="1"/>
  <c r="P1290" i="1"/>
  <c r="S1290" i="1"/>
  <c r="T1290" i="1"/>
  <c r="V1289" i="1"/>
  <c r="U1290" i="1"/>
  <c r="W1290" i="1"/>
  <c r="X1290" i="1"/>
  <c r="AB1290" i="1"/>
  <c r="L1291" i="1"/>
  <c r="K1291" i="1"/>
  <c r="M1291" i="1"/>
  <c r="O1291" i="1"/>
  <c r="Q1291" i="1"/>
  <c r="P1291" i="1"/>
  <c r="S1291" i="1"/>
  <c r="T1291" i="1"/>
  <c r="V1290" i="1"/>
  <c r="U1291" i="1"/>
  <c r="W1291" i="1"/>
  <c r="X1291" i="1"/>
  <c r="AB1291" i="1"/>
  <c r="L1292" i="1"/>
  <c r="K1292" i="1"/>
  <c r="M1292" i="1"/>
  <c r="O1292" i="1"/>
  <c r="Q1292" i="1"/>
  <c r="P1292" i="1"/>
  <c r="S1292" i="1"/>
  <c r="T1292" i="1"/>
  <c r="V1291" i="1"/>
  <c r="U1292" i="1"/>
  <c r="W1292" i="1"/>
  <c r="X1292" i="1"/>
  <c r="AB1292" i="1"/>
  <c r="L1293" i="1"/>
  <c r="K1293" i="1"/>
  <c r="M1293" i="1"/>
  <c r="O1293" i="1"/>
  <c r="Q1293" i="1"/>
  <c r="P1293" i="1"/>
  <c r="S1293" i="1"/>
  <c r="T1293" i="1"/>
  <c r="V1292" i="1"/>
  <c r="U1293" i="1"/>
  <c r="W1293" i="1"/>
  <c r="X1293" i="1"/>
  <c r="AB1293" i="1"/>
  <c r="L1294" i="1"/>
  <c r="K1294" i="1"/>
  <c r="M1294" i="1"/>
  <c r="O1294" i="1"/>
  <c r="Q1294" i="1"/>
  <c r="P1294" i="1"/>
  <c r="S1294" i="1"/>
  <c r="T1294" i="1"/>
  <c r="V1293" i="1"/>
  <c r="U1294" i="1"/>
  <c r="W1294" i="1"/>
  <c r="X1294" i="1"/>
  <c r="AB1294" i="1"/>
  <c r="L1295" i="1"/>
  <c r="K1295" i="1"/>
  <c r="M1295" i="1"/>
  <c r="O1295" i="1"/>
  <c r="Q1295" i="1"/>
  <c r="P1295" i="1"/>
  <c r="S1295" i="1"/>
  <c r="T1295" i="1"/>
  <c r="V1294" i="1"/>
  <c r="U1295" i="1"/>
  <c r="W1295" i="1"/>
  <c r="X1295" i="1"/>
  <c r="AB1295" i="1"/>
  <c r="L1296" i="1"/>
  <c r="K1296" i="1"/>
  <c r="M1296" i="1"/>
  <c r="O1296" i="1"/>
  <c r="Q1296" i="1"/>
  <c r="P1296" i="1"/>
  <c r="S1296" i="1"/>
  <c r="T1296" i="1"/>
  <c r="V1295" i="1"/>
  <c r="U1296" i="1"/>
  <c r="W1296" i="1"/>
  <c r="X1296" i="1"/>
  <c r="AB1296" i="1"/>
  <c r="L1297" i="1"/>
  <c r="K1297" i="1"/>
  <c r="M1297" i="1"/>
  <c r="O1297" i="1"/>
  <c r="Q1297" i="1"/>
  <c r="P1297" i="1"/>
  <c r="S1297" i="1"/>
  <c r="J1297" i="1"/>
  <c r="N1297" i="1"/>
  <c r="T1297" i="1"/>
  <c r="V1296" i="1"/>
  <c r="U1297" i="1"/>
  <c r="W1297" i="1"/>
  <c r="X1297" i="1"/>
  <c r="AB1297" i="1"/>
  <c r="L1298" i="1"/>
  <c r="K1298" i="1"/>
  <c r="M1298" i="1"/>
  <c r="O1298" i="1"/>
  <c r="Q1298" i="1"/>
  <c r="P1298" i="1"/>
  <c r="S1298" i="1"/>
  <c r="T1298" i="1"/>
  <c r="V1297" i="1"/>
  <c r="U1298" i="1"/>
  <c r="W1298" i="1"/>
  <c r="X1298" i="1"/>
  <c r="AB1298" i="1"/>
  <c r="L1299" i="1"/>
  <c r="K1299" i="1"/>
  <c r="M1299" i="1"/>
  <c r="O1299" i="1"/>
  <c r="Q1299" i="1"/>
  <c r="P1299" i="1"/>
  <c r="S1299" i="1"/>
  <c r="T1299" i="1"/>
  <c r="V1298" i="1"/>
  <c r="U1299" i="1"/>
  <c r="W1299" i="1"/>
  <c r="X1299" i="1"/>
  <c r="AB1299" i="1"/>
  <c r="L1300" i="1"/>
  <c r="K1300" i="1"/>
  <c r="M1300" i="1"/>
  <c r="O1300" i="1"/>
  <c r="Q1300" i="1"/>
  <c r="P1300" i="1"/>
  <c r="S1300" i="1"/>
  <c r="T1300" i="1"/>
  <c r="V1299" i="1"/>
  <c r="U1300" i="1"/>
  <c r="W1300" i="1"/>
  <c r="X1300" i="1"/>
  <c r="AB1300" i="1"/>
  <c r="L1301" i="1"/>
  <c r="K1301" i="1"/>
  <c r="M1301" i="1"/>
  <c r="O1301" i="1"/>
  <c r="Q1301" i="1"/>
  <c r="P1301" i="1"/>
  <c r="S1301" i="1"/>
  <c r="T1301" i="1"/>
  <c r="V1300" i="1"/>
  <c r="U1301" i="1"/>
  <c r="W1301" i="1"/>
  <c r="X1301" i="1"/>
  <c r="AB1301" i="1"/>
  <c r="L1302" i="1"/>
  <c r="K1302" i="1"/>
  <c r="M1302" i="1"/>
  <c r="O1302" i="1"/>
  <c r="Q1302" i="1"/>
  <c r="P1302" i="1"/>
  <c r="S1302" i="1"/>
  <c r="T1302" i="1"/>
  <c r="V1301" i="1"/>
  <c r="U1302" i="1"/>
  <c r="W1302" i="1"/>
  <c r="X1302" i="1"/>
  <c r="AB1302" i="1"/>
  <c r="L1303" i="1"/>
  <c r="K1303" i="1"/>
  <c r="M1303" i="1"/>
  <c r="O1303" i="1"/>
  <c r="Q1303" i="1"/>
  <c r="P1303" i="1"/>
  <c r="S1303" i="1"/>
  <c r="T1303" i="1"/>
  <c r="V1302" i="1"/>
  <c r="U1303" i="1"/>
  <c r="W1303" i="1"/>
  <c r="X1303" i="1"/>
  <c r="AB1303" i="1"/>
  <c r="L1304" i="1"/>
  <c r="K1304" i="1"/>
  <c r="M1304" i="1"/>
  <c r="O1304" i="1"/>
  <c r="Q1304" i="1"/>
  <c r="P1304" i="1"/>
  <c r="S1304" i="1"/>
  <c r="T1304" i="1"/>
  <c r="V1303" i="1"/>
  <c r="U1304" i="1"/>
  <c r="W1304" i="1"/>
  <c r="X1304" i="1"/>
  <c r="AB1304" i="1"/>
  <c r="L1305" i="1"/>
  <c r="K1305" i="1"/>
  <c r="M1305" i="1"/>
  <c r="O1305" i="1"/>
  <c r="Q1305" i="1"/>
  <c r="P1305" i="1"/>
  <c r="S1305" i="1"/>
  <c r="T1305" i="1"/>
  <c r="V1304" i="1"/>
  <c r="U1305" i="1"/>
  <c r="W1305" i="1"/>
  <c r="X1305" i="1"/>
  <c r="AB1305" i="1"/>
  <c r="L1306" i="1"/>
  <c r="K1306" i="1"/>
  <c r="M1306" i="1"/>
  <c r="O1306" i="1"/>
  <c r="Q1306" i="1"/>
  <c r="P1306" i="1"/>
  <c r="S1306" i="1"/>
  <c r="T1306" i="1"/>
  <c r="V1305" i="1"/>
  <c r="U1306" i="1"/>
  <c r="W1306" i="1"/>
  <c r="X1306" i="1"/>
  <c r="AB1306" i="1"/>
  <c r="L1307" i="1"/>
  <c r="K1307" i="1"/>
  <c r="M1307" i="1"/>
  <c r="O1307" i="1"/>
  <c r="Q1307" i="1"/>
  <c r="P1307" i="1"/>
  <c r="S1307" i="1"/>
  <c r="T1307" i="1"/>
  <c r="V1306" i="1"/>
  <c r="U1307" i="1"/>
  <c r="W1307" i="1"/>
  <c r="X1307" i="1"/>
  <c r="AB1307" i="1"/>
  <c r="L1308" i="1"/>
  <c r="K1308" i="1"/>
  <c r="M1308" i="1"/>
  <c r="O1308" i="1"/>
  <c r="Q1308" i="1"/>
  <c r="P1308" i="1"/>
  <c r="S1308" i="1"/>
  <c r="T1308" i="1"/>
  <c r="V1307" i="1"/>
  <c r="U1308" i="1"/>
  <c r="W1308" i="1"/>
  <c r="X1308" i="1"/>
  <c r="AB1308" i="1"/>
  <c r="L1309" i="1"/>
  <c r="K1309" i="1"/>
  <c r="M1309" i="1"/>
  <c r="O1309" i="1"/>
  <c r="Q1309" i="1"/>
  <c r="P1309" i="1"/>
  <c r="S1309" i="1"/>
  <c r="T1309" i="1"/>
  <c r="V1308" i="1"/>
  <c r="U1309" i="1"/>
  <c r="W1309" i="1"/>
  <c r="X1309" i="1"/>
  <c r="AB1309" i="1"/>
  <c r="L1310" i="1"/>
  <c r="K1310" i="1"/>
  <c r="M1310" i="1"/>
  <c r="O1310" i="1"/>
  <c r="Q1310" i="1"/>
  <c r="P1310" i="1"/>
  <c r="S1310" i="1"/>
  <c r="T1310" i="1"/>
  <c r="V1309" i="1"/>
  <c r="U1310" i="1"/>
  <c r="W1310" i="1"/>
  <c r="X1310" i="1"/>
  <c r="AB1310" i="1"/>
  <c r="L1311" i="1"/>
  <c r="K1311" i="1"/>
  <c r="M1311" i="1"/>
  <c r="O1311" i="1"/>
  <c r="Q1311" i="1"/>
  <c r="P1311" i="1"/>
  <c r="S1311" i="1"/>
  <c r="T1311" i="1"/>
  <c r="V1310" i="1"/>
  <c r="U1311" i="1"/>
  <c r="W1311" i="1"/>
  <c r="X1311" i="1"/>
  <c r="AB1311" i="1"/>
  <c r="L1312" i="1"/>
  <c r="K1312" i="1"/>
  <c r="M1312" i="1"/>
  <c r="O1312" i="1"/>
  <c r="Q1312" i="1"/>
  <c r="P1312" i="1"/>
  <c r="S1312" i="1"/>
  <c r="T1312" i="1"/>
  <c r="V1311" i="1"/>
  <c r="U1312" i="1"/>
  <c r="W1312" i="1"/>
  <c r="X1312" i="1"/>
  <c r="AB1312" i="1"/>
  <c r="L1313" i="1"/>
  <c r="K1313" i="1"/>
  <c r="M1313" i="1"/>
  <c r="O1313" i="1"/>
  <c r="Q1313" i="1"/>
  <c r="P1313" i="1"/>
  <c r="S1313" i="1"/>
  <c r="T1313" i="1"/>
  <c r="V1312" i="1"/>
  <c r="U1313" i="1"/>
  <c r="W1313" i="1"/>
  <c r="X1313" i="1"/>
  <c r="AB1313" i="1"/>
  <c r="L1314" i="1"/>
  <c r="K1314" i="1"/>
  <c r="M1314" i="1"/>
  <c r="O1314" i="1"/>
  <c r="Q1314" i="1"/>
  <c r="P1314" i="1"/>
  <c r="S1314" i="1"/>
  <c r="T1314" i="1"/>
  <c r="V1313" i="1"/>
  <c r="U1314" i="1"/>
  <c r="W1314" i="1"/>
  <c r="X1314" i="1"/>
  <c r="AB1314" i="1"/>
  <c r="L1315" i="1"/>
  <c r="K1315" i="1"/>
  <c r="M1315" i="1"/>
  <c r="O1315" i="1"/>
  <c r="Q1315" i="1"/>
  <c r="P1315" i="1"/>
  <c r="S1315" i="1"/>
  <c r="T1315" i="1"/>
  <c r="V1314" i="1"/>
  <c r="U1315" i="1"/>
  <c r="W1315" i="1"/>
  <c r="X1315" i="1"/>
  <c r="AB1315" i="1"/>
  <c r="L1316" i="1"/>
  <c r="K1316" i="1"/>
  <c r="M1316" i="1"/>
  <c r="O1316" i="1"/>
  <c r="Q1316" i="1"/>
  <c r="P1316" i="1"/>
  <c r="S1316" i="1"/>
  <c r="T1316" i="1"/>
  <c r="V1315" i="1"/>
  <c r="U1316" i="1"/>
  <c r="W1316" i="1"/>
  <c r="X1316" i="1"/>
  <c r="AB1316" i="1"/>
  <c r="L1317" i="1"/>
  <c r="K1317" i="1"/>
  <c r="M1317" i="1"/>
  <c r="O1317" i="1"/>
  <c r="Q1317" i="1"/>
  <c r="P1317" i="1"/>
  <c r="S1317" i="1"/>
  <c r="T1317" i="1"/>
  <c r="V1316" i="1"/>
  <c r="U1317" i="1"/>
  <c r="W1317" i="1"/>
  <c r="X1317" i="1"/>
  <c r="AB1317" i="1"/>
  <c r="L1318" i="1"/>
  <c r="K1318" i="1"/>
  <c r="M1318" i="1"/>
  <c r="O1318" i="1"/>
  <c r="Q1318" i="1"/>
  <c r="P1318" i="1"/>
  <c r="S1318" i="1"/>
  <c r="T1318" i="1"/>
  <c r="V1317" i="1"/>
  <c r="U1318" i="1"/>
  <c r="W1318" i="1"/>
  <c r="X1318" i="1"/>
  <c r="AB1318" i="1"/>
  <c r="L1319" i="1"/>
  <c r="K1319" i="1"/>
  <c r="M1319" i="1"/>
  <c r="O1319" i="1"/>
  <c r="Q1319" i="1"/>
  <c r="P1319" i="1"/>
  <c r="S1319" i="1"/>
  <c r="T1319" i="1"/>
  <c r="V1318" i="1"/>
  <c r="U1319" i="1"/>
  <c r="W1319" i="1"/>
  <c r="X1319" i="1"/>
  <c r="AB1319" i="1"/>
  <c r="L1320" i="1"/>
  <c r="K1320" i="1"/>
  <c r="M1320" i="1"/>
  <c r="O1320" i="1"/>
  <c r="Q1320" i="1"/>
  <c r="P1320" i="1"/>
  <c r="S1320" i="1"/>
  <c r="T1320" i="1"/>
  <c r="V1319" i="1"/>
  <c r="U1320" i="1"/>
  <c r="W1320" i="1"/>
  <c r="X1320" i="1"/>
  <c r="AB1320" i="1"/>
  <c r="L1321" i="1"/>
  <c r="K1321" i="1"/>
  <c r="M1321" i="1"/>
  <c r="O1321" i="1"/>
  <c r="Q1321" i="1"/>
  <c r="P1321" i="1"/>
  <c r="S1321" i="1"/>
  <c r="T1321" i="1"/>
  <c r="V1320" i="1"/>
  <c r="U1321" i="1"/>
  <c r="W1321" i="1"/>
  <c r="X1321" i="1"/>
  <c r="AB1321" i="1"/>
  <c r="L1322" i="1"/>
  <c r="K1322" i="1"/>
  <c r="M1322" i="1"/>
  <c r="O1322" i="1"/>
  <c r="Q1322" i="1"/>
  <c r="P1322" i="1"/>
  <c r="S1322" i="1"/>
  <c r="T1322" i="1"/>
  <c r="V1321" i="1"/>
  <c r="U1322" i="1"/>
  <c r="W1322" i="1"/>
  <c r="X1322" i="1"/>
  <c r="AB1322" i="1"/>
  <c r="L1323" i="1"/>
  <c r="K1323" i="1"/>
  <c r="M1323" i="1"/>
  <c r="O1323" i="1"/>
  <c r="Q1323" i="1"/>
  <c r="P1323" i="1"/>
  <c r="S1323" i="1"/>
  <c r="T1323" i="1"/>
  <c r="V1322" i="1"/>
  <c r="U1323" i="1"/>
  <c r="W1323" i="1"/>
  <c r="X1323" i="1"/>
  <c r="AB1323" i="1"/>
  <c r="L1324" i="1"/>
  <c r="K1324" i="1"/>
  <c r="M1324" i="1"/>
  <c r="O1324" i="1"/>
  <c r="Q1324" i="1"/>
  <c r="P1324" i="1"/>
  <c r="S1324" i="1"/>
  <c r="T1324" i="1"/>
  <c r="V1323" i="1"/>
  <c r="U1324" i="1"/>
  <c r="W1324" i="1"/>
  <c r="X1324" i="1"/>
  <c r="AB1324" i="1"/>
  <c r="L1325" i="1"/>
  <c r="K1325" i="1"/>
  <c r="M1325" i="1"/>
  <c r="O1325" i="1"/>
  <c r="Q1325" i="1"/>
  <c r="P1325" i="1"/>
  <c r="S1325" i="1"/>
  <c r="T1325" i="1"/>
  <c r="V1324" i="1"/>
  <c r="U1325" i="1"/>
  <c r="W1325" i="1"/>
  <c r="X1325" i="1"/>
  <c r="AB1325" i="1"/>
  <c r="L1326" i="1"/>
  <c r="K1326" i="1"/>
  <c r="M1326" i="1"/>
  <c r="O1326" i="1"/>
  <c r="Q1326" i="1"/>
  <c r="P1326" i="1"/>
  <c r="S1326" i="1"/>
  <c r="T1326" i="1"/>
  <c r="V1325" i="1"/>
  <c r="U1326" i="1"/>
  <c r="W1326" i="1"/>
  <c r="X1326" i="1"/>
  <c r="AB1326" i="1"/>
  <c r="L1327" i="1"/>
  <c r="K1327" i="1"/>
  <c r="M1327" i="1"/>
  <c r="O1327" i="1"/>
  <c r="Q1327" i="1"/>
  <c r="P1327" i="1"/>
  <c r="S1327" i="1"/>
  <c r="T1327" i="1"/>
  <c r="V1326" i="1"/>
  <c r="U1327" i="1"/>
  <c r="W1327" i="1"/>
  <c r="X1327" i="1"/>
  <c r="AB1327" i="1"/>
  <c r="L1328" i="1"/>
  <c r="K1328" i="1"/>
  <c r="M1328" i="1"/>
  <c r="O1328" i="1"/>
  <c r="Q1328" i="1"/>
  <c r="P1328" i="1"/>
  <c r="S1328" i="1"/>
  <c r="T1328" i="1"/>
  <c r="V1327" i="1"/>
  <c r="U1328" i="1"/>
  <c r="W1328" i="1"/>
  <c r="X1328" i="1"/>
  <c r="AB1328" i="1"/>
  <c r="L1329" i="1"/>
  <c r="K1329" i="1"/>
  <c r="M1329" i="1"/>
  <c r="O1329" i="1"/>
  <c r="Q1329" i="1"/>
  <c r="P1329" i="1"/>
  <c r="S1329" i="1"/>
  <c r="T1329" i="1"/>
  <c r="V1328" i="1"/>
  <c r="U1329" i="1"/>
  <c r="W1329" i="1"/>
  <c r="X1329" i="1"/>
  <c r="AB1329" i="1"/>
  <c r="L1330" i="1"/>
  <c r="K1330" i="1"/>
  <c r="M1330" i="1"/>
  <c r="O1330" i="1"/>
  <c r="Q1330" i="1"/>
  <c r="P1330" i="1"/>
  <c r="S1330" i="1"/>
  <c r="T1330" i="1"/>
  <c r="V1329" i="1"/>
  <c r="U1330" i="1"/>
  <c r="W1330" i="1"/>
  <c r="X1330" i="1"/>
  <c r="AB1330" i="1"/>
  <c r="L1331" i="1"/>
  <c r="K1331" i="1"/>
  <c r="M1331" i="1"/>
  <c r="O1331" i="1"/>
  <c r="Q1331" i="1"/>
  <c r="P1331" i="1"/>
  <c r="S1331" i="1"/>
  <c r="T1331" i="1"/>
  <c r="V1330" i="1"/>
  <c r="U1331" i="1"/>
  <c r="W1331" i="1"/>
  <c r="X1331" i="1"/>
  <c r="AB1331" i="1"/>
  <c r="L1332" i="1"/>
  <c r="K1332" i="1"/>
  <c r="M1332" i="1"/>
  <c r="O1332" i="1"/>
  <c r="Q1332" i="1"/>
  <c r="P1332" i="1"/>
  <c r="S1332" i="1"/>
  <c r="T1332" i="1"/>
  <c r="V1331" i="1"/>
  <c r="U1332" i="1"/>
  <c r="W1332" i="1"/>
  <c r="X1332" i="1"/>
  <c r="AB1332" i="1"/>
  <c r="L1333" i="1"/>
  <c r="K1333" i="1"/>
  <c r="M1333" i="1"/>
  <c r="O1333" i="1"/>
  <c r="Q1333" i="1"/>
  <c r="P1333" i="1"/>
  <c r="S1333" i="1"/>
  <c r="T1333" i="1"/>
  <c r="V1332" i="1"/>
  <c r="U1333" i="1"/>
  <c r="W1333" i="1"/>
  <c r="X1333" i="1"/>
  <c r="AB1333" i="1"/>
  <c r="L1334" i="1"/>
  <c r="K1334" i="1"/>
  <c r="M1334" i="1"/>
  <c r="O1334" i="1"/>
  <c r="Q1334" i="1"/>
  <c r="P1334" i="1"/>
  <c r="S1334" i="1"/>
  <c r="T1334" i="1"/>
  <c r="V1333" i="1"/>
  <c r="U1334" i="1"/>
  <c r="W1334" i="1"/>
  <c r="X1334" i="1"/>
  <c r="AB1334" i="1"/>
  <c r="L1335" i="1"/>
  <c r="K1335" i="1"/>
  <c r="M1335" i="1"/>
  <c r="O1335" i="1"/>
  <c r="Q1335" i="1"/>
  <c r="P1335" i="1"/>
  <c r="S1335" i="1"/>
  <c r="T1335" i="1"/>
  <c r="V1334" i="1"/>
  <c r="U1335" i="1"/>
  <c r="W1335" i="1"/>
  <c r="X1335" i="1"/>
  <c r="AB1335" i="1"/>
  <c r="L1336" i="1"/>
  <c r="K1336" i="1"/>
  <c r="M1336" i="1"/>
  <c r="O1336" i="1"/>
  <c r="Q1336" i="1"/>
  <c r="P1336" i="1"/>
  <c r="S1336" i="1"/>
  <c r="T1336" i="1"/>
  <c r="V1335" i="1"/>
  <c r="U1336" i="1"/>
  <c r="W1336" i="1"/>
  <c r="X1336" i="1"/>
  <c r="AB1336" i="1"/>
  <c r="L1337" i="1"/>
  <c r="K1337" i="1"/>
  <c r="M1337" i="1"/>
  <c r="O1337" i="1"/>
  <c r="Q1337" i="1"/>
  <c r="P1337" i="1"/>
  <c r="S1337" i="1"/>
  <c r="T1337" i="1"/>
  <c r="V1336" i="1"/>
  <c r="U1337" i="1"/>
  <c r="W1337" i="1"/>
  <c r="X1337" i="1"/>
  <c r="AB1337" i="1"/>
  <c r="L1338" i="1"/>
  <c r="K1338" i="1"/>
  <c r="M1338" i="1"/>
  <c r="O1338" i="1"/>
  <c r="Q1338" i="1"/>
  <c r="P1338" i="1"/>
  <c r="S1338" i="1"/>
  <c r="T1338" i="1"/>
  <c r="V1337" i="1"/>
  <c r="U1338" i="1"/>
  <c r="W1338" i="1"/>
  <c r="X1338" i="1"/>
  <c r="AB1338" i="1"/>
  <c r="L1339" i="1"/>
  <c r="K1339" i="1"/>
  <c r="M1339" i="1"/>
  <c r="O1339" i="1"/>
  <c r="Q1339" i="1"/>
  <c r="P1339" i="1"/>
  <c r="S1339" i="1"/>
  <c r="T1339" i="1"/>
  <c r="V1338" i="1"/>
  <c r="U1339" i="1"/>
  <c r="W1339" i="1"/>
  <c r="X1339" i="1"/>
  <c r="AB1339" i="1"/>
  <c r="L1340" i="1"/>
  <c r="K1340" i="1"/>
  <c r="M1340" i="1"/>
  <c r="O1340" i="1"/>
  <c r="Q1340" i="1"/>
  <c r="P1340" i="1"/>
  <c r="S1340" i="1"/>
  <c r="T1340" i="1"/>
  <c r="V1339" i="1"/>
  <c r="U1340" i="1"/>
  <c r="W1340" i="1"/>
  <c r="X1340" i="1"/>
  <c r="AB1340" i="1"/>
  <c r="L1341" i="1"/>
  <c r="K1341" i="1"/>
  <c r="M1341" i="1"/>
  <c r="O1341" i="1"/>
  <c r="Q1341" i="1"/>
  <c r="P1341" i="1"/>
  <c r="S1341" i="1"/>
  <c r="T1341" i="1"/>
  <c r="V1340" i="1"/>
  <c r="U1341" i="1"/>
  <c r="W1341" i="1"/>
  <c r="X1341" i="1"/>
  <c r="AB1341" i="1"/>
  <c r="L1342" i="1"/>
  <c r="K1342" i="1"/>
  <c r="M1342" i="1"/>
  <c r="O1342" i="1"/>
  <c r="Q1342" i="1"/>
  <c r="P1342" i="1"/>
  <c r="S1342" i="1"/>
  <c r="T1342" i="1"/>
  <c r="V1341" i="1"/>
  <c r="U1342" i="1"/>
  <c r="W1342" i="1"/>
  <c r="X1342" i="1"/>
  <c r="AB1342" i="1"/>
  <c r="L1343" i="1"/>
  <c r="K1343" i="1"/>
  <c r="M1343" i="1"/>
  <c r="O1343" i="1"/>
  <c r="Q1343" i="1"/>
  <c r="P1343" i="1"/>
  <c r="S1343" i="1"/>
  <c r="T1343" i="1"/>
  <c r="V1342" i="1"/>
  <c r="U1343" i="1"/>
  <c r="W1343" i="1"/>
  <c r="X1343" i="1"/>
  <c r="AB1343" i="1"/>
  <c r="L1344" i="1"/>
  <c r="K1344" i="1"/>
  <c r="M1344" i="1"/>
  <c r="O1344" i="1"/>
  <c r="Q1344" i="1"/>
  <c r="P1344" i="1"/>
  <c r="S1344" i="1"/>
  <c r="T1344" i="1"/>
  <c r="V1343" i="1"/>
  <c r="U1344" i="1"/>
  <c r="W1344" i="1"/>
  <c r="X1344" i="1"/>
  <c r="AB1344" i="1"/>
  <c r="L1345" i="1"/>
  <c r="K1345" i="1"/>
  <c r="M1345" i="1"/>
  <c r="O1345" i="1"/>
  <c r="Q1345" i="1"/>
  <c r="P1345" i="1"/>
  <c r="S1345" i="1"/>
  <c r="T1345" i="1"/>
  <c r="V1344" i="1"/>
  <c r="U1345" i="1"/>
  <c r="W1345" i="1"/>
  <c r="X1345" i="1"/>
  <c r="AB1345" i="1"/>
  <c r="L1346" i="1"/>
  <c r="K1346" i="1"/>
  <c r="M1346" i="1"/>
  <c r="O1346" i="1"/>
  <c r="Q1346" i="1"/>
  <c r="P1346" i="1"/>
  <c r="S1346" i="1"/>
  <c r="T1346" i="1"/>
  <c r="V1345" i="1"/>
  <c r="U1346" i="1"/>
  <c r="W1346" i="1"/>
  <c r="X1346" i="1"/>
  <c r="AB1346" i="1"/>
  <c r="L1347" i="1"/>
  <c r="K1347" i="1"/>
  <c r="M1347" i="1"/>
  <c r="O1347" i="1"/>
  <c r="Q1347" i="1"/>
  <c r="P1347" i="1"/>
  <c r="S1347" i="1"/>
  <c r="T1347" i="1"/>
  <c r="V1346" i="1"/>
  <c r="U1347" i="1"/>
  <c r="W1347" i="1"/>
  <c r="X1347" i="1"/>
  <c r="AB1347" i="1"/>
  <c r="L1348" i="1"/>
  <c r="K1348" i="1"/>
  <c r="M1348" i="1"/>
  <c r="O1348" i="1"/>
  <c r="Q1348" i="1"/>
  <c r="P1348" i="1"/>
  <c r="S1348" i="1"/>
  <c r="T1348" i="1"/>
  <c r="V1347" i="1"/>
  <c r="U1348" i="1"/>
  <c r="W1348" i="1"/>
  <c r="X1348" i="1"/>
  <c r="AB1348" i="1"/>
  <c r="L1349" i="1"/>
  <c r="K1349" i="1"/>
  <c r="M1349" i="1"/>
  <c r="O1349" i="1"/>
  <c r="Q1349" i="1"/>
  <c r="P1349" i="1"/>
  <c r="S1349" i="1"/>
  <c r="T1349" i="1"/>
  <c r="V1348" i="1"/>
  <c r="U1349" i="1"/>
  <c r="W1349" i="1"/>
  <c r="X1349" i="1"/>
  <c r="AB1349" i="1"/>
  <c r="L1350" i="1"/>
  <c r="K1350" i="1"/>
  <c r="M1350" i="1"/>
  <c r="O1350" i="1"/>
  <c r="Q1350" i="1"/>
  <c r="P1350" i="1"/>
  <c r="S1350" i="1"/>
  <c r="T1350" i="1"/>
  <c r="V1349" i="1"/>
  <c r="U1350" i="1"/>
  <c r="W1350" i="1"/>
  <c r="X1350" i="1"/>
  <c r="AB1350" i="1"/>
  <c r="L1351" i="1"/>
  <c r="K1351" i="1"/>
  <c r="M1351" i="1"/>
  <c r="O1351" i="1"/>
  <c r="Q1351" i="1"/>
  <c r="P1351" i="1"/>
  <c r="S1351" i="1"/>
  <c r="T1351" i="1"/>
  <c r="V1350" i="1"/>
  <c r="U1351" i="1"/>
  <c r="W1351" i="1"/>
  <c r="X1351" i="1"/>
  <c r="AB1351" i="1"/>
  <c r="L1352" i="1"/>
  <c r="K1352" i="1"/>
  <c r="M1352" i="1"/>
  <c r="O1352" i="1"/>
  <c r="Q1352" i="1"/>
  <c r="P1352" i="1"/>
  <c r="S1352" i="1"/>
  <c r="T1352" i="1"/>
  <c r="V1351" i="1"/>
  <c r="U1352" i="1"/>
  <c r="W1352" i="1"/>
  <c r="X1352" i="1"/>
  <c r="AB1352" i="1"/>
  <c r="L1353" i="1"/>
  <c r="K1353" i="1"/>
  <c r="M1353" i="1"/>
  <c r="O1353" i="1"/>
  <c r="Q1353" i="1"/>
  <c r="P1353" i="1"/>
  <c r="S1353" i="1"/>
  <c r="T1353" i="1"/>
  <c r="V1352" i="1"/>
  <c r="U1353" i="1"/>
  <c r="W1353" i="1"/>
  <c r="X1353" i="1"/>
  <c r="AB1353" i="1"/>
  <c r="L1354" i="1"/>
  <c r="K1354" i="1"/>
  <c r="M1354" i="1"/>
  <c r="O1354" i="1"/>
  <c r="Q1354" i="1"/>
  <c r="P1354" i="1"/>
  <c r="S1354" i="1"/>
  <c r="T1354" i="1"/>
  <c r="V1353" i="1"/>
  <c r="U1354" i="1"/>
  <c r="W1354" i="1"/>
  <c r="X1354" i="1"/>
  <c r="AB1354" i="1"/>
  <c r="L1355" i="1"/>
  <c r="K1355" i="1"/>
  <c r="M1355" i="1"/>
  <c r="O1355" i="1"/>
  <c r="Q1355" i="1"/>
  <c r="P1355" i="1"/>
  <c r="S1355" i="1"/>
  <c r="T1355" i="1"/>
  <c r="V1354" i="1"/>
  <c r="U1355" i="1"/>
  <c r="W1355" i="1"/>
  <c r="X1355" i="1"/>
  <c r="AB1355" i="1"/>
  <c r="L1356" i="1"/>
  <c r="K1356" i="1"/>
  <c r="M1356" i="1"/>
  <c r="O1356" i="1"/>
  <c r="Q1356" i="1"/>
  <c r="P1356" i="1"/>
  <c r="S1356" i="1"/>
  <c r="T1356" i="1"/>
  <c r="V1355" i="1"/>
  <c r="U1356" i="1"/>
  <c r="W1356" i="1"/>
  <c r="X1356" i="1"/>
  <c r="AB1356" i="1"/>
  <c r="L1357" i="1"/>
  <c r="K1357" i="1"/>
  <c r="M1357" i="1"/>
  <c r="O1357" i="1"/>
  <c r="Q1357" i="1"/>
  <c r="P1357" i="1"/>
  <c r="S1357" i="1"/>
  <c r="T1357" i="1"/>
  <c r="V1356" i="1"/>
  <c r="U1357" i="1"/>
  <c r="W1357" i="1"/>
  <c r="X1357" i="1"/>
  <c r="AB1357" i="1"/>
  <c r="L1358" i="1"/>
  <c r="K1358" i="1"/>
  <c r="M1358" i="1"/>
  <c r="O1358" i="1"/>
  <c r="Q1358" i="1"/>
  <c r="P1358" i="1"/>
  <c r="S1358" i="1"/>
  <c r="T1358" i="1"/>
  <c r="V1357" i="1"/>
  <c r="U1358" i="1"/>
  <c r="W1358" i="1"/>
  <c r="X1358" i="1"/>
  <c r="AB1358" i="1"/>
  <c r="L1359" i="1"/>
  <c r="K1359" i="1"/>
  <c r="M1359" i="1"/>
  <c r="O1359" i="1"/>
  <c r="Q1359" i="1"/>
  <c r="P1359" i="1"/>
  <c r="S1359" i="1"/>
  <c r="T1359" i="1"/>
  <c r="V1358" i="1"/>
  <c r="U1359" i="1"/>
  <c r="W1359" i="1"/>
  <c r="X1359" i="1"/>
  <c r="AB1359" i="1"/>
  <c r="L1360" i="1"/>
  <c r="K1360" i="1"/>
  <c r="M1360" i="1"/>
  <c r="O1360" i="1"/>
  <c r="Q1360" i="1"/>
  <c r="P1360" i="1"/>
  <c r="S1360" i="1"/>
  <c r="J1360" i="1"/>
  <c r="N1360" i="1"/>
  <c r="T1360" i="1"/>
  <c r="V1359" i="1"/>
  <c r="U1360" i="1"/>
  <c r="W1360" i="1"/>
  <c r="X1360" i="1"/>
  <c r="AB1360" i="1"/>
  <c r="L1361" i="1"/>
  <c r="K1361" i="1"/>
  <c r="M1361" i="1"/>
  <c r="O1361" i="1"/>
  <c r="Q1361" i="1"/>
  <c r="P1361" i="1"/>
  <c r="S1361" i="1"/>
  <c r="T1361" i="1"/>
  <c r="V1360" i="1"/>
  <c r="U1361" i="1"/>
  <c r="W1361" i="1"/>
  <c r="X1361" i="1"/>
  <c r="AB1361" i="1"/>
  <c r="L1362" i="1"/>
  <c r="K1362" i="1"/>
  <c r="M1362" i="1"/>
  <c r="O1362" i="1"/>
  <c r="Q1362" i="1"/>
  <c r="P1362" i="1"/>
  <c r="S1362" i="1"/>
  <c r="T1362" i="1"/>
  <c r="V1361" i="1"/>
  <c r="U1362" i="1"/>
  <c r="W1362" i="1"/>
  <c r="X1362" i="1"/>
  <c r="AB1362" i="1"/>
  <c r="L1363" i="1"/>
  <c r="K1363" i="1"/>
  <c r="M1363" i="1"/>
  <c r="O1363" i="1"/>
  <c r="Q1363" i="1"/>
  <c r="P1363" i="1"/>
  <c r="S1363" i="1"/>
  <c r="T1363" i="1"/>
  <c r="V1362" i="1"/>
  <c r="U1363" i="1"/>
  <c r="W1363" i="1"/>
  <c r="X1363" i="1"/>
  <c r="AB1363" i="1"/>
  <c r="L1364" i="1"/>
  <c r="K1364" i="1"/>
  <c r="M1364" i="1"/>
  <c r="O1364" i="1"/>
  <c r="Q1364" i="1"/>
  <c r="P1364" i="1"/>
  <c r="S1364" i="1"/>
  <c r="T1364" i="1"/>
  <c r="V1363" i="1"/>
  <c r="U1364" i="1"/>
  <c r="W1364" i="1"/>
  <c r="X1364" i="1"/>
  <c r="AB1364" i="1"/>
  <c r="L1365" i="1"/>
  <c r="K1365" i="1"/>
  <c r="M1365" i="1"/>
  <c r="O1365" i="1"/>
  <c r="Q1365" i="1"/>
  <c r="P1365" i="1"/>
  <c r="S1365" i="1"/>
  <c r="T1365" i="1"/>
  <c r="V1364" i="1"/>
  <c r="U1365" i="1"/>
  <c r="W1365" i="1"/>
  <c r="X1365" i="1"/>
  <c r="AB1365" i="1"/>
  <c r="L1366" i="1"/>
  <c r="K1366" i="1"/>
  <c r="M1366" i="1"/>
  <c r="O1366" i="1"/>
  <c r="Q1366" i="1"/>
  <c r="P1366" i="1"/>
  <c r="S1366" i="1"/>
  <c r="T1366" i="1"/>
  <c r="V1365" i="1"/>
  <c r="U1366" i="1"/>
  <c r="W1366" i="1"/>
  <c r="X1366" i="1"/>
  <c r="AB1366" i="1"/>
  <c r="L1367" i="1"/>
  <c r="K1367" i="1"/>
  <c r="M1367" i="1"/>
  <c r="O1367" i="1"/>
  <c r="Q1367" i="1"/>
  <c r="P1367" i="1"/>
  <c r="S1367" i="1"/>
  <c r="T1367" i="1"/>
  <c r="V1366" i="1"/>
  <c r="U1367" i="1"/>
  <c r="W1367" i="1"/>
  <c r="X1367" i="1"/>
  <c r="AB1367" i="1"/>
  <c r="L1368" i="1"/>
  <c r="K1368" i="1"/>
  <c r="M1368" i="1"/>
  <c r="O1368" i="1"/>
  <c r="Q1368" i="1"/>
  <c r="P1368" i="1"/>
  <c r="S1368" i="1"/>
  <c r="T1368" i="1"/>
  <c r="V1367" i="1"/>
  <c r="U1368" i="1"/>
  <c r="W1368" i="1"/>
  <c r="X1368" i="1"/>
  <c r="AB1368" i="1"/>
  <c r="L1369" i="1"/>
  <c r="K1369" i="1"/>
  <c r="M1369" i="1"/>
  <c r="O1369" i="1"/>
  <c r="Q1369" i="1"/>
  <c r="P1369" i="1"/>
  <c r="S1369" i="1"/>
  <c r="T1369" i="1"/>
  <c r="V1368" i="1"/>
  <c r="U1369" i="1"/>
  <c r="W1369" i="1"/>
  <c r="X1369" i="1"/>
  <c r="AB1369" i="1"/>
  <c r="L1370" i="1"/>
  <c r="K1370" i="1"/>
  <c r="M1370" i="1"/>
  <c r="O1370" i="1"/>
  <c r="Q1370" i="1"/>
  <c r="P1370" i="1"/>
  <c r="S1370" i="1"/>
  <c r="T1370" i="1"/>
  <c r="V1369" i="1"/>
  <c r="U1370" i="1"/>
  <c r="W1370" i="1"/>
  <c r="X1370" i="1"/>
  <c r="AB1370" i="1"/>
  <c r="L1371" i="1"/>
  <c r="K1371" i="1"/>
  <c r="M1371" i="1"/>
  <c r="O1371" i="1"/>
  <c r="Q1371" i="1"/>
  <c r="P1371" i="1"/>
  <c r="S1371" i="1"/>
  <c r="T1371" i="1"/>
  <c r="V1370" i="1"/>
  <c r="U1371" i="1"/>
  <c r="W1371" i="1"/>
  <c r="X1371" i="1"/>
  <c r="AB1371" i="1"/>
  <c r="L1372" i="1"/>
  <c r="K1372" i="1"/>
  <c r="M1372" i="1"/>
  <c r="O1372" i="1"/>
  <c r="Q1372" i="1"/>
  <c r="P1372" i="1"/>
  <c r="S1372" i="1"/>
  <c r="T1372" i="1"/>
  <c r="V1371" i="1"/>
  <c r="U1372" i="1"/>
  <c r="W1372" i="1"/>
  <c r="X1372" i="1"/>
  <c r="AB1372" i="1"/>
  <c r="L1373" i="1"/>
  <c r="K1373" i="1"/>
  <c r="M1373" i="1"/>
  <c r="O1373" i="1"/>
  <c r="Q1373" i="1"/>
  <c r="P1373" i="1"/>
  <c r="S1373" i="1"/>
  <c r="T1373" i="1"/>
  <c r="V1372" i="1"/>
  <c r="U1373" i="1"/>
  <c r="W1373" i="1"/>
  <c r="X1373" i="1"/>
  <c r="AB1373" i="1"/>
  <c r="L1374" i="1"/>
  <c r="K1374" i="1"/>
  <c r="M1374" i="1"/>
  <c r="O1374" i="1"/>
  <c r="Q1374" i="1"/>
  <c r="P1374" i="1"/>
  <c r="S1374" i="1"/>
  <c r="T1374" i="1"/>
  <c r="V1373" i="1"/>
  <c r="U1374" i="1"/>
  <c r="W1374" i="1"/>
  <c r="X1374" i="1"/>
  <c r="AB1374" i="1"/>
  <c r="L1375" i="1"/>
  <c r="K1375" i="1"/>
  <c r="M1375" i="1"/>
  <c r="O1375" i="1"/>
  <c r="Q1375" i="1"/>
  <c r="P1375" i="1"/>
  <c r="S1375" i="1"/>
  <c r="T1375" i="1"/>
  <c r="V1374" i="1"/>
  <c r="U1375" i="1"/>
  <c r="W1375" i="1"/>
  <c r="X1375" i="1"/>
  <c r="AB1375" i="1"/>
  <c r="L1376" i="1"/>
  <c r="K1376" i="1"/>
  <c r="M1376" i="1"/>
  <c r="O1376" i="1"/>
  <c r="Q1376" i="1"/>
  <c r="P1376" i="1"/>
  <c r="S1376" i="1"/>
  <c r="T1376" i="1"/>
  <c r="V1375" i="1"/>
  <c r="U1376" i="1"/>
  <c r="W1376" i="1"/>
  <c r="X1376" i="1"/>
  <c r="AB1376" i="1"/>
  <c r="L1377" i="1"/>
  <c r="K1377" i="1"/>
  <c r="M1377" i="1"/>
  <c r="O1377" i="1"/>
  <c r="Q1377" i="1"/>
  <c r="P1377" i="1"/>
  <c r="S1377" i="1"/>
  <c r="T1377" i="1"/>
  <c r="V1376" i="1"/>
  <c r="U1377" i="1"/>
  <c r="W1377" i="1"/>
  <c r="X1377" i="1"/>
  <c r="AB1377" i="1"/>
  <c r="L1378" i="1"/>
  <c r="K1378" i="1"/>
  <c r="M1378" i="1"/>
  <c r="O1378" i="1"/>
  <c r="Q1378" i="1"/>
  <c r="P1378" i="1"/>
  <c r="S1378" i="1"/>
  <c r="T1378" i="1"/>
  <c r="V1377" i="1"/>
  <c r="U1378" i="1"/>
  <c r="W1378" i="1"/>
  <c r="X1378" i="1"/>
  <c r="AB1378" i="1"/>
  <c r="L1379" i="1"/>
  <c r="K1379" i="1"/>
  <c r="M1379" i="1"/>
  <c r="O1379" i="1"/>
  <c r="Q1379" i="1"/>
  <c r="P1379" i="1"/>
  <c r="S1379" i="1"/>
  <c r="T1379" i="1"/>
  <c r="V1378" i="1"/>
  <c r="U1379" i="1"/>
  <c r="W1379" i="1"/>
  <c r="X1379" i="1"/>
  <c r="AB1379" i="1"/>
  <c r="L1380" i="1"/>
  <c r="K1380" i="1"/>
  <c r="M1380" i="1"/>
  <c r="O1380" i="1"/>
  <c r="Q1380" i="1"/>
  <c r="P1380" i="1"/>
  <c r="S1380" i="1"/>
  <c r="T1380" i="1"/>
  <c r="V1379" i="1"/>
  <c r="U1380" i="1"/>
  <c r="W1380" i="1"/>
  <c r="X1380" i="1"/>
  <c r="AB1380" i="1"/>
  <c r="L1381" i="1"/>
  <c r="K1381" i="1"/>
  <c r="M1381" i="1"/>
  <c r="O1381" i="1"/>
  <c r="Q1381" i="1"/>
  <c r="P1381" i="1"/>
  <c r="S1381" i="1"/>
  <c r="T1381" i="1"/>
  <c r="V1380" i="1"/>
  <c r="U1381" i="1"/>
  <c r="W1381" i="1"/>
  <c r="X1381" i="1"/>
  <c r="AB1381" i="1"/>
  <c r="L1382" i="1"/>
  <c r="K1382" i="1"/>
  <c r="M1382" i="1"/>
  <c r="O1382" i="1"/>
  <c r="Q1382" i="1"/>
  <c r="P1382" i="1"/>
  <c r="S1382" i="1"/>
  <c r="T1382" i="1"/>
  <c r="V1381" i="1"/>
  <c r="U1382" i="1"/>
  <c r="W1382" i="1"/>
  <c r="X1382" i="1"/>
  <c r="AB1382" i="1"/>
  <c r="L1383" i="1"/>
  <c r="K1383" i="1"/>
  <c r="M1383" i="1"/>
  <c r="O1383" i="1"/>
  <c r="Q1383" i="1"/>
  <c r="P1383" i="1"/>
  <c r="S1383" i="1"/>
  <c r="T1383" i="1"/>
  <c r="V1382" i="1"/>
  <c r="U1383" i="1"/>
  <c r="W1383" i="1"/>
  <c r="X1383" i="1"/>
  <c r="AB1383" i="1"/>
  <c r="L1384" i="1"/>
  <c r="K1384" i="1"/>
  <c r="M1384" i="1"/>
  <c r="O1384" i="1"/>
  <c r="Q1384" i="1"/>
  <c r="P1384" i="1"/>
  <c r="S1384" i="1"/>
  <c r="T1384" i="1"/>
  <c r="V1383" i="1"/>
  <c r="U1384" i="1"/>
  <c r="W1384" i="1"/>
  <c r="X1384" i="1"/>
  <c r="AB1384" i="1"/>
  <c r="L1385" i="1"/>
  <c r="K1385" i="1"/>
  <c r="M1385" i="1"/>
  <c r="O1385" i="1"/>
  <c r="Q1385" i="1"/>
  <c r="P1385" i="1"/>
  <c r="S1385" i="1"/>
  <c r="T1385" i="1"/>
  <c r="V1384" i="1"/>
  <c r="U1385" i="1"/>
  <c r="W1385" i="1"/>
  <c r="X1385" i="1"/>
  <c r="AB1385" i="1"/>
  <c r="L1386" i="1"/>
  <c r="K1386" i="1"/>
  <c r="M1386" i="1"/>
  <c r="O1386" i="1"/>
  <c r="Q1386" i="1"/>
  <c r="P1386" i="1"/>
  <c r="S1386" i="1"/>
  <c r="T1386" i="1"/>
  <c r="V1385" i="1"/>
  <c r="U1386" i="1"/>
  <c r="W1386" i="1"/>
  <c r="X1386" i="1"/>
  <c r="AB1386" i="1"/>
  <c r="L1387" i="1"/>
  <c r="K1387" i="1"/>
  <c r="M1387" i="1"/>
  <c r="O1387" i="1"/>
  <c r="Q1387" i="1"/>
  <c r="P1387" i="1"/>
  <c r="S1387" i="1"/>
  <c r="T1387" i="1"/>
  <c r="V1386" i="1"/>
  <c r="U1387" i="1"/>
  <c r="W1387" i="1"/>
  <c r="X1387" i="1"/>
  <c r="AB1387" i="1"/>
  <c r="L1388" i="1"/>
  <c r="K1388" i="1"/>
  <c r="M1388" i="1"/>
  <c r="O1388" i="1"/>
  <c r="Q1388" i="1"/>
  <c r="P1388" i="1"/>
  <c r="S1388" i="1"/>
  <c r="T1388" i="1"/>
  <c r="V1387" i="1"/>
  <c r="U1388" i="1"/>
  <c r="W1388" i="1"/>
  <c r="X1388" i="1"/>
  <c r="AB1388" i="1"/>
  <c r="L1389" i="1"/>
  <c r="K1389" i="1"/>
  <c r="M1389" i="1"/>
  <c r="O1389" i="1"/>
  <c r="Q1389" i="1"/>
  <c r="P1389" i="1"/>
  <c r="S1389" i="1"/>
  <c r="T1389" i="1"/>
  <c r="V1388" i="1"/>
  <c r="U1389" i="1"/>
  <c r="W1389" i="1"/>
  <c r="X1389" i="1"/>
  <c r="AB1389" i="1"/>
  <c r="L1390" i="1"/>
  <c r="K1390" i="1"/>
  <c r="M1390" i="1"/>
  <c r="O1390" i="1"/>
  <c r="Q1390" i="1"/>
  <c r="P1390" i="1"/>
  <c r="S1390" i="1"/>
  <c r="T1390" i="1"/>
  <c r="V1389" i="1"/>
  <c r="U1390" i="1"/>
  <c r="W1390" i="1"/>
  <c r="X1390" i="1"/>
  <c r="AB1390" i="1"/>
  <c r="L1391" i="1"/>
  <c r="K1391" i="1"/>
  <c r="M1391" i="1"/>
  <c r="O1391" i="1"/>
  <c r="Q1391" i="1"/>
  <c r="P1391" i="1"/>
  <c r="S1391" i="1"/>
  <c r="T1391" i="1"/>
  <c r="V1390" i="1"/>
  <c r="U1391" i="1"/>
  <c r="W1391" i="1"/>
  <c r="X1391" i="1"/>
  <c r="AB1391" i="1"/>
  <c r="L1392" i="1"/>
  <c r="K1392" i="1"/>
  <c r="M1392" i="1"/>
  <c r="O1392" i="1"/>
  <c r="Q1392" i="1"/>
  <c r="P1392" i="1"/>
  <c r="S1392" i="1"/>
  <c r="T1392" i="1"/>
  <c r="V1391" i="1"/>
  <c r="U1392" i="1"/>
  <c r="W1392" i="1"/>
  <c r="X1392" i="1"/>
  <c r="AB1392" i="1"/>
  <c r="L1393" i="1"/>
  <c r="K1393" i="1"/>
  <c r="M1393" i="1"/>
  <c r="O1393" i="1"/>
  <c r="Q1393" i="1"/>
  <c r="P1393" i="1"/>
  <c r="S1393" i="1"/>
  <c r="T1393" i="1"/>
  <c r="V1392" i="1"/>
  <c r="U1393" i="1"/>
  <c r="W1393" i="1"/>
  <c r="X1393" i="1"/>
  <c r="AB1393" i="1"/>
  <c r="L1394" i="1"/>
  <c r="K1394" i="1"/>
  <c r="M1394" i="1"/>
  <c r="O1394" i="1"/>
  <c r="Q1394" i="1"/>
  <c r="P1394" i="1"/>
  <c r="S1394" i="1"/>
  <c r="T1394" i="1"/>
  <c r="V1393" i="1"/>
  <c r="U1394" i="1"/>
  <c r="W1394" i="1"/>
  <c r="X1394" i="1"/>
  <c r="AB1394" i="1"/>
  <c r="L1395" i="1"/>
  <c r="K1395" i="1"/>
  <c r="M1395" i="1"/>
  <c r="O1395" i="1"/>
  <c r="Q1395" i="1"/>
  <c r="P1395" i="1"/>
  <c r="S1395" i="1"/>
  <c r="T1395" i="1"/>
  <c r="V1394" i="1"/>
  <c r="U1395" i="1"/>
  <c r="W1395" i="1"/>
  <c r="X1395" i="1"/>
  <c r="AB1395" i="1"/>
  <c r="L1396" i="1"/>
  <c r="K1396" i="1"/>
  <c r="M1396" i="1"/>
  <c r="O1396" i="1"/>
  <c r="Q1396" i="1"/>
  <c r="P1396" i="1"/>
  <c r="S1396" i="1"/>
  <c r="T1396" i="1"/>
  <c r="V1395" i="1"/>
  <c r="U1396" i="1"/>
  <c r="W1396" i="1"/>
  <c r="X1396" i="1"/>
  <c r="AB1396" i="1"/>
  <c r="L1397" i="1"/>
  <c r="K1397" i="1"/>
  <c r="M1397" i="1"/>
  <c r="O1397" i="1"/>
  <c r="Q1397" i="1"/>
  <c r="P1397" i="1"/>
  <c r="S1397" i="1"/>
  <c r="T1397" i="1"/>
  <c r="V1396" i="1"/>
  <c r="U1397" i="1"/>
  <c r="W1397" i="1"/>
  <c r="X1397" i="1"/>
  <c r="AB1397" i="1"/>
  <c r="L1398" i="1"/>
  <c r="K1398" i="1"/>
  <c r="M1398" i="1"/>
  <c r="O1398" i="1"/>
  <c r="Q1398" i="1"/>
  <c r="P1398" i="1"/>
  <c r="S1398" i="1"/>
  <c r="T1398" i="1"/>
  <c r="V1397" i="1"/>
  <c r="U1398" i="1"/>
  <c r="W1398" i="1"/>
  <c r="X1398" i="1"/>
  <c r="AB1398" i="1"/>
  <c r="L1399" i="1"/>
  <c r="K1399" i="1"/>
  <c r="M1399" i="1"/>
  <c r="O1399" i="1"/>
  <c r="Q1399" i="1"/>
  <c r="P1399" i="1"/>
  <c r="S1399" i="1"/>
  <c r="T1399" i="1"/>
  <c r="V1398" i="1"/>
  <c r="U1399" i="1"/>
  <c r="W1399" i="1"/>
  <c r="X1399" i="1"/>
  <c r="AB1399" i="1"/>
  <c r="L1400" i="1"/>
  <c r="K1400" i="1"/>
  <c r="M1400" i="1"/>
  <c r="O1400" i="1"/>
  <c r="Q1400" i="1"/>
  <c r="P1400" i="1"/>
  <c r="S1400" i="1"/>
  <c r="T1400" i="1"/>
  <c r="V1399" i="1"/>
  <c r="U1400" i="1"/>
  <c r="W1400" i="1"/>
  <c r="X1400" i="1"/>
  <c r="AB1400" i="1"/>
  <c r="L1401" i="1"/>
  <c r="K1401" i="1"/>
  <c r="M1401" i="1"/>
  <c r="O1401" i="1"/>
  <c r="Q1401" i="1"/>
  <c r="P1401" i="1"/>
  <c r="S1401" i="1"/>
  <c r="T1401" i="1"/>
  <c r="V1400" i="1"/>
  <c r="U1401" i="1"/>
  <c r="W1401" i="1"/>
  <c r="X1401" i="1"/>
  <c r="AB1401" i="1"/>
  <c r="L1402" i="1"/>
  <c r="K1402" i="1"/>
  <c r="M1402" i="1"/>
  <c r="O1402" i="1"/>
  <c r="Q1402" i="1"/>
  <c r="P1402" i="1"/>
  <c r="S1402" i="1"/>
  <c r="T1402" i="1"/>
  <c r="V1401" i="1"/>
  <c r="U1402" i="1"/>
  <c r="W1402" i="1"/>
  <c r="X1402" i="1"/>
  <c r="AB1402" i="1"/>
  <c r="L1403" i="1"/>
  <c r="K1403" i="1"/>
  <c r="M1403" i="1"/>
  <c r="O1403" i="1"/>
  <c r="Q1403" i="1"/>
  <c r="P1403" i="1"/>
  <c r="S1403" i="1"/>
  <c r="T1403" i="1"/>
  <c r="V1402" i="1"/>
  <c r="U1403" i="1"/>
  <c r="W1403" i="1"/>
  <c r="X1403" i="1"/>
  <c r="AB1403" i="1"/>
  <c r="L1404" i="1"/>
  <c r="K1404" i="1"/>
  <c r="M1404" i="1"/>
  <c r="O1404" i="1"/>
  <c r="Q1404" i="1"/>
  <c r="P1404" i="1"/>
  <c r="S1404" i="1"/>
  <c r="T1404" i="1"/>
  <c r="V1403" i="1"/>
  <c r="U1404" i="1"/>
  <c r="W1404" i="1"/>
  <c r="X1404" i="1"/>
  <c r="AB1404" i="1"/>
  <c r="L1405" i="1"/>
  <c r="K1405" i="1"/>
  <c r="M1405" i="1"/>
  <c r="O1405" i="1"/>
  <c r="Q1405" i="1"/>
  <c r="P1405" i="1"/>
  <c r="S1405" i="1"/>
  <c r="T1405" i="1"/>
  <c r="V1404" i="1"/>
  <c r="U1405" i="1"/>
  <c r="W1405" i="1"/>
  <c r="X1405" i="1"/>
  <c r="AB1405" i="1"/>
  <c r="L1406" i="1"/>
  <c r="K1406" i="1"/>
  <c r="M1406" i="1"/>
  <c r="O1406" i="1"/>
  <c r="Q1406" i="1"/>
  <c r="P1406" i="1"/>
  <c r="S1406" i="1"/>
  <c r="T1406" i="1"/>
  <c r="V1405" i="1"/>
  <c r="U1406" i="1"/>
  <c r="W1406" i="1"/>
  <c r="X1406" i="1"/>
  <c r="AB1406" i="1"/>
  <c r="L1407" i="1"/>
  <c r="K1407" i="1"/>
  <c r="M1407" i="1"/>
  <c r="O1407" i="1"/>
  <c r="Q1407" i="1"/>
  <c r="P1407" i="1"/>
  <c r="S1407" i="1"/>
  <c r="T1407" i="1"/>
  <c r="V1406" i="1"/>
  <c r="U1407" i="1"/>
  <c r="W1407" i="1"/>
  <c r="X1407" i="1"/>
  <c r="AB1407" i="1"/>
  <c r="L1408" i="1"/>
  <c r="K1408" i="1"/>
  <c r="M1408" i="1"/>
  <c r="O1408" i="1"/>
  <c r="Q1408" i="1"/>
  <c r="P1408" i="1"/>
  <c r="S1408" i="1"/>
  <c r="T1408" i="1"/>
  <c r="V1407" i="1"/>
  <c r="U1408" i="1"/>
  <c r="W1408" i="1"/>
  <c r="X1408" i="1"/>
  <c r="AB1408" i="1"/>
  <c r="L1409" i="1"/>
  <c r="K1409" i="1"/>
  <c r="M1409" i="1"/>
  <c r="O1409" i="1"/>
  <c r="Q1409" i="1"/>
  <c r="P1409" i="1"/>
  <c r="S1409" i="1"/>
  <c r="T1409" i="1"/>
  <c r="V1408" i="1"/>
  <c r="U1409" i="1"/>
  <c r="W1409" i="1"/>
  <c r="X1409" i="1"/>
  <c r="AB1409" i="1"/>
  <c r="L1410" i="1"/>
  <c r="K1410" i="1"/>
  <c r="M1410" i="1"/>
  <c r="O1410" i="1"/>
  <c r="Q1410" i="1"/>
  <c r="P1410" i="1"/>
  <c r="S1410" i="1"/>
  <c r="T1410" i="1"/>
  <c r="V1409" i="1"/>
  <c r="U1410" i="1"/>
  <c r="W1410" i="1"/>
  <c r="X1410" i="1"/>
  <c r="AB1410" i="1"/>
  <c r="L1411" i="1"/>
  <c r="K1411" i="1"/>
  <c r="M1411" i="1"/>
  <c r="O1411" i="1"/>
  <c r="Q1411" i="1"/>
  <c r="P1411" i="1"/>
  <c r="S1411" i="1"/>
  <c r="T1411" i="1"/>
  <c r="V1410" i="1"/>
  <c r="U1411" i="1"/>
  <c r="W1411" i="1"/>
  <c r="X1411" i="1"/>
  <c r="AB1411" i="1"/>
  <c r="L1412" i="1"/>
  <c r="K1412" i="1"/>
  <c r="M1412" i="1"/>
  <c r="O1412" i="1"/>
  <c r="Q1412" i="1"/>
  <c r="P1412" i="1"/>
  <c r="S1412" i="1"/>
  <c r="T1412" i="1"/>
  <c r="V1411" i="1"/>
  <c r="U1412" i="1"/>
  <c r="W1412" i="1"/>
  <c r="X1412" i="1"/>
  <c r="AB1412" i="1"/>
  <c r="L1413" i="1"/>
  <c r="K1413" i="1"/>
  <c r="M1413" i="1"/>
  <c r="O1413" i="1"/>
  <c r="Q1413" i="1"/>
  <c r="P1413" i="1"/>
  <c r="S1413" i="1"/>
  <c r="J1413" i="1"/>
  <c r="N1413" i="1"/>
  <c r="T1413" i="1"/>
  <c r="V1412" i="1"/>
  <c r="U1413" i="1"/>
  <c r="W1413" i="1"/>
  <c r="X1413" i="1"/>
  <c r="AB1413" i="1"/>
  <c r="L1414" i="1"/>
  <c r="K1414" i="1"/>
  <c r="M1414" i="1"/>
  <c r="O1414" i="1"/>
  <c r="Q1414" i="1"/>
  <c r="P1414" i="1"/>
  <c r="S1414" i="1"/>
  <c r="T1414" i="1"/>
  <c r="V1413" i="1"/>
  <c r="U1414" i="1"/>
  <c r="W1414" i="1"/>
  <c r="X1414" i="1"/>
  <c r="AB1414" i="1"/>
  <c r="L1415" i="1"/>
  <c r="K1415" i="1"/>
  <c r="M1415" i="1"/>
  <c r="O1415" i="1"/>
  <c r="Q1415" i="1"/>
  <c r="P1415" i="1"/>
  <c r="S1415" i="1"/>
  <c r="T1415" i="1"/>
  <c r="V1414" i="1"/>
  <c r="U1415" i="1"/>
  <c r="W1415" i="1"/>
  <c r="X1415" i="1"/>
  <c r="AB1415" i="1"/>
  <c r="L1416" i="1"/>
  <c r="K1416" i="1"/>
  <c r="M1416" i="1"/>
  <c r="O1416" i="1"/>
  <c r="Q1416" i="1"/>
  <c r="P1416" i="1"/>
  <c r="S1416" i="1"/>
  <c r="T1416" i="1"/>
  <c r="V1415" i="1"/>
  <c r="U1416" i="1"/>
  <c r="W1416" i="1"/>
  <c r="X1416" i="1"/>
  <c r="AB1416" i="1"/>
  <c r="L1417" i="1"/>
  <c r="K1417" i="1"/>
  <c r="M1417" i="1"/>
  <c r="O1417" i="1"/>
  <c r="Q1417" i="1"/>
  <c r="P1417" i="1"/>
  <c r="S1417" i="1"/>
  <c r="T1417" i="1"/>
  <c r="V1416" i="1"/>
  <c r="U1417" i="1"/>
  <c r="W1417" i="1"/>
  <c r="X1417" i="1"/>
  <c r="AB1417" i="1"/>
  <c r="L1418" i="1"/>
  <c r="K1418" i="1"/>
  <c r="M1418" i="1"/>
  <c r="O1418" i="1"/>
  <c r="Q1418" i="1"/>
  <c r="P1418" i="1"/>
  <c r="S1418" i="1"/>
  <c r="T1418" i="1"/>
  <c r="V1417" i="1"/>
  <c r="U1418" i="1"/>
  <c r="W1418" i="1"/>
  <c r="X1418" i="1"/>
  <c r="AB1418" i="1"/>
  <c r="L1419" i="1"/>
  <c r="K1419" i="1"/>
  <c r="M1419" i="1"/>
  <c r="O1419" i="1"/>
  <c r="Q1419" i="1"/>
  <c r="P1419" i="1"/>
  <c r="S1419" i="1"/>
  <c r="T1419" i="1"/>
  <c r="V1418" i="1"/>
  <c r="U1419" i="1"/>
  <c r="W1419" i="1"/>
  <c r="X1419" i="1"/>
  <c r="AB1419" i="1"/>
  <c r="L1420" i="1"/>
  <c r="K1420" i="1"/>
  <c r="M1420" i="1"/>
  <c r="O1420" i="1"/>
  <c r="Q1420" i="1"/>
  <c r="P1420" i="1"/>
  <c r="S1420" i="1"/>
  <c r="T1420" i="1"/>
  <c r="V1419" i="1"/>
  <c r="U1420" i="1"/>
  <c r="W1420" i="1"/>
  <c r="X1420" i="1"/>
  <c r="AB1420" i="1"/>
  <c r="L1421" i="1"/>
  <c r="K1421" i="1"/>
  <c r="M1421" i="1"/>
  <c r="O1421" i="1"/>
  <c r="Q1421" i="1"/>
  <c r="P1421" i="1"/>
  <c r="S1421" i="1"/>
  <c r="T1421" i="1"/>
  <c r="V1420" i="1"/>
  <c r="U1421" i="1"/>
  <c r="W1421" i="1"/>
  <c r="X1421" i="1"/>
  <c r="AB1421" i="1"/>
  <c r="L1422" i="1"/>
  <c r="K1422" i="1"/>
  <c r="M1422" i="1"/>
  <c r="O1422" i="1"/>
  <c r="Q1422" i="1"/>
  <c r="P1422" i="1"/>
  <c r="S1422" i="1"/>
  <c r="T1422" i="1"/>
  <c r="V1421" i="1"/>
  <c r="U1422" i="1"/>
  <c r="W1422" i="1"/>
  <c r="X1422" i="1"/>
  <c r="AB1422" i="1"/>
  <c r="L1423" i="1"/>
  <c r="K1423" i="1"/>
  <c r="M1423" i="1"/>
  <c r="O1423" i="1"/>
  <c r="Q1423" i="1"/>
  <c r="P1423" i="1"/>
  <c r="S1423" i="1"/>
  <c r="T1423" i="1"/>
  <c r="V1422" i="1"/>
  <c r="U1423" i="1"/>
  <c r="W1423" i="1"/>
  <c r="X1423" i="1"/>
  <c r="AB1423" i="1"/>
  <c r="L1424" i="1"/>
  <c r="K1424" i="1"/>
  <c r="M1424" i="1"/>
  <c r="O1424" i="1"/>
  <c r="Q1424" i="1"/>
  <c r="P1424" i="1"/>
  <c r="S1424" i="1"/>
  <c r="T1424" i="1"/>
  <c r="V1423" i="1"/>
  <c r="U1424" i="1"/>
  <c r="W1424" i="1"/>
  <c r="X1424" i="1"/>
  <c r="AB1424" i="1"/>
  <c r="L1425" i="1"/>
  <c r="K1425" i="1"/>
  <c r="M1425" i="1"/>
  <c r="O1425" i="1"/>
  <c r="Q1425" i="1"/>
  <c r="P1425" i="1"/>
  <c r="S1425" i="1"/>
  <c r="T1425" i="1"/>
  <c r="V1424" i="1"/>
  <c r="U1425" i="1"/>
  <c r="W1425" i="1"/>
  <c r="X1425" i="1"/>
  <c r="AB1425" i="1"/>
  <c r="L1426" i="1"/>
  <c r="K1426" i="1"/>
  <c r="M1426" i="1"/>
  <c r="O1426" i="1"/>
  <c r="Q1426" i="1"/>
  <c r="P1426" i="1"/>
  <c r="S1426" i="1"/>
  <c r="T1426" i="1"/>
  <c r="V1425" i="1"/>
  <c r="U1426" i="1"/>
  <c r="W1426" i="1"/>
  <c r="X1426" i="1"/>
  <c r="AB1426" i="1"/>
  <c r="L1427" i="1"/>
  <c r="K1427" i="1"/>
  <c r="M1427" i="1"/>
  <c r="O1427" i="1"/>
  <c r="Q1427" i="1"/>
  <c r="P1427" i="1"/>
  <c r="S1427" i="1"/>
  <c r="T1427" i="1"/>
  <c r="V1426" i="1"/>
  <c r="U1427" i="1"/>
  <c r="W1427" i="1"/>
  <c r="X1427" i="1"/>
  <c r="AB1427" i="1"/>
  <c r="L1428" i="1"/>
  <c r="K1428" i="1"/>
  <c r="M1428" i="1"/>
  <c r="O1428" i="1"/>
  <c r="Q1428" i="1"/>
  <c r="P1428" i="1"/>
  <c r="S1428" i="1"/>
  <c r="T1428" i="1"/>
  <c r="V1427" i="1"/>
  <c r="U1428" i="1"/>
  <c r="W1428" i="1"/>
  <c r="X1428" i="1"/>
  <c r="AB1428" i="1"/>
  <c r="L1429" i="1"/>
  <c r="K1429" i="1"/>
  <c r="M1429" i="1"/>
  <c r="O1429" i="1"/>
  <c r="Q1429" i="1"/>
  <c r="P1429" i="1"/>
  <c r="S1429" i="1"/>
  <c r="T1429" i="1"/>
  <c r="V1428" i="1"/>
  <c r="U1429" i="1"/>
  <c r="W1429" i="1"/>
  <c r="X1429" i="1"/>
  <c r="AB1429" i="1"/>
  <c r="L1430" i="1"/>
  <c r="K1430" i="1"/>
  <c r="M1430" i="1"/>
  <c r="O1430" i="1"/>
  <c r="Q1430" i="1"/>
  <c r="P1430" i="1"/>
  <c r="S1430" i="1"/>
  <c r="T1430" i="1"/>
  <c r="V1429" i="1"/>
  <c r="U1430" i="1"/>
  <c r="W1430" i="1"/>
  <c r="X1430" i="1"/>
  <c r="AB1430" i="1"/>
  <c r="L1431" i="1"/>
  <c r="K1431" i="1"/>
  <c r="M1431" i="1"/>
  <c r="O1431" i="1"/>
  <c r="Q1431" i="1"/>
  <c r="P1431" i="1"/>
  <c r="S1431" i="1"/>
  <c r="T1431" i="1"/>
  <c r="V1430" i="1"/>
  <c r="U1431" i="1"/>
  <c r="W1431" i="1"/>
  <c r="X1431" i="1"/>
  <c r="AB1431" i="1"/>
  <c r="L1432" i="1"/>
  <c r="K1432" i="1"/>
  <c r="M1432" i="1"/>
  <c r="O1432" i="1"/>
  <c r="Q1432" i="1"/>
  <c r="P1432" i="1"/>
  <c r="S1432" i="1"/>
  <c r="T1432" i="1"/>
  <c r="V1431" i="1"/>
  <c r="U1432" i="1"/>
  <c r="W1432" i="1"/>
  <c r="X1432" i="1"/>
  <c r="AB1432" i="1"/>
  <c r="L1433" i="1"/>
  <c r="K1433" i="1"/>
  <c r="M1433" i="1"/>
  <c r="O1433" i="1"/>
  <c r="Q1433" i="1"/>
  <c r="P1433" i="1"/>
  <c r="S1433" i="1"/>
  <c r="T1433" i="1"/>
  <c r="V1432" i="1"/>
  <c r="U1433" i="1"/>
  <c r="W1433" i="1"/>
  <c r="X1433" i="1"/>
  <c r="AB1433" i="1"/>
  <c r="L1434" i="1"/>
  <c r="K1434" i="1"/>
  <c r="M1434" i="1"/>
  <c r="O1434" i="1"/>
  <c r="Q1434" i="1"/>
  <c r="P1434" i="1"/>
  <c r="S1434" i="1"/>
  <c r="T1434" i="1"/>
  <c r="V1433" i="1"/>
  <c r="U1434" i="1"/>
  <c r="W1434" i="1"/>
  <c r="X1434" i="1"/>
  <c r="AB1434" i="1"/>
  <c r="L1435" i="1"/>
  <c r="K1435" i="1"/>
  <c r="M1435" i="1"/>
  <c r="O1435" i="1"/>
  <c r="Q1435" i="1"/>
  <c r="P1435" i="1"/>
  <c r="S1435" i="1"/>
  <c r="T1435" i="1"/>
  <c r="V1434" i="1"/>
  <c r="U1435" i="1"/>
  <c r="W1435" i="1"/>
  <c r="X1435" i="1"/>
  <c r="AB1435" i="1"/>
  <c r="L1436" i="1"/>
  <c r="K1436" i="1"/>
  <c r="M1436" i="1"/>
  <c r="O1436" i="1"/>
  <c r="Q1436" i="1"/>
  <c r="P1436" i="1"/>
  <c r="S1436" i="1"/>
  <c r="T1436" i="1"/>
  <c r="V1435" i="1"/>
  <c r="U1436" i="1"/>
  <c r="W1436" i="1"/>
  <c r="X1436" i="1"/>
  <c r="AB1436" i="1"/>
  <c r="L1437" i="1"/>
  <c r="K1437" i="1"/>
  <c r="M1437" i="1"/>
  <c r="O1437" i="1"/>
  <c r="Q1437" i="1"/>
  <c r="P1437" i="1"/>
  <c r="S1437" i="1"/>
  <c r="T1437" i="1"/>
  <c r="V1436" i="1"/>
  <c r="U1437" i="1"/>
  <c r="W1437" i="1"/>
  <c r="X1437" i="1"/>
  <c r="AB1437" i="1"/>
  <c r="L1438" i="1"/>
  <c r="K1438" i="1"/>
  <c r="M1438" i="1"/>
  <c r="O1438" i="1"/>
  <c r="Q1438" i="1"/>
  <c r="P1438" i="1"/>
  <c r="S1438" i="1"/>
  <c r="T1438" i="1"/>
  <c r="V1437" i="1"/>
  <c r="U1438" i="1"/>
  <c r="W1438" i="1"/>
  <c r="X1438" i="1"/>
  <c r="AB1438" i="1"/>
  <c r="L1439" i="1"/>
  <c r="K1439" i="1"/>
  <c r="M1439" i="1"/>
  <c r="O1439" i="1"/>
  <c r="Q1439" i="1"/>
  <c r="P1439" i="1"/>
  <c r="S1439" i="1"/>
  <c r="T1439" i="1"/>
  <c r="V1438" i="1"/>
  <c r="U1439" i="1"/>
  <c r="W1439" i="1"/>
  <c r="X1439" i="1"/>
  <c r="AB1439" i="1"/>
  <c r="L1440" i="1"/>
  <c r="K1440" i="1"/>
  <c r="M1440" i="1"/>
  <c r="O1440" i="1"/>
  <c r="Q1440" i="1"/>
  <c r="P1440" i="1"/>
  <c r="S1440" i="1"/>
  <c r="T1440" i="1"/>
  <c r="V1439" i="1"/>
  <c r="U1440" i="1"/>
  <c r="W1440" i="1"/>
  <c r="X1440" i="1"/>
  <c r="AB1440" i="1"/>
  <c r="L1441" i="1"/>
  <c r="K1441" i="1"/>
  <c r="M1441" i="1"/>
  <c r="O1441" i="1"/>
  <c r="Q1441" i="1"/>
  <c r="P1441" i="1"/>
  <c r="S1441" i="1"/>
  <c r="T1441" i="1"/>
  <c r="V1440" i="1"/>
  <c r="U1441" i="1"/>
  <c r="W1441" i="1"/>
  <c r="X1441" i="1"/>
  <c r="AB1441" i="1"/>
  <c r="L1442" i="1"/>
  <c r="K1442" i="1"/>
  <c r="M1442" i="1"/>
  <c r="O1442" i="1"/>
  <c r="Q1442" i="1"/>
  <c r="P1442" i="1"/>
  <c r="S1442" i="1"/>
  <c r="T1442" i="1"/>
  <c r="V1441" i="1"/>
  <c r="U1442" i="1"/>
  <c r="W1442" i="1"/>
  <c r="X1442" i="1"/>
  <c r="AB1442" i="1"/>
  <c r="L1443" i="1"/>
  <c r="K1443" i="1"/>
  <c r="M1443" i="1"/>
  <c r="O1443" i="1"/>
  <c r="Q1443" i="1"/>
  <c r="P1443" i="1"/>
  <c r="S1443" i="1"/>
  <c r="T1443" i="1"/>
  <c r="V1442" i="1"/>
  <c r="U1443" i="1"/>
  <c r="W1443" i="1"/>
  <c r="X1443" i="1"/>
  <c r="AB1443" i="1"/>
  <c r="L1444" i="1"/>
  <c r="K1444" i="1"/>
  <c r="M1444" i="1"/>
  <c r="O1444" i="1"/>
  <c r="Q1444" i="1"/>
  <c r="P1444" i="1"/>
  <c r="S1444" i="1"/>
  <c r="T1444" i="1"/>
  <c r="V1443" i="1"/>
  <c r="U1444" i="1"/>
  <c r="W1444" i="1"/>
  <c r="X1444" i="1"/>
  <c r="AB1444" i="1"/>
  <c r="L1445" i="1"/>
  <c r="K1445" i="1"/>
  <c r="M1445" i="1"/>
  <c r="O1445" i="1"/>
  <c r="Q1445" i="1"/>
  <c r="P1445" i="1"/>
  <c r="S1445" i="1"/>
  <c r="T1445" i="1"/>
  <c r="V1444" i="1"/>
  <c r="U1445" i="1"/>
  <c r="W1445" i="1"/>
  <c r="X1445" i="1"/>
  <c r="AB1445" i="1"/>
  <c r="L1446" i="1"/>
  <c r="K1446" i="1"/>
  <c r="M1446" i="1"/>
  <c r="O1446" i="1"/>
  <c r="Q1446" i="1"/>
  <c r="P1446" i="1"/>
  <c r="S1446" i="1"/>
  <c r="T1446" i="1"/>
  <c r="V1445" i="1"/>
  <c r="U1446" i="1"/>
  <c r="W1446" i="1"/>
  <c r="X1446" i="1"/>
  <c r="AB1446" i="1"/>
  <c r="L1447" i="1"/>
  <c r="K1447" i="1"/>
  <c r="M1447" i="1"/>
  <c r="O1447" i="1"/>
  <c r="Q1447" i="1"/>
  <c r="P1447" i="1"/>
  <c r="S1447" i="1"/>
  <c r="T1447" i="1"/>
  <c r="V1446" i="1"/>
  <c r="U1447" i="1"/>
  <c r="W1447" i="1"/>
  <c r="X1447" i="1"/>
  <c r="AB1447" i="1"/>
  <c r="L1448" i="1"/>
  <c r="K1448" i="1"/>
  <c r="M1448" i="1"/>
  <c r="O1448" i="1"/>
  <c r="Q1448" i="1"/>
  <c r="P1448" i="1"/>
  <c r="S1448" i="1"/>
  <c r="T1448" i="1"/>
  <c r="V1447" i="1"/>
  <c r="U1448" i="1"/>
  <c r="W1448" i="1"/>
  <c r="X1448" i="1"/>
  <c r="AB1448" i="1"/>
  <c r="L1449" i="1"/>
  <c r="K1449" i="1"/>
  <c r="M1449" i="1"/>
  <c r="O1449" i="1"/>
  <c r="Q1449" i="1"/>
  <c r="P1449" i="1"/>
  <c r="S1449" i="1"/>
  <c r="T1449" i="1"/>
  <c r="V1448" i="1"/>
  <c r="U1449" i="1"/>
  <c r="W1449" i="1"/>
  <c r="X1449" i="1"/>
  <c r="AB1449" i="1"/>
  <c r="L1450" i="1"/>
  <c r="K1450" i="1"/>
  <c r="M1450" i="1"/>
  <c r="O1450" i="1"/>
  <c r="Q1450" i="1"/>
  <c r="P1450" i="1"/>
  <c r="S1450" i="1"/>
  <c r="T1450" i="1"/>
  <c r="V1449" i="1"/>
  <c r="U1450" i="1"/>
  <c r="W1450" i="1"/>
  <c r="X1450" i="1"/>
  <c r="AB1450" i="1"/>
  <c r="L1451" i="1"/>
  <c r="K1451" i="1"/>
  <c r="M1451" i="1"/>
  <c r="O1451" i="1"/>
  <c r="Q1451" i="1"/>
  <c r="P1451" i="1"/>
  <c r="S1451" i="1"/>
  <c r="T1451" i="1"/>
  <c r="V1450" i="1"/>
  <c r="U1451" i="1"/>
  <c r="W1451" i="1"/>
  <c r="X1451" i="1"/>
  <c r="AB1451" i="1"/>
  <c r="L1452" i="1"/>
  <c r="K1452" i="1"/>
  <c r="M1452" i="1"/>
  <c r="O1452" i="1"/>
  <c r="Q1452" i="1"/>
  <c r="P1452" i="1"/>
  <c r="S1452" i="1"/>
  <c r="T1452" i="1"/>
  <c r="V1451" i="1"/>
  <c r="U1452" i="1"/>
  <c r="W1452" i="1"/>
  <c r="X1452" i="1"/>
  <c r="AB1452" i="1"/>
  <c r="L1453" i="1"/>
  <c r="K1453" i="1"/>
  <c r="M1453" i="1"/>
  <c r="O1453" i="1"/>
  <c r="Q1453" i="1"/>
  <c r="P1453" i="1"/>
  <c r="S1453" i="1"/>
  <c r="T1453" i="1"/>
  <c r="V1452" i="1"/>
  <c r="U1453" i="1"/>
  <c r="W1453" i="1"/>
  <c r="X1453" i="1"/>
  <c r="AB1453" i="1"/>
  <c r="L1454" i="1"/>
  <c r="K1454" i="1"/>
  <c r="M1454" i="1"/>
  <c r="O1454" i="1"/>
  <c r="Q1454" i="1"/>
  <c r="P1454" i="1"/>
  <c r="S1454" i="1"/>
  <c r="T1454" i="1"/>
  <c r="V1453" i="1"/>
  <c r="U1454" i="1"/>
  <c r="W1454" i="1"/>
  <c r="X1454" i="1"/>
  <c r="AB1454" i="1"/>
  <c r="L1455" i="1"/>
  <c r="K1455" i="1"/>
  <c r="M1455" i="1"/>
  <c r="O1455" i="1"/>
  <c r="Q1455" i="1"/>
  <c r="P1455" i="1"/>
  <c r="S1455" i="1"/>
  <c r="T1455" i="1"/>
  <c r="V1454" i="1"/>
  <c r="U1455" i="1"/>
  <c r="W1455" i="1"/>
  <c r="X1455" i="1"/>
  <c r="AB1455" i="1"/>
  <c r="L1456" i="1"/>
  <c r="K1456" i="1"/>
  <c r="M1456" i="1"/>
  <c r="O1456" i="1"/>
  <c r="Q1456" i="1"/>
  <c r="P1456" i="1"/>
  <c r="S1456" i="1"/>
  <c r="T1456" i="1"/>
  <c r="V1455" i="1"/>
  <c r="U1456" i="1"/>
  <c r="W1456" i="1"/>
  <c r="X1456" i="1"/>
  <c r="AB1456" i="1"/>
  <c r="L1457" i="1"/>
  <c r="K1457" i="1"/>
  <c r="M1457" i="1"/>
  <c r="O1457" i="1"/>
  <c r="Q1457" i="1"/>
  <c r="P1457" i="1"/>
  <c r="S1457" i="1"/>
  <c r="T1457" i="1"/>
  <c r="V1456" i="1"/>
  <c r="U1457" i="1"/>
  <c r="W1457" i="1"/>
  <c r="X1457" i="1"/>
  <c r="AB1457" i="1"/>
  <c r="L1458" i="1"/>
  <c r="K1458" i="1"/>
  <c r="M1458" i="1"/>
  <c r="O1458" i="1"/>
  <c r="Q1458" i="1"/>
  <c r="P1458" i="1"/>
  <c r="S1458" i="1"/>
  <c r="T1458" i="1"/>
  <c r="V1457" i="1"/>
  <c r="U1458" i="1"/>
  <c r="W1458" i="1"/>
  <c r="X1458" i="1"/>
  <c r="AB1458" i="1"/>
  <c r="L1459" i="1"/>
  <c r="K1459" i="1"/>
  <c r="M1459" i="1"/>
  <c r="O1459" i="1"/>
  <c r="Q1459" i="1"/>
  <c r="P1459" i="1"/>
  <c r="S1459" i="1"/>
  <c r="T1459" i="1"/>
  <c r="V1458" i="1"/>
  <c r="U1459" i="1"/>
  <c r="W1459" i="1"/>
  <c r="X1459" i="1"/>
  <c r="AB1459" i="1"/>
  <c r="L1460" i="1"/>
  <c r="K1460" i="1"/>
  <c r="M1460" i="1"/>
  <c r="O1460" i="1"/>
  <c r="Q1460" i="1"/>
  <c r="P1460" i="1"/>
  <c r="S1460" i="1"/>
  <c r="T1460" i="1"/>
  <c r="V1459" i="1"/>
  <c r="U1460" i="1"/>
  <c r="W1460" i="1"/>
  <c r="X1460" i="1"/>
  <c r="AB1460" i="1"/>
  <c r="L1461" i="1"/>
  <c r="K1461" i="1"/>
  <c r="M1461" i="1"/>
  <c r="O1461" i="1"/>
  <c r="Q1461" i="1"/>
  <c r="P1461" i="1"/>
  <c r="S1461" i="1"/>
  <c r="T1461" i="1"/>
  <c r="V1460" i="1"/>
  <c r="U1461" i="1"/>
  <c r="W1461" i="1"/>
  <c r="X1461" i="1"/>
  <c r="AB1461" i="1"/>
  <c r="L1462" i="1"/>
  <c r="K1462" i="1"/>
  <c r="M1462" i="1"/>
  <c r="O1462" i="1"/>
  <c r="Q1462" i="1"/>
  <c r="P1462" i="1"/>
  <c r="S1462" i="1"/>
  <c r="T1462" i="1"/>
  <c r="V1461" i="1"/>
  <c r="U1462" i="1"/>
  <c r="W1462" i="1"/>
  <c r="X1462" i="1"/>
  <c r="AB1462" i="1"/>
  <c r="L1463" i="1"/>
  <c r="K1463" i="1"/>
  <c r="M1463" i="1"/>
  <c r="O1463" i="1"/>
  <c r="Q1463" i="1"/>
  <c r="P1463" i="1"/>
  <c r="S1463" i="1"/>
  <c r="T1463" i="1"/>
  <c r="V1462" i="1"/>
  <c r="U1463" i="1"/>
  <c r="W1463" i="1"/>
  <c r="X1463" i="1"/>
  <c r="AB1463" i="1"/>
  <c r="L1464" i="1"/>
  <c r="K1464" i="1"/>
  <c r="M1464" i="1"/>
  <c r="O1464" i="1"/>
  <c r="Q1464" i="1"/>
  <c r="P1464" i="1"/>
  <c r="S1464" i="1"/>
  <c r="T1464" i="1"/>
  <c r="V1463" i="1"/>
  <c r="U1464" i="1"/>
  <c r="W1464" i="1"/>
  <c r="X1464" i="1"/>
  <c r="AB1464" i="1"/>
  <c r="L1465" i="1"/>
  <c r="K1465" i="1"/>
  <c r="M1465" i="1"/>
  <c r="O1465" i="1"/>
  <c r="Q1465" i="1"/>
  <c r="P1465" i="1"/>
  <c r="S1465" i="1"/>
  <c r="J1465" i="1"/>
  <c r="N1465" i="1"/>
  <c r="T1465" i="1"/>
  <c r="V1464" i="1"/>
  <c r="U1465" i="1"/>
  <c r="W1465" i="1"/>
  <c r="X1465" i="1"/>
  <c r="AB1465" i="1"/>
  <c r="L1466" i="1"/>
  <c r="K1466" i="1"/>
  <c r="M1466" i="1"/>
  <c r="O1466" i="1"/>
  <c r="Q1466" i="1"/>
  <c r="P1466" i="1"/>
  <c r="S1466" i="1"/>
  <c r="T1466" i="1"/>
  <c r="V1465" i="1"/>
  <c r="U1466" i="1"/>
  <c r="W1466" i="1"/>
  <c r="X1466" i="1"/>
  <c r="AB1466" i="1"/>
  <c r="L1467" i="1"/>
  <c r="K1467" i="1"/>
  <c r="M1467" i="1"/>
  <c r="O1467" i="1"/>
  <c r="Q1467" i="1"/>
  <c r="P1467" i="1"/>
  <c r="S1467" i="1"/>
  <c r="T1467" i="1"/>
  <c r="V1466" i="1"/>
  <c r="U1467" i="1"/>
  <c r="W1467" i="1"/>
  <c r="X1467" i="1"/>
  <c r="AB1467" i="1"/>
  <c r="L1468" i="1"/>
  <c r="K1468" i="1"/>
  <c r="M1468" i="1"/>
  <c r="O1468" i="1"/>
  <c r="Q1468" i="1"/>
  <c r="P1468" i="1"/>
  <c r="S1468" i="1"/>
  <c r="T1468" i="1"/>
  <c r="V1467" i="1"/>
  <c r="U1468" i="1"/>
  <c r="W1468" i="1"/>
  <c r="X1468" i="1"/>
  <c r="AB1468" i="1"/>
  <c r="L1469" i="1"/>
  <c r="K1469" i="1"/>
  <c r="M1469" i="1"/>
  <c r="O1469" i="1"/>
  <c r="Q1469" i="1"/>
  <c r="P1469" i="1"/>
  <c r="S1469" i="1"/>
  <c r="T1469" i="1"/>
  <c r="V1468" i="1"/>
  <c r="U1469" i="1"/>
  <c r="W1469" i="1"/>
  <c r="X1469" i="1"/>
  <c r="AB1469" i="1"/>
  <c r="L1470" i="1"/>
  <c r="K1470" i="1"/>
  <c r="M1470" i="1"/>
  <c r="O1470" i="1"/>
  <c r="Q1470" i="1"/>
  <c r="P1470" i="1"/>
  <c r="S1470" i="1"/>
  <c r="T1470" i="1"/>
  <c r="V1469" i="1"/>
  <c r="U1470" i="1"/>
  <c r="W1470" i="1"/>
  <c r="X1470" i="1"/>
  <c r="AB1470" i="1"/>
  <c r="L1471" i="1"/>
  <c r="K1471" i="1"/>
  <c r="M1471" i="1"/>
  <c r="O1471" i="1"/>
  <c r="Q1471" i="1"/>
  <c r="P1471" i="1"/>
  <c r="S1471" i="1"/>
  <c r="T1471" i="1"/>
  <c r="V1470" i="1"/>
  <c r="U1471" i="1"/>
  <c r="W1471" i="1"/>
  <c r="X1471" i="1"/>
  <c r="AB1471" i="1"/>
  <c r="L1472" i="1"/>
  <c r="K1472" i="1"/>
  <c r="M1472" i="1"/>
  <c r="O1472" i="1"/>
  <c r="Q1472" i="1"/>
  <c r="P1472" i="1"/>
  <c r="S1472" i="1"/>
  <c r="T1472" i="1"/>
  <c r="V1471" i="1"/>
  <c r="U1472" i="1"/>
  <c r="W1472" i="1"/>
  <c r="X1472" i="1"/>
  <c r="AB1472" i="1"/>
  <c r="L1473" i="1"/>
  <c r="K1473" i="1"/>
  <c r="M1473" i="1"/>
  <c r="O1473" i="1"/>
  <c r="Q1473" i="1"/>
  <c r="P1473" i="1"/>
  <c r="S1473" i="1"/>
  <c r="T1473" i="1"/>
  <c r="V1472" i="1"/>
  <c r="U1473" i="1"/>
  <c r="W1473" i="1"/>
  <c r="X1473" i="1"/>
  <c r="AB1473" i="1"/>
  <c r="L1474" i="1"/>
  <c r="K1474" i="1"/>
  <c r="M1474" i="1"/>
  <c r="O1474" i="1"/>
  <c r="Q1474" i="1"/>
  <c r="P1474" i="1"/>
  <c r="S1474" i="1"/>
  <c r="T1474" i="1"/>
  <c r="V1473" i="1"/>
  <c r="U1474" i="1"/>
  <c r="W1474" i="1"/>
  <c r="X1474" i="1"/>
  <c r="AB1474" i="1"/>
  <c r="L1475" i="1"/>
  <c r="K1475" i="1"/>
  <c r="M1475" i="1"/>
  <c r="O1475" i="1"/>
  <c r="Q1475" i="1"/>
  <c r="P1475" i="1"/>
  <c r="S1475" i="1"/>
  <c r="T1475" i="1"/>
  <c r="V1474" i="1"/>
  <c r="U1475" i="1"/>
  <c r="W1475" i="1"/>
  <c r="X1475" i="1"/>
  <c r="AB1475" i="1"/>
  <c r="L1476" i="1"/>
  <c r="K1476" i="1"/>
  <c r="M1476" i="1"/>
  <c r="O1476" i="1"/>
  <c r="Q1476" i="1"/>
  <c r="P1476" i="1"/>
  <c r="S1476" i="1"/>
  <c r="T1476" i="1"/>
  <c r="V1475" i="1"/>
  <c r="U1476" i="1"/>
  <c r="W1476" i="1"/>
  <c r="X1476" i="1"/>
  <c r="AB1476" i="1"/>
  <c r="L1477" i="1"/>
  <c r="K1477" i="1"/>
  <c r="M1477" i="1"/>
  <c r="O1477" i="1"/>
  <c r="Q1477" i="1"/>
  <c r="P1477" i="1"/>
  <c r="S1477" i="1"/>
  <c r="T1477" i="1"/>
  <c r="V1476" i="1"/>
  <c r="U1477" i="1"/>
  <c r="W1477" i="1"/>
  <c r="X1477" i="1"/>
  <c r="AB1477" i="1"/>
  <c r="L1478" i="1"/>
  <c r="K1478" i="1"/>
  <c r="M1478" i="1"/>
  <c r="O1478" i="1"/>
  <c r="Q1478" i="1"/>
  <c r="P1478" i="1"/>
  <c r="S1478" i="1"/>
  <c r="T1478" i="1"/>
  <c r="V1477" i="1"/>
  <c r="U1478" i="1"/>
  <c r="W1478" i="1"/>
  <c r="X1478" i="1"/>
  <c r="AB1478" i="1"/>
  <c r="L1479" i="1"/>
  <c r="K1479" i="1"/>
  <c r="M1479" i="1"/>
  <c r="O1479" i="1"/>
  <c r="Q1479" i="1"/>
  <c r="P1479" i="1"/>
  <c r="S1479" i="1"/>
  <c r="T1479" i="1"/>
  <c r="V1478" i="1"/>
  <c r="U1479" i="1"/>
  <c r="W1479" i="1"/>
  <c r="X1479" i="1"/>
  <c r="AB1479" i="1"/>
  <c r="L1480" i="1"/>
  <c r="K1480" i="1"/>
  <c r="M1480" i="1"/>
  <c r="O1480" i="1"/>
  <c r="Q1480" i="1"/>
  <c r="P1480" i="1"/>
  <c r="S1480" i="1"/>
  <c r="T1480" i="1"/>
  <c r="V1479" i="1"/>
  <c r="U1480" i="1"/>
  <c r="W1480" i="1"/>
  <c r="X1480" i="1"/>
  <c r="AB1480" i="1"/>
  <c r="L1481" i="1"/>
  <c r="K1481" i="1"/>
  <c r="M1481" i="1"/>
  <c r="O1481" i="1"/>
  <c r="Q1481" i="1"/>
  <c r="P1481" i="1"/>
  <c r="S1481" i="1"/>
  <c r="T1481" i="1"/>
  <c r="V1480" i="1"/>
  <c r="U1481" i="1"/>
  <c r="W1481" i="1"/>
  <c r="X1481" i="1"/>
  <c r="AB1481" i="1"/>
  <c r="L1482" i="1"/>
  <c r="K1482" i="1"/>
  <c r="M1482" i="1"/>
  <c r="O1482" i="1"/>
  <c r="Q1482" i="1"/>
  <c r="P1482" i="1"/>
  <c r="S1482" i="1"/>
  <c r="T1482" i="1"/>
  <c r="V1481" i="1"/>
  <c r="U1482" i="1"/>
  <c r="W1482" i="1"/>
  <c r="X1482" i="1"/>
  <c r="AB1482" i="1"/>
  <c r="L1483" i="1"/>
  <c r="K1483" i="1"/>
  <c r="M1483" i="1"/>
  <c r="O1483" i="1"/>
  <c r="Q1483" i="1"/>
  <c r="P1483" i="1"/>
  <c r="S1483" i="1"/>
  <c r="T1483" i="1"/>
  <c r="V1482" i="1"/>
  <c r="U1483" i="1"/>
  <c r="W1483" i="1"/>
  <c r="X1483" i="1"/>
  <c r="AB1483" i="1"/>
  <c r="L1484" i="1"/>
  <c r="K1484" i="1"/>
  <c r="M1484" i="1"/>
  <c r="O1484" i="1"/>
  <c r="Q1484" i="1"/>
  <c r="P1484" i="1"/>
  <c r="S1484" i="1"/>
  <c r="T1484" i="1"/>
  <c r="V1483" i="1"/>
  <c r="U1484" i="1"/>
  <c r="W1484" i="1"/>
  <c r="X1484" i="1"/>
  <c r="AB1484" i="1"/>
  <c r="L1485" i="1"/>
  <c r="K1485" i="1"/>
  <c r="M1485" i="1"/>
  <c r="O1485" i="1"/>
  <c r="Q1485" i="1"/>
  <c r="P1485" i="1"/>
  <c r="S1485" i="1"/>
  <c r="T1485" i="1"/>
  <c r="V1484" i="1"/>
  <c r="U1485" i="1"/>
  <c r="W1485" i="1"/>
  <c r="X1485" i="1"/>
  <c r="AB1485" i="1"/>
  <c r="L1486" i="1"/>
  <c r="K1486" i="1"/>
  <c r="M1486" i="1"/>
  <c r="O1486" i="1"/>
  <c r="Q1486" i="1"/>
  <c r="P1486" i="1"/>
  <c r="S1486" i="1"/>
  <c r="T1486" i="1"/>
  <c r="V1485" i="1"/>
  <c r="U1486" i="1"/>
  <c r="W1486" i="1"/>
  <c r="X1486" i="1"/>
  <c r="AB1486" i="1"/>
  <c r="AO15" i="1"/>
  <c r="AO14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AO13" i="1"/>
  <c r="AP16" i="1"/>
  <c r="AO16" i="1"/>
  <c r="AC6" i="1"/>
  <c r="AB6" i="1"/>
  <c r="S6" i="1"/>
  <c r="N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7" i="1"/>
  <c r="N8" i="1"/>
  <c r="N9" i="1"/>
  <c r="N10" i="1"/>
  <c r="N11" i="1"/>
  <c r="N12" i="1"/>
  <c r="N13" i="1"/>
  <c r="N14" i="1"/>
  <c r="N15" i="1"/>
  <c r="N16" i="1"/>
  <c r="N17" i="1"/>
  <c r="N18" i="1"/>
  <c r="Y18" i="1"/>
  <c r="Z18" i="1"/>
  <c r="N19" i="1"/>
  <c r="Y19" i="1"/>
  <c r="Z19" i="1"/>
  <c r="N20" i="1"/>
  <c r="Y20" i="1"/>
  <c r="Z20" i="1"/>
  <c r="N21" i="1"/>
  <c r="Y21" i="1"/>
  <c r="Z21" i="1"/>
  <c r="N22" i="1"/>
  <c r="Y22" i="1"/>
  <c r="Z22" i="1"/>
  <c r="N23" i="1"/>
  <c r="Y23" i="1"/>
  <c r="Z23" i="1"/>
  <c r="N24" i="1"/>
  <c r="Y24" i="1"/>
  <c r="Z24" i="1"/>
  <c r="N25" i="1"/>
  <c r="Y25" i="1"/>
  <c r="Z25" i="1"/>
  <c r="N26" i="1"/>
  <c r="Y26" i="1"/>
  <c r="Z26" i="1"/>
  <c r="N27" i="1"/>
  <c r="Y27" i="1"/>
  <c r="Z27" i="1"/>
  <c r="N28" i="1"/>
  <c r="Y28" i="1"/>
  <c r="Z28" i="1"/>
  <c r="N29" i="1"/>
  <c r="Y29" i="1"/>
  <c r="Z29" i="1"/>
  <c r="N30" i="1"/>
  <c r="Y30" i="1"/>
  <c r="Z30" i="1"/>
  <c r="N31" i="1"/>
  <c r="Y31" i="1"/>
  <c r="Z31" i="1"/>
  <c r="N32" i="1"/>
  <c r="Y32" i="1"/>
  <c r="Z32" i="1"/>
  <c r="N33" i="1"/>
  <c r="Y33" i="1"/>
  <c r="Z33" i="1"/>
  <c r="N34" i="1"/>
  <c r="Y34" i="1"/>
  <c r="Z34" i="1"/>
  <c r="N35" i="1"/>
  <c r="Y35" i="1"/>
  <c r="Z35" i="1"/>
  <c r="N36" i="1"/>
  <c r="Y36" i="1"/>
  <c r="Z36" i="1"/>
  <c r="N37" i="1"/>
  <c r="Y37" i="1"/>
  <c r="Z37" i="1"/>
  <c r="N38" i="1"/>
  <c r="Y38" i="1"/>
  <c r="Z38" i="1"/>
  <c r="N39" i="1"/>
  <c r="Y39" i="1"/>
  <c r="Z39" i="1"/>
  <c r="N40" i="1"/>
  <c r="Y40" i="1"/>
  <c r="Z40" i="1"/>
  <c r="N41" i="1"/>
  <c r="Y41" i="1"/>
  <c r="Z41" i="1"/>
  <c r="N42" i="1"/>
  <c r="Y42" i="1"/>
  <c r="Z42" i="1"/>
  <c r="N43" i="1"/>
  <c r="Y43" i="1"/>
  <c r="Z43" i="1"/>
  <c r="N44" i="1"/>
  <c r="Y44" i="1"/>
  <c r="Z44" i="1"/>
  <c r="N45" i="1"/>
  <c r="Y45" i="1"/>
  <c r="Z45" i="1"/>
  <c r="N46" i="1"/>
  <c r="Y46" i="1"/>
  <c r="Z46" i="1"/>
  <c r="N47" i="1"/>
  <c r="Y47" i="1"/>
  <c r="Z47" i="1"/>
  <c r="N48" i="1"/>
  <c r="Y48" i="1"/>
  <c r="Z48" i="1"/>
  <c r="N49" i="1"/>
  <c r="Y49" i="1"/>
  <c r="Z49" i="1"/>
  <c r="N50" i="1"/>
  <c r="Y50" i="1"/>
  <c r="Z50" i="1"/>
  <c r="N51" i="1"/>
  <c r="Y51" i="1"/>
  <c r="Z51" i="1"/>
  <c r="N52" i="1"/>
  <c r="Y52" i="1"/>
  <c r="Z52" i="1"/>
  <c r="Y53" i="1"/>
  <c r="Z53" i="1"/>
  <c r="N54" i="1"/>
  <c r="Y54" i="1"/>
  <c r="Z54" i="1"/>
  <c r="N55" i="1"/>
  <c r="Y55" i="1"/>
  <c r="Z55" i="1"/>
  <c r="N56" i="1"/>
  <c r="Y56" i="1"/>
  <c r="Z56" i="1"/>
  <c r="N57" i="1"/>
  <c r="Y57" i="1"/>
  <c r="Z57" i="1"/>
  <c r="N58" i="1"/>
  <c r="Y58" i="1"/>
  <c r="Z58" i="1"/>
  <c r="N59" i="1"/>
  <c r="Y59" i="1"/>
  <c r="Z59" i="1"/>
  <c r="N60" i="1"/>
  <c r="Y60" i="1"/>
  <c r="Z60" i="1"/>
  <c r="N61" i="1"/>
  <c r="Y61" i="1"/>
  <c r="Z61" i="1"/>
  <c r="N62" i="1"/>
  <c r="Y62" i="1"/>
  <c r="Z62" i="1"/>
  <c r="N63" i="1"/>
  <c r="Y63" i="1"/>
  <c r="Z63" i="1"/>
  <c r="N64" i="1"/>
  <c r="Y64" i="1"/>
  <c r="Z64" i="1"/>
  <c r="N65" i="1"/>
  <c r="Y65" i="1"/>
  <c r="Z65" i="1"/>
  <c r="N66" i="1"/>
  <c r="Y66" i="1"/>
  <c r="Z66" i="1"/>
  <c r="N67" i="1"/>
  <c r="Y67" i="1"/>
  <c r="Z67" i="1"/>
  <c r="N68" i="1"/>
  <c r="Y68" i="1"/>
  <c r="Z68" i="1"/>
  <c r="N69" i="1"/>
  <c r="Y69" i="1"/>
  <c r="Z69" i="1"/>
  <c r="N70" i="1"/>
  <c r="Y70" i="1"/>
  <c r="Z70" i="1"/>
  <c r="N71" i="1"/>
  <c r="Y71" i="1"/>
  <c r="Z71" i="1"/>
  <c r="N72" i="1"/>
  <c r="Y72" i="1"/>
  <c r="Z72" i="1"/>
  <c r="N73" i="1"/>
  <c r="Y73" i="1"/>
  <c r="Z73" i="1"/>
  <c r="N74" i="1"/>
  <c r="Y74" i="1"/>
  <c r="Z74" i="1"/>
  <c r="N75" i="1"/>
  <c r="Y75" i="1"/>
  <c r="Z75" i="1"/>
  <c r="N76" i="1"/>
  <c r="Y76" i="1"/>
  <c r="Z76" i="1"/>
  <c r="N77" i="1"/>
  <c r="Y77" i="1"/>
  <c r="Z77" i="1"/>
  <c r="N78" i="1"/>
  <c r="Y78" i="1"/>
  <c r="Z78" i="1"/>
  <c r="N79" i="1"/>
  <c r="Y79" i="1"/>
  <c r="Z79" i="1"/>
  <c r="N80" i="1"/>
  <c r="Y80" i="1"/>
  <c r="Z80" i="1"/>
  <c r="N81" i="1"/>
  <c r="Y81" i="1"/>
  <c r="Z81" i="1"/>
  <c r="N82" i="1"/>
  <c r="Y82" i="1"/>
  <c r="Z82" i="1"/>
  <c r="N83" i="1"/>
  <c r="Y83" i="1"/>
  <c r="Z83" i="1"/>
  <c r="N84" i="1"/>
  <c r="Y84" i="1"/>
  <c r="Z84" i="1"/>
  <c r="N85" i="1"/>
  <c r="Y85" i="1"/>
  <c r="Z85" i="1"/>
  <c r="N86" i="1"/>
  <c r="Y86" i="1"/>
  <c r="Z86" i="1"/>
  <c r="N87" i="1"/>
  <c r="Y87" i="1"/>
  <c r="Z87" i="1"/>
  <c r="N88" i="1"/>
  <c r="Y88" i="1"/>
  <c r="Z88" i="1"/>
  <c r="N89" i="1"/>
  <c r="Y89" i="1"/>
  <c r="Z89" i="1"/>
  <c r="N90" i="1"/>
  <c r="Y90" i="1"/>
  <c r="Z90" i="1"/>
  <c r="N91" i="1"/>
  <c r="Y91" i="1"/>
  <c r="Z91" i="1"/>
  <c r="N92" i="1"/>
  <c r="Y92" i="1"/>
  <c r="Z92" i="1"/>
  <c r="N93" i="1"/>
  <c r="Y93" i="1"/>
  <c r="Z93" i="1"/>
  <c r="N94" i="1"/>
  <c r="Y94" i="1"/>
  <c r="Z94" i="1"/>
  <c r="N95" i="1"/>
  <c r="Y95" i="1"/>
  <c r="Z95" i="1"/>
  <c r="N96" i="1"/>
  <c r="Y96" i="1"/>
  <c r="Z96" i="1"/>
  <c r="N97" i="1"/>
  <c r="Y97" i="1"/>
  <c r="Z97" i="1"/>
  <c r="N98" i="1"/>
  <c r="Y98" i="1"/>
  <c r="Z98" i="1"/>
  <c r="N99" i="1"/>
  <c r="Y99" i="1"/>
  <c r="Z99" i="1"/>
  <c r="N100" i="1"/>
  <c r="Y100" i="1"/>
  <c r="Z100" i="1"/>
  <c r="N101" i="1"/>
  <c r="Y101" i="1"/>
  <c r="Z101" i="1"/>
  <c r="N102" i="1"/>
  <c r="Y102" i="1"/>
  <c r="Z102" i="1"/>
  <c r="N103" i="1"/>
  <c r="Y103" i="1"/>
  <c r="Z103" i="1"/>
  <c r="N104" i="1"/>
  <c r="Y104" i="1"/>
  <c r="Z104" i="1"/>
  <c r="N105" i="1"/>
  <c r="Y105" i="1"/>
  <c r="Z105" i="1"/>
  <c r="N106" i="1"/>
  <c r="Y106" i="1"/>
  <c r="Z106" i="1"/>
  <c r="N107" i="1"/>
  <c r="Y107" i="1"/>
  <c r="Z107" i="1"/>
  <c r="N108" i="1"/>
  <c r="Y108" i="1"/>
  <c r="Z108" i="1"/>
  <c r="N109" i="1"/>
  <c r="Y109" i="1"/>
  <c r="Z109" i="1"/>
  <c r="N110" i="1"/>
  <c r="Y110" i="1"/>
  <c r="Z110" i="1"/>
  <c r="N111" i="1"/>
  <c r="Y111" i="1"/>
  <c r="Z111" i="1"/>
  <c r="N112" i="1"/>
  <c r="Y112" i="1"/>
  <c r="Z112" i="1"/>
  <c r="N113" i="1"/>
  <c r="Y113" i="1"/>
  <c r="Z113" i="1"/>
  <c r="N114" i="1"/>
  <c r="Y114" i="1"/>
  <c r="Z114" i="1"/>
  <c r="N115" i="1"/>
  <c r="Y115" i="1"/>
  <c r="Z115" i="1"/>
  <c r="N116" i="1"/>
  <c r="Y116" i="1"/>
  <c r="Z116" i="1"/>
  <c r="N117" i="1"/>
  <c r="Y117" i="1"/>
  <c r="Z117" i="1"/>
  <c r="N118" i="1"/>
  <c r="Y118" i="1"/>
  <c r="Z118" i="1"/>
  <c r="N119" i="1"/>
  <c r="Y119" i="1"/>
  <c r="Z119" i="1"/>
  <c r="N120" i="1"/>
  <c r="Y120" i="1"/>
  <c r="Z120" i="1"/>
  <c r="N121" i="1"/>
  <c r="Y121" i="1"/>
  <c r="Z121" i="1"/>
  <c r="N122" i="1"/>
  <c r="Y122" i="1"/>
  <c r="Z122" i="1"/>
  <c r="N123" i="1"/>
  <c r="Y123" i="1"/>
  <c r="Z123" i="1"/>
  <c r="N124" i="1"/>
  <c r="Y124" i="1"/>
  <c r="Z124" i="1"/>
  <c r="N125" i="1"/>
  <c r="Y125" i="1"/>
  <c r="Z125" i="1"/>
  <c r="N126" i="1"/>
  <c r="Y126" i="1"/>
  <c r="Z126" i="1"/>
  <c r="N127" i="1"/>
  <c r="Y127" i="1"/>
  <c r="Z127" i="1"/>
  <c r="N128" i="1"/>
  <c r="Y128" i="1"/>
  <c r="Z128" i="1"/>
  <c r="N129" i="1"/>
  <c r="Y129" i="1"/>
  <c r="Z129" i="1"/>
  <c r="N130" i="1"/>
  <c r="Y130" i="1"/>
  <c r="Z130" i="1"/>
  <c r="N131" i="1"/>
  <c r="Y131" i="1"/>
  <c r="Z131" i="1"/>
  <c r="N132" i="1"/>
  <c r="Y132" i="1"/>
  <c r="Z132" i="1"/>
  <c r="N133" i="1"/>
  <c r="Y133" i="1"/>
  <c r="Z133" i="1"/>
  <c r="N134" i="1"/>
  <c r="Y134" i="1"/>
  <c r="Z134" i="1"/>
  <c r="N135" i="1"/>
  <c r="Y135" i="1"/>
  <c r="Z135" i="1"/>
  <c r="N136" i="1"/>
  <c r="Y136" i="1"/>
  <c r="Z136" i="1"/>
  <c r="N137" i="1"/>
  <c r="Y137" i="1"/>
  <c r="Z137" i="1"/>
  <c r="N138" i="1"/>
  <c r="Y138" i="1"/>
  <c r="Z138" i="1"/>
  <c r="N139" i="1"/>
  <c r="Y139" i="1"/>
  <c r="Z139" i="1"/>
  <c r="N140" i="1"/>
  <c r="Y140" i="1"/>
  <c r="Z140" i="1"/>
  <c r="N141" i="1"/>
  <c r="Y141" i="1"/>
  <c r="Z141" i="1"/>
  <c r="N142" i="1"/>
  <c r="Y142" i="1"/>
  <c r="Z142" i="1"/>
  <c r="N143" i="1"/>
  <c r="Y143" i="1"/>
  <c r="Z143" i="1"/>
  <c r="N144" i="1"/>
  <c r="Y144" i="1"/>
  <c r="Z144" i="1"/>
  <c r="N145" i="1"/>
  <c r="Y145" i="1"/>
  <c r="Z145" i="1"/>
  <c r="N146" i="1"/>
  <c r="Y146" i="1"/>
  <c r="Z146" i="1"/>
  <c r="N147" i="1"/>
  <c r="Y147" i="1"/>
  <c r="Z147" i="1"/>
  <c r="N148" i="1"/>
  <c r="Y148" i="1"/>
  <c r="Z148" i="1"/>
  <c r="N149" i="1"/>
  <c r="Y149" i="1"/>
  <c r="Z149" i="1"/>
  <c r="N150" i="1"/>
  <c r="Y150" i="1"/>
  <c r="Z150" i="1"/>
  <c r="N151" i="1"/>
  <c r="Y151" i="1"/>
  <c r="Z151" i="1"/>
  <c r="N152" i="1"/>
  <c r="Y152" i="1"/>
  <c r="Z152" i="1"/>
  <c r="N153" i="1"/>
  <c r="Y153" i="1"/>
  <c r="Z153" i="1"/>
  <c r="N154" i="1"/>
  <c r="Y154" i="1"/>
  <c r="Z154" i="1"/>
  <c r="N155" i="1"/>
  <c r="Y155" i="1"/>
  <c r="Z155" i="1"/>
  <c r="N156" i="1"/>
  <c r="Y156" i="1"/>
  <c r="Z156" i="1"/>
  <c r="N157" i="1"/>
  <c r="Y157" i="1"/>
  <c r="Z157" i="1"/>
  <c r="N158" i="1"/>
  <c r="Y158" i="1"/>
  <c r="Z158" i="1"/>
  <c r="N159" i="1"/>
  <c r="Y159" i="1"/>
  <c r="Z159" i="1"/>
  <c r="N160" i="1"/>
  <c r="Y160" i="1"/>
  <c r="Z160" i="1"/>
  <c r="N161" i="1"/>
  <c r="Y161" i="1"/>
  <c r="Z161" i="1"/>
  <c r="Y162" i="1"/>
  <c r="Z162" i="1"/>
  <c r="N163" i="1"/>
  <c r="Y163" i="1"/>
  <c r="Z163" i="1"/>
  <c r="N164" i="1"/>
  <c r="Y164" i="1"/>
  <c r="Z164" i="1"/>
  <c r="N165" i="1"/>
  <c r="Y165" i="1"/>
  <c r="Z165" i="1"/>
  <c r="N166" i="1"/>
  <c r="Y166" i="1"/>
  <c r="Z166" i="1"/>
  <c r="N167" i="1"/>
  <c r="Y167" i="1"/>
  <c r="Z167" i="1"/>
  <c r="N168" i="1"/>
  <c r="Y168" i="1"/>
  <c r="Z168" i="1"/>
  <c r="N169" i="1"/>
  <c r="Y169" i="1"/>
  <c r="Z169" i="1"/>
  <c r="N170" i="1"/>
  <c r="Y170" i="1"/>
  <c r="Z170" i="1"/>
  <c r="N171" i="1"/>
  <c r="Y171" i="1"/>
  <c r="Z171" i="1"/>
  <c r="N172" i="1"/>
  <c r="Y172" i="1"/>
  <c r="Z172" i="1"/>
  <c r="N173" i="1"/>
  <c r="Y173" i="1"/>
  <c r="Z173" i="1"/>
  <c r="N174" i="1"/>
  <c r="Y174" i="1"/>
  <c r="Z174" i="1"/>
  <c r="N175" i="1"/>
  <c r="Y175" i="1"/>
  <c r="Z175" i="1"/>
  <c r="N176" i="1"/>
  <c r="Y176" i="1"/>
  <c r="Z176" i="1"/>
  <c r="N177" i="1"/>
  <c r="Y177" i="1"/>
  <c r="Z177" i="1"/>
  <c r="N178" i="1"/>
  <c r="Y178" i="1"/>
  <c r="Z178" i="1"/>
  <c r="N179" i="1"/>
  <c r="Y179" i="1"/>
  <c r="Z179" i="1"/>
  <c r="N180" i="1"/>
  <c r="Y180" i="1"/>
  <c r="Z180" i="1"/>
  <c r="N181" i="1"/>
  <c r="Y181" i="1"/>
  <c r="Z181" i="1"/>
  <c r="N182" i="1"/>
  <c r="Y182" i="1"/>
  <c r="Z182" i="1"/>
  <c r="N183" i="1"/>
  <c r="Y183" i="1"/>
  <c r="Z183" i="1"/>
  <c r="N184" i="1"/>
  <c r="Y184" i="1"/>
  <c r="Z184" i="1"/>
  <c r="N185" i="1"/>
  <c r="Y185" i="1"/>
  <c r="Z185" i="1"/>
  <c r="N186" i="1"/>
  <c r="Y186" i="1"/>
  <c r="Z186" i="1"/>
  <c r="N187" i="1"/>
  <c r="Y187" i="1"/>
  <c r="Z187" i="1"/>
  <c r="N188" i="1"/>
  <c r="Y188" i="1"/>
  <c r="Z188" i="1"/>
  <c r="N189" i="1"/>
  <c r="Y189" i="1"/>
  <c r="Z189" i="1"/>
  <c r="N190" i="1"/>
  <c r="Y190" i="1"/>
  <c r="Z190" i="1"/>
  <c r="N191" i="1"/>
  <c r="Y191" i="1"/>
  <c r="Z191" i="1"/>
  <c r="N192" i="1"/>
  <c r="Y192" i="1"/>
  <c r="Z192" i="1"/>
  <c r="N193" i="1"/>
  <c r="Y193" i="1"/>
  <c r="Z193" i="1"/>
  <c r="N194" i="1"/>
  <c r="Y194" i="1"/>
  <c r="Z194" i="1"/>
  <c r="N195" i="1"/>
  <c r="Y195" i="1"/>
  <c r="Z195" i="1"/>
  <c r="N196" i="1"/>
  <c r="Y196" i="1"/>
  <c r="Z196" i="1"/>
  <c r="N197" i="1"/>
  <c r="Y197" i="1"/>
  <c r="Z197" i="1"/>
  <c r="N198" i="1"/>
  <c r="Y198" i="1"/>
  <c r="Z198" i="1"/>
  <c r="N199" i="1"/>
  <c r="Y199" i="1"/>
  <c r="Z199" i="1"/>
  <c r="N200" i="1"/>
  <c r="Y200" i="1"/>
  <c r="Z200" i="1"/>
  <c r="N201" i="1"/>
  <c r="Y201" i="1"/>
  <c r="Z201" i="1"/>
  <c r="N202" i="1"/>
  <c r="Y202" i="1"/>
  <c r="Z202" i="1"/>
  <c r="N203" i="1"/>
  <c r="Y203" i="1"/>
  <c r="Z203" i="1"/>
  <c r="N204" i="1"/>
  <c r="Y204" i="1"/>
  <c r="Z204" i="1"/>
  <c r="N205" i="1"/>
  <c r="Y205" i="1"/>
  <c r="Z205" i="1"/>
  <c r="N206" i="1"/>
  <c r="Y206" i="1"/>
  <c r="Z206" i="1"/>
  <c r="N207" i="1"/>
  <c r="Y207" i="1"/>
  <c r="Z207" i="1"/>
  <c r="N208" i="1"/>
  <c r="Y208" i="1"/>
  <c r="Z208" i="1"/>
  <c r="N209" i="1"/>
  <c r="Y209" i="1"/>
  <c r="Z209" i="1"/>
  <c r="N210" i="1"/>
  <c r="Y210" i="1"/>
  <c r="Z210" i="1"/>
  <c r="N211" i="1"/>
  <c r="Y211" i="1"/>
  <c r="Z211" i="1"/>
  <c r="N212" i="1"/>
  <c r="Y212" i="1"/>
  <c r="Z212" i="1"/>
  <c r="N213" i="1"/>
  <c r="Y213" i="1"/>
  <c r="Z213" i="1"/>
  <c r="N214" i="1"/>
  <c r="Y214" i="1"/>
  <c r="Z214" i="1"/>
  <c r="N215" i="1"/>
  <c r="Y215" i="1"/>
  <c r="Z215" i="1"/>
  <c r="N216" i="1"/>
  <c r="Y216" i="1"/>
  <c r="Z216" i="1"/>
  <c r="N217" i="1"/>
  <c r="Y217" i="1"/>
  <c r="Z217" i="1"/>
  <c r="N218" i="1"/>
  <c r="Y218" i="1"/>
  <c r="Z218" i="1"/>
  <c r="N219" i="1"/>
  <c r="Y219" i="1"/>
  <c r="Z219" i="1"/>
  <c r="N220" i="1"/>
  <c r="Y220" i="1"/>
  <c r="Z220" i="1"/>
  <c r="N221" i="1"/>
  <c r="Y221" i="1"/>
  <c r="Z221" i="1"/>
  <c r="N222" i="1"/>
  <c r="Y222" i="1"/>
  <c r="Z222" i="1"/>
  <c r="N223" i="1"/>
  <c r="Y223" i="1"/>
  <c r="Z223" i="1"/>
  <c r="N224" i="1"/>
  <c r="Y224" i="1"/>
  <c r="Z224" i="1"/>
  <c r="N225" i="1"/>
  <c r="Y225" i="1"/>
  <c r="Z225" i="1"/>
  <c r="N226" i="1"/>
  <c r="Y226" i="1"/>
  <c r="Z226" i="1"/>
  <c r="N227" i="1"/>
  <c r="Y227" i="1"/>
  <c r="Z227" i="1"/>
  <c r="N228" i="1"/>
  <c r="Y228" i="1"/>
  <c r="Z228" i="1"/>
  <c r="N229" i="1"/>
  <c r="Y229" i="1"/>
  <c r="Z229" i="1"/>
  <c r="N230" i="1"/>
  <c r="Y230" i="1"/>
  <c r="Z230" i="1"/>
  <c r="N231" i="1"/>
  <c r="Y231" i="1"/>
  <c r="Z231" i="1"/>
  <c r="N232" i="1"/>
  <c r="Y232" i="1"/>
  <c r="Z232" i="1"/>
  <c r="N233" i="1"/>
  <c r="Y233" i="1"/>
  <c r="Z233" i="1"/>
  <c r="N234" i="1"/>
  <c r="Y234" i="1"/>
  <c r="Z234" i="1"/>
  <c r="N235" i="1"/>
  <c r="Y235" i="1"/>
  <c r="Z235" i="1"/>
  <c r="N236" i="1"/>
  <c r="Y236" i="1"/>
  <c r="Z236" i="1"/>
  <c r="N237" i="1"/>
  <c r="Y237" i="1"/>
  <c r="Z237" i="1"/>
  <c r="N238" i="1"/>
  <c r="Y238" i="1"/>
  <c r="Z238" i="1"/>
  <c r="N239" i="1"/>
  <c r="Y239" i="1"/>
  <c r="Z239" i="1"/>
  <c r="N240" i="1"/>
  <c r="Y240" i="1"/>
  <c r="Z240" i="1"/>
  <c r="N241" i="1"/>
  <c r="Y241" i="1"/>
  <c r="Z241" i="1"/>
  <c r="N242" i="1"/>
  <c r="Y242" i="1"/>
  <c r="Z242" i="1"/>
  <c r="N243" i="1"/>
  <c r="Y243" i="1"/>
  <c r="Z243" i="1"/>
  <c r="N244" i="1"/>
  <c r="Y244" i="1"/>
  <c r="Z244" i="1"/>
  <c r="N245" i="1"/>
  <c r="Y245" i="1"/>
  <c r="Z245" i="1"/>
  <c r="N246" i="1"/>
  <c r="Y246" i="1"/>
  <c r="Z246" i="1"/>
  <c r="N247" i="1"/>
  <c r="Y247" i="1"/>
  <c r="Z247" i="1"/>
  <c r="N248" i="1"/>
  <c r="Y248" i="1"/>
  <c r="Z248" i="1"/>
  <c r="N249" i="1"/>
  <c r="Y249" i="1"/>
  <c r="Z249" i="1"/>
  <c r="N250" i="1"/>
  <c r="Y250" i="1"/>
  <c r="Z250" i="1"/>
  <c r="N251" i="1"/>
  <c r="Y251" i="1"/>
  <c r="Z251" i="1"/>
  <c r="N252" i="1"/>
  <c r="Y252" i="1"/>
  <c r="Z252" i="1"/>
  <c r="N253" i="1"/>
  <c r="Y253" i="1"/>
  <c r="Z253" i="1"/>
  <c r="N254" i="1"/>
  <c r="Y254" i="1"/>
  <c r="Z254" i="1"/>
  <c r="N255" i="1"/>
  <c r="Y255" i="1"/>
  <c r="Z255" i="1"/>
  <c r="N256" i="1"/>
  <c r="Y256" i="1"/>
  <c r="Z256" i="1"/>
  <c r="N257" i="1"/>
  <c r="Y257" i="1"/>
  <c r="Z257" i="1"/>
  <c r="Y258" i="1"/>
  <c r="Z258" i="1"/>
  <c r="N259" i="1"/>
  <c r="Y259" i="1"/>
  <c r="Z259" i="1"/>
  <c r="N260" i="1"/>
  <c r="Y260" i="1"/>
  <c r="Z260" i="1"/>
  <c r="N261" i="1"/>
  <c r="Y261" i="1"/>
  <c r="Z261" i="1"/>
  <c r="N262" i="1"/>
  <c r="Y262" i="1"/>
  <c r="Z262" i="1"/>
  <c r="N263" i="1"/>
  <c r="Y263" i="1"/>
  <c r="Z263" i="1"/>
  <c r="N264" i="1"/>
  <c r="Y264" i="1"/>
  <c r="Z264" i="1"/>
  <c r="N265" i="1"/>
  <c r="Y265" i="1"/>
  <c r="Z265" i="1"/>
  <c r="N266" i="1"/>
  <c r="Y266" i="1"/>
  <c r="Z266" i="1"/>
  <c r="N267" i="1"/>
  <c r="Y267" i="1"/>
  <c r="Z267" i="1"/>
  <c r="N268" i="1"/>
  <c r="Y268" i="1"/>
  <c r="Z268" i="1"/>
  <c r="N269" i="1"/>
  <c r="Y269" i="1"/>
  <c r="Z269" i="1"/>
  <c r="N270" i="1"/>
  <c r="Y270" i="1"/>
  <c r="Z270" i="1"/>
  <c r="N271" i="1"/>
  <c r="Y271" i="1"/>
  <c r="Z271" i="1"/>
  <c r="N272" i="1"/>
  <c r="Y272" i="1"/>
  <c r="Z272" i="1"/>
  <c r="N273" i="1"/>
  <c r="Y273" i="1"/>
  <c r="Z273" i="1"/>
  <c r="N274" i="1"/>
  <c r="Y274" i="1"/>
  <c r="Z274" i="1"/>
  <c r="N275" i="1"/>
  <c r="Y275" i="1"/>
  <c r="Z275" i="1"/>
  <c r="N276" i="1"/>
  <c r="Y276" i="1"/>
  <c r="Z276" i="1"/>
  <c r="N277" i="1"/>
  <c r="Y277" i="1"/>
  <c r="Z277" i="1"/>
  <c r="N278" i="1"/>
  <c r="Y278" i="1"/>
  <c r="Z278" i="1"/>
  <c r="N279" i="1"/>
  <c r="Y279" i="1"/>
  <c r="Z279" i="1"/>
  <c r="N280" i="1"/>
  <c r="Y280" i="1"/>
  <c r="Z280" i="1"/>
  <c r="N281" i="1"/>
  <c r="Y281" i="1"/>
  <c r="Z281" i="1"/>
  <c r="N282" i="1"/>
  <c r="Y282" i="1"/>
  <c r="Z282" i="1"/>
  <c r="N283" i="1"/>
  <c r="Y283" i="1"/>
  <c r="Z283" i="1"/>
  <c r="N284" i="1"/>
  <c r="Y284" i="1"/>
  <c r="Z284" i="1"/>
  <c r="N285" i="1"/>
  <c r="Y285" i="1"/>
  <c r="Z285" i="1"/>
  <c r="N286" i="1"/>
  <c r="Y286" i="1"/>
  <c r="Z286" i="1"/>
  <c r="N287" i="1"/>
  <c r="Y287" i="1"/>
  <c r="Z287" i="1"/>
  <c r="N288" i="1"/>
  <c r="Y288" i="1"/>
  <c r="Z288" i="1"/>
  <c r="N289" i="1"/>
  <c r="Y289" i="1"/>
  <c r="Z289" i="1"/>
  <c r="N290" i="1"/>
  <c r="Y290" i="1"/>
  <c r="Z290" i="1"/>
  <c r="N291" i="1"/>
  <c r="Y291" i="1"/>
  <c r="Z291" i="1"/>
  <c r="N292" i="1"/>
  <c r="Y292" i="1"/>
  <c r="Z292" i="1"/>
  <c r="N293" i="1"/>
  <c r="Y293" i="1"/>
  <c r="Z293" i="1"/>
  <c r="N294" i="1"/>
  <c r="Y294" i="1"/>
  <c r="Z294" i="1"/>
  <c r="N295" i="1"/>
  <c r="Y295" i="1"/>
  <c r="Z295" i="1"/>
  <c r="N296" i="1"/>
  <c r="Y296" i="1"/>
  <c r="Z296" i="1"/>
  <c r="N297" i="1"/>
  <c r="Y297" i="1"/>
  <c r="Z297" i="1"/>
  <c r="N298" i="1"/>
  <c r="Y298" i="1"/>
  <c r="Z298" i="1"/>
  <c r="N299" i="1"/>
  <c r="Y299" i="1"/>
  <c r="Z299" i="1"/>
  <c r="N300" i="1"/>
  <c r="Y300" i="1"/>
  <c r="Z300" i="1"/>
  <c r="N301" i="1"/>
  <c r="Y301" i="1"/>
  <c r="Z301" i="1"/>
  <c r="Y302" i="1"/>
  <c r="Z302" i="1"/>
  <c r="N303" i="1"/>
  <c r="Y303" i="1"/>
  <c r="Z303" i="1"/>
  <c r="N304" i="1"/>
  <c r="Y304" i="1"/>
  <c r="Z304" i="1"/>
  <c r="N305" i="1"/>
  <c r="Y305" i="1"/>
  <c r="Z305" i="1"/>
  <c r="N306" i="1"/>
  <c r="Y306" i="1"/>
  <c r="Z306" i="1"/>
  <c r="N307" i="1"/>
  <c r="Y307" i="1"/>
  <c r="Z307" i="1"/>
  <c r="N308" i="1"/>
  <c r="Y308" i="1"/>
  <c r="Z308" i="1"/>
  <c r="N309" i="1"/>
  <c r="Y309" i="1"/>
  <c r="Z309" i="1"/>
  <c r="N310" i="1"/>
  <c r="Y310" i="1"/>
  <c r="Z310" i="1"/>
  <c r="N311" i="1"/>
  <c r="Y311" i="1"/>
  <c r="Z311" i="1"/>
  <c r="N312" i="1"/>
  <c r="Y312" i="1"/>
  <c r="Z312" i="1"/>
  <c r="N313" i="1"/>
  <c r="Y313" i="1"/>
  <c r="Z313" i="1"/>
  <c r="N314" i="1"/>
  <c r="Y314" i="1"/>
  <c r="Z314" i="1"/>
  <c r="N315" i="1"/>
  <c r="Y315" i="1"/>
  <c r="Z315" i="1"/>
  <c r="N316" i="1"/>
  <c r="Y316" i="1"/>
  <c r="Z316" i="1"/>
  <c r="N317" i="1"/>
  <c r="Y317" i="1"/>
  <c r="Z317" i="1"/>
  <c r="N318" i="1"/>
  <c r="Y318" i="1"/>
  <c r="Z318" i="1"/>
  <c r="N319" i="1"/>
  <c r="Y319" i="1"/>
  <c r="Z319" i="1"/>
  <c r="N320" i="1"/>
  <c r="Y320" i="1"/>
  <c r="Z320" i="1"/>
  <c r="N321" i="1"/>
  <c r="Y321" i="1"/>
  <c r="Z321" i="1"/>
  <c r="N322" i="1"/>
  <c r="Y322" i="1"/>
  <c r="Z322" i="1"/>
  <c r="N323" i="1"/>
  <c r="Y323" i="1"/>
  <c r="Z323" i="1"/>
  <c r="N324" i="1"/>
  <c r="Y324" i="1"/>
  <c r="Z324" i="1"/>
  <c r="N325" i="1"/>
  <c r="Y325" i="1"/>
  <c r="Z325" i="1"/>
  <c r="N326" i="1"/>
  <c r="Y326" i="1"/>
  <c r="Z326" i="1"/>
  <c r="N327" i="1"/>
  <c r="Y327" i="1"/>
  <c r="Z327" i="1"/>
  <c r="N328" i="1"/>
  <c r="Y328" i="1"/>
  <c r="Z328" i="1"/>
  <c r="N329" i="1"/>
  <c r="Y329" i="1"/>
  <c r="Z329" i="1"/>
  <c r="N330" i="1"/>
  <c r="Y330" i="1"/>
  <c r="Z330" i="1"/>
  <c r="N331" i="1"/>
  <c r="Y331" i="1"/>
  <c r="Z331" i="1"/>
  <c r="N332" i="1"/>
  <c r="Y332" i="1"/>
  <c r="Z332" i="1"/>
  <c r="N333" i="1"/>
  <c r="Y333" i="1"/>
  <c r="Z333" i="1"/>
  <c r="N334" i="1"/>
  <c r="Y334" i="1"/>
  <c r="Z334" i="1"/>
  <c r="N335" i="1"/>
  <c r="Y335" i="1"/>
  <c r="Z335" i="1"/>
  <c r="N336" i="1"/>
  <c r="Y336" i="1"/>
  <c r="Z336" i="1"/>
  <c r="N337" i="1"/>
  <c r="Y337" i="1"/>
  <c r="Z337" i="1"/>
  <c r="N338" i="1"/>
  <c r="Y338" i="1"/>
  <c r="Z338" i="1"/>
  <c r="N339" i="1"/>
  <c r="Y339" i="1"/>
  <c r="Z339" i="1"/>
  <c r="N340" i="1"/>
  <c r="Y340" i="1"/>
  <c r="Z340" i="1"/>
  <c r="N341" i="1"/>
  <c r="Y341" i="1"/>
  <c r="Z341" i="1"/>
  <c r="N342" i="1"/>
  <c r="Y342" i="1"/>
  <c r="Z342" i="1"/>
  <c r="N343" i="1"/>
  <c r="Y343" i="1"/>
  <c r="Z343" i="1"/>
  <c r="N344" i="1"/>
  <c r="Y344" i="1"/>
  <c r="Z344" i="1"/>
  <c r="N345" i="1"/>
  <c r="Y345" i="1"/>
  <c r="Z345" i="1"/>
  <c r="N346" i="1"/>
  <c r="Y346" i="1"/>
  <c r="Z346" i="1"/>
  <c r="N347" i="1"/>
  <c r="Y347" i="1"/>
  <c r="Z347" i="1"/>
  <c r="Y348" i="1"/>
  <c r="Z348" i="1"/>
  <c r="N349" i="1"/>
  <c r="Y349" i="1"/>
  <c r="Z349" i="1"/>
  <c r="N350" i="1"/>
  <c r="Y350" i="1"/>
  <c r="Z350" i="1"/>
  <c r="N351" i="1"/>
  <c r="Y351" i="1"/>
  <c r="Z351" i="1"/>
  <c r="N352" i="1"/>
  <c r="Y352" i="1"/>
  <c r="Z352" i="1"/>
  <c r="N353" i="1"/>
  <c r="Y353" i="1"/>
  <c r="Z353" i="1"/>
  <c r="N354" i="1"/>
  <c r="Y354" i="1"/>
  <c r="Z354" i="1"/>
  <c r="N355" i="1"/>
  <c r="Y355" i="1"/>
  <c r="Z355" i="1"/>
  <c r="N356" i="1"/>
  <c r="Y356" i="1"/>
  <c r="Z356" i="1"/>
  <c r="N357" i="1"/>
  <c r="Y357" i="1"/>
  <c r="Z357" i="1"/>
  <c r="N358" i="1"/>
  <c r="Y358" i="1"/>
  <c r="Z358" i="1"/>
  <c r="N359" i="1"/>
  <c r="Y359" i="1"/>
  <c r="Z359" i="1"/>
  <c r="N360" i="1"/>
  <c r="Y360" i="1"/>
  <c r="Z360" i="1"/>
  <c r="N361" i="1"/>
  <c r="Y361" i="1"/>
  <c r="Z361" i="1"/>
  <c r="N362" i="1"/>
  <c r="Y362" i="1"/>
  <c r="Z362" i="1"/>
  <c r="N363" i="1"/>
  <c r="Y363" i="1"/>
  <c r="Z363" i="1"/>
  <c r="N364" i="1"/>
  <c r="Y364" i="1"/>
  <c r="Z364" i="1"/>
  <c r="N365" i="1"/>
  <c r="Y365" i="1"/>
  <c r="Z365" i="1"/>
  <c r="N366" i="1"/>
  <c r="Y366" i="1"/>
  <c r="Z366" i="1"/>
  <c r="N367" i="1"/>
  <c r="Y367" i="1"/>
  <c r="Z367" i="1"/>
  <c r="N368" i="1"/>
  <c r="Y368" i="1"/>
  <c r="Z368" i="1"/>
  <c r="N369" i="1"/>
  <c r="Y369" i="1"/>
  <c r="Z369" i="1"/>
  <c r="N370" i="1"/>
  <c r="Y370" i="1"/>
  <c r="Z370" i="1"/>
  <c r="N371" i="1"/>
  <c r="Y371" i="1"/>
  <c r="Z371" i="1"/>
  <c r="N372" i="1"/>
  <c r="Y372" i="1"/>
  <c r="Z372" i="1"/>
  <c r="N373" i="1"/>
  <c r="Y373" i="1"/>
  <c r="Z373" i="1"/>
  <c r="N374" i="1"/>
  <c r="Y374" i="1"/>
  <c r="Z374" i="1"/>
  <c r="N375" i="1"/>
  <c r="Y375" i="1"/>
  <c r="Z375" i="1"/>
  <c r="N376" i="1"/>
  <c r="Y376" i="1"/>
  <c r="Z376" i="1"/>
  <c r="N377" i="1"/>
  <c r="Y377" i="1"/>
  <c r="Z377" i="1"/>
  <c r="N378" i="1"/>
  <c r="Y378" i="1"/>
  <c r="Z378" i="1"/>
  <c r="N379" i="1"/>
  <c r="Y379" i="1"/>
  <c r="Z379" i="1"/>
  <c r="N380" i="1"/>
  <c r="Y380" i="1"/>
  <c r="Z380" i="1"/>
  <c r="N381" i="1"/>
  <c r="Y381" i="1"/>
  <c r="Z381" i="1"/>
  <c r="N382" i="1"/>
  <c r="Y382" i="1"/>
  <c r="Z382" i="1"/>
  <c r="N383" i="1"/>
  <c r="Y383" i="1"/>
  <c r="Z383" i="1"/>
  <c r="N384" i="1"/>
  <c r="Y384" i="1"/>
  <c r="Z384" i="1"/>
  <c r="N385" i="1"/>
  <c r="Y385" i="1"/>
  <c r="Z385" i="1"/>
  <c r="N386" i="1"/>
  <c r="Y386" i="1"/>
  <c r="Z386" i="1"/>
  <c r="N387" i="1"/>
  <c r="Y387" i="1"/>
  <c r="Z387" i="1"/>
  <c r="N388" i="1"/>
  <c r="Y388" i="1"/>
  <c r="Z388" i="1"/>
  <c r="N389" i="1"/>
  <c r="Y389" i="1"/>
  <c r="Z389" i="1"/>
  <c r="N390" i="1"/>
  <c r="Y390" i="1"/>
  <c r="Z390" i="1"/>
  <c r="N391" i="1"/>
  <c r="Y391" i="1"/>
  <c r="Z391" i="1"/>
  <c r="N392" i="1"/>
  <c r="Y392" i="1"/>
  <c r="Z392" i="1"/>
  <c r="N393" i="1"/>
  <c r="Y393" i="1"/>
  <c r="Z393" i="1"/>
  <c r="N394" i="1"/>
  <c r="Y394" i="1"/>
  <c r="Z394" i="1"/>
  <c r="N395" i="1"/>
  <c r="Y395" i="1"/>
  <c r="Z395" i="1"/>
  <c r="N396" i="1"/>
  <c r="Y396" i="1"/>
  <c r="Z396" i="1"/>
  <c r="N397" i="1"/>
  <c r="Y397" i="1"/>
  <c r="Z397" i="1"/>
  <c r="N398" i="1"/>
  <c r="Y398" i="1"/>
  <c r="Z398" i="1"/>
  <c r="N399" i="1"/>
  <c r="Y399" i="1"/>
  <c r="Z399" i="1"/>
  <c r="N400" i="1"/>
  <c r="Y400" i="1"/>
  <c r="Z400" i="1"/>
  <c r="N401" i="1"/>
  <c r="Y401" i="1"/>
  <c r="Z401" i="1"/>
  <c r="N402" i="1"/>
  <c r="Y402" i="1"/>
  <c r="Z402" i="1"/>
  <c r="N403" i="1"/>
  <c r="Y403" i="1"/>
  <c r="Z403" i="1"/>
  <c r="N404" i="1"/>
  <c r="Y404" i="1"/>
  <c r="Z404" i="1"/>
  <c r="N405" i="1"/>
  <c r="Y405" i="1"/>
  <c r="Z405" i="1"/>
  <c r="N406" i="1"/>
  <c r="Y406" i="1"/>
  <c r="Z406" i="1"/>
  <c r="N407" i="1"/>
  <c r="Y407" i="1"/>
  <c r="Z407" i="1"/>
  <c r="N408" i="1"/>
  <c r="Y408" i="1"/>
  <c r="Z408" i="1"/>
  <c r="Y409" i="1"/>
  <c r="Z409" i="1"/>
  <c r="N410" i="1"/>
  <c r="Y410" i="1"/>
  <c r="Z410" i="1"/>
  <c r="N411" i="1"/>
  <c r="Y411" i="1"/>
  <c r="Z411" i="1"/>
  <c r="N412" i="1"/>
  <c r="Y412" i="1"/>
  <c r="Z412" i="1"/>
  <c r="N413" i="1"/>
  <c r="Y413" i="1"/>
  <c r="Z413" i="1"/>
  <c r="N414" i="1"/>
  <c r="Y414" i="1"/>
  <c r="Z414" i="1"/>
  <c r="N415" i="1"/>
  <c r="Y415" i="1"/>
  <c r="Z415" i="1"/>
  <c r="N416" i="1"/>
  <c r="Y416" i="1"/>
  <c r="Z416" i="1"/>
  <c r="N417" i="1"/>
  <c r="Y417" i="1"/>
  <c r="Z417" i="1"/>
  <c r="N418" i="1"/>
  <c r="Y418" i="1"/>
  <c r="Z418" i="1"/>
  <c r="N419" i="1"/>
  <c r="Y419" i="1"/>
  <c r="Z419" i="1"/>
  <c r="N420" i="1"/>
  <c r="Y420" i="1"/>
  <c r="Z420" i="1"/>
  <c r="N421" i="1"/>
  <c r="Y421" i="1"/>
  <c r="Z421" i="1"/>
  <c r="N422" i="1"/>
  <c r="Y422" i="1"/>
  <c r="Z422" i="1"/>
  <c r="N423" i="1"/>
  <c r="Y423" i="1"/>
  <c r="Z423" i="1"/>
  <c r="N424" i="1"/>
  <c r="Y424" i="1"/>
  <c r="Z424" i="1"/>
  <c r="N425" i="1"/>
  <c r="Y425" i="1"/>
  <c r="Z425" i="1"/>
  <c r="N426" i="1"/>
  <c r="Y426" i="1"/>
  <c r="Z426" i="1"/>
  <c r="N427" i="1"/>
  <c r="Y427" i="1"/>
  <c r="Z427" i="1"/>
  <c r="N428" i="1"/>
  <c r="Y428" i="1"/>
  <c r="Z428" i="1"/>
  <c r="N429" i="1"/>
  <c r="Y429" i="1"/>
  <c r="Z429" i="1"/>
  <c r="N430" i="1"/>
  <c r="Y430" i="1"/>
  <c r="Z430" i="1"/>
  <c r="N431" i="1"/>
  <c r="Y431" i="1"/>
  <c r="Z431" i="1"/>
  <c r="N432" i="1"/>
  <c r="Y432" i="1"/>
  <c r="Z432" i="1"/>
  <c r="N433" i="1"/>
  <c r="Y433" i="1"/>
  <c r="Z433" i="1"/>
  <c r="N434" i="1"/>
  <c r="Y434" i="1"/>
  <c r="Z434" i="1"/>
  <c r="N435" i="1"/>
  <c r="Y435" i="1"/>
  <c r="Z435" i="1"/>
  <c r="N436" i="1"/>
  <c r="Y436" i="1"/>
  <c r="Z436" i="1"/>
  <c r="N437" i="1"/>
  <c r="Y437" i="1"/>
  <c r="Z437" i="1"/>
  <c r="N438" i="1"/>
  <c r="Y438" i="1"/>
  <c r="Z438" i="1"/>
  <c r="N439" i="1"/>
  <c r="Y439" i="1"/>
  <c r="Z439" i="1"/>
  <c r="N440" i="1"/>
  <c r="Y440" i="1"/>
  <c r="Z440" i="1"/>
  <c r="N441" i="1"/>
  <c r="Y441" i="1"/>
  <c r="Z441" i="1"/>
  <c r="N442" i="1"/>
  <c r="Y442" i="1"/>
  <c r="Z442" i="1"/>
  <c r="N443" i="1"/>
  <c r="Y443" i="1"/>
  <c r="Z443" i="1"/>
  <c r="N444" i="1"/>
  <c r="Y444" i="1"/>
  <c r="Z444" i="1"/>
  <c r="N445" i="1"/>
  <c r="Y445" i="1"/>
  <c r="Z445" i="1"/>
  <c r="N446" i="1"/>
  <c r="Y446" i="1"/>
  <c r="Z446" i="1"/>
  <c r="N447" i="1"/>
  <c r="Y447" i="1"/>
  <c r="Z447" i="1"/>
  <c r="N448" i="1"/>
  <c r="Y448" i="1"/>
  <c r="Z448" i="1"/>
  <c r="N449" i="1"/>
  <c r="Y449" i="1"/>
  <c r="Z449" i="1"/>
  <c r="N450" i="1"/>
  <c r="Y450" i="1"/>
  <c r="Z450" i="1"/>
  <c r="N451" i="1"/>
  <c r="Y451" i="1"/>
  <c r="Z451" i="1"/>
  <c r="N452" i="1"/>
  <c r="Y452" i="1"/>
  <c r="Z452" i="1"/>
  <c r="N453" i="1"/>
  <c r="Y453" i="1"/>
  <c r="Z453" i="1"/>
  <c r="N454" i="1"/>
  <c r="Y454" i="1"/>
  <c r="Z454" i="1"/>
  <c r="N455" i="1"/>
  <c r="Y455" i="1"/>
  <c r="Z455" i="1"/>
  <c r="N456" i="1"/>
  <c r="Y456" i="1"/>
  <c r="Z456" i="1"/>
  <c r="N457" i="1"/>
  <c r="Y457" i="1"/>
  <c r="Z457" i="1"/>
  <c r="N458" i="1"/>
  <c r="Y458" i="1"/>
  <c r="Z458" i="1"/>
  <c r="N459" i="1"/>
  <c r="Y459" i="1"/>
  <c r="Z459" i="1"/>
  <c r="N460" i="1"/>
  <c r="Y460" i="1"/>
  <c r="Z460" i="1"/>
  <c r="N461" i="1"/>
  <c r="Y461" i="1"/>
  <c r="Z461" i="1"/>
  <c r="N462" i="1"/>
  <c r="Y462" i="1"/>
  <c r="Z462" i="1"/>
  <c r="Y463" i="1"/>
  <c r="Z463" i="1"/>
  <c r="N464" i="1"/>
  <c r="Y464" i="1"/>
  <c r="Z464" i="1"/>
  <c r="N465" i="1"/>
  <c r="Y465" i="1"/>
  <c r="Z465" i="1"/>
  <c r="N466" i="1"/>
  <c r="Y466" i="1"/>
  <c r="Z466" i="1"/>
  <c r="N467" i="1"/>
  <c r="Y467" i="1"/>
  <c r="Z467" i="1"/>
  <c r="N468" i="1"/>
  <c r="Y468" i="1"/>
  <c r="Z468" i="1"/>
  <c r="N469" i="1"/>
  <c r="Y469" i="1"/>
  <c r="Z469" i="1"/>
  <c r="N470" i="1"/>
  <c r="Y470" i="1"/>
  <c r="Z470" i="1"/>
  <c r="N471" i="1"/>
  <c r="Y471" i="1"/>
  <c r="Z471" i="1"/>
  <c r="N472" i="1"/>
  <c r="Y472" i="1"/>
  <c r="Z472" i="1"/>
  <c r="N473" i="1"/>
  <c r="Y473" i="1"/>
  <c r="Z473" i="1"/>
  <c r="N474" i="1"/>
  <c r="Y474" i="1"/>
  <c r="Z474" i="1"/>
  <c r="N475" i="1"/>
  <c r="Y475" i="1"/>
  <c r="Z475" i="1"/>
  <c r="N476" i="1"/>
  <c r="Y476" i="1"/>
  <c r="Z476" i="1"/>
  <c r="N477" i="1"/>
  <c r="Y477" i="1"/>
  <c r="Z477" i="1"/>
  <c r="N478" i="1"/>
  <c r="Y478" i="1"/>
  <c r="Z478" i="1"/>
  <c r="N479" i="1"/>
  <c r="Y479" i="1"/>
  <c r="Z479" i="1"/>
  <c r="N480" i="1"/>
  <c r="Y480" i="1"/>
  <c r="Z480" i="1"/>
  <c r="N481" i="1"/>
  <c r="Y481" i="1"/>
  <c r="Z481" i="1"/>
  <c r="N482" i="1"/>
  <c r="Y482" i="1"/>
  <c r="Z482" i="1"/>
  <c r="N483" i="1"/>
  <c r="Y483" i="1"/>
  <c r="Z483" i="1"/>
  <c r="N484" i="1"/>
  <c r="Y484" i="1"/>
  <c r="Z484" i="1"/>
  <c r="N485" i="1"/>
  <c r="Y485" i="1"/>
  <c r="Z485" i="1"/>
  <c r="N486" i="1"/>
  <c r="Y486" i="1"/>
  <c r="Z486" i="1"/>
  <c r="N487" i="1"/>
  <c r="Y487" i="1"/>
  <c r="Z487" i="1"/>
  <c r="N488" i="1"/>
  <c r="Y488" i="1"/>
  <c r="Z488" i="1"/>
  <c r="N489" i="1"/>
  <c r="Y489" i="1"/>
  <c r="Z489" i="1"/>
  <c r="N490" i="1"/>
  <c r="Y490" i="1"/>
  <c r="Z490" i="1"/>
  <c r="N491" i="1"/>
  <c r="Y491" i="1"/>
  <c r="Z491" i="1"/>
  <c r="N492" i="1"/>
  <c r="Y492" i="1"/>
  <c r="Z492" i="1"/>
  <c r="N493" i="1"/>
  <c r="Y493" i="1"/>
  <c r="Z493" i="1"/>
  <c r="N494" i="1"/>
  <c r="Y494" i="1"/>
  <c r="Z494" i="1"/>
  <c r="N495" i="1"/>
  <c r="Y495" i="1"/>
  <c r="Z495" i="1"/>
  <c r="N496" i="1"/>
  <c r="Y496" i="1"/>
  <c r="Z496" i="1"/>
  <c r="N497" i="1"/>
  <c r="Y497" i="1"/>
  <c r="Z497" i="1"/>
  <c r="N498" i="1"/>
  <c r="Y498" i="1"/>
  <c r="Z498" i="1"/>
  <c r="N499" i="1"/>
  <c r="Y499" i="1"/>
  <c r="Z499" i="1"/>
  <c r="N500" i="1"/>
  <c r="Y500" i="1"/>
  <c r="Z500" i="1"/>
  <c r="N501" i="1"/>
  <c r="Y501" i="1"/>
  <c r="Z501" i="1"/>
  <c r="N502" i="1"/>
  <c r="Y502" i="1"/>
  <c r="Z502" i="1"/>
  <c r="N503" i="1"/>
  <c r="Y503" i="1"/>
  <c r="Z503" i="1"/>
  <c r="N504" i="1"/>
  <c r="Y504" i="1"/>
  <c r="Z504" i="1"/>
  <c r="N505" i="1"/>
  <c r="Y505" i="1"/>
  <c r="Z505" i="1"/>
  <c r="N506" i="1"/>
  <c r="Y506" i="1"/>
  <c r="Z506" i="1"/>
  <c r="N507" i="1"/>
  <c r="Y507" i="1"/>
  <c r="Z507" i="1"/>
  <c r="N508" i="1"/>
  <c r="Y508" i="1"/>
  <c r="Z508" i="1"/>
  <c r="N509" i="1"/>
  <c r="Y509" i="1"/>
  <c r="Z509" i="1"/>
  <c r="N510" i="1"/>
  <c r="Y510" i="1"/>
  <c r="Z510" i="1"/>
  <c r="N511" i="1"/>
  <c r="Y511" i="1"/>
  <c r="Z511" i="1"/>
  <c r="N512" i="1"/>
  <c r="Y512" i="1"/>
  <c r="Z512" i="1"/>
  <c r="N513" i="1"/>
  <c r="Y513" i="1"/>
  <c r="Z513" i="1"/>
  <c r="Y514" i="1"/>
  <c r="Z514" i="1"/>
  <c r="N515" i="1"/>
  <c r="Y515" i="1"/>
  <c r="Z515" i="1"/>
  <c r="N516" i="1"/>
  <c r="Y516" i="1"/>
  <c r="Z516" i="1"/>
  <c r="N517" i="1"/>
  <c r="Y517" i="1"/>
  <c r="Z517" i="1"/>
  <c r="N518" i="1"/>
  <c r="Y518" i="1"/>
  <c r="Z518" i="1"/>
  <c r="N519" i="1"/>
  <c r="Y519" i="1"/>
  <c r="Z519" i="1"/>
  <c r="N520" i="1"/>
  <c r="Y520" i="1"/>
  <c r="Z520" i="1"/>
  <c r="N521" i="1"/>
  <c r="Y521" i="1"/>
  <c r="Z521" i="1"/>
  <c r="N522" i="1"/>
  <c r="Y522" i="1"/>
  <c r="Z522" i="1"/>
  <c r="N523" i="1"/>
  <c r="Y523" i="1"/>
  <c r="Z523" i="1"/>
  <c r="N524" i="1"/>
  <c r="Y524" i="1"/>
  <c r="Z524" i="1"/>
  <c r="N525" i="1"/>
  <c r="Y525" i="1"/>
  <c r="Z525" i="1"/>
  <c r="N526" i="1"/>
  <c r="Y526" i="1"/>
  <c r="Z526" i="1"/>
  <c r="N527" i="1"/>
  <c r="Y527" i="1"/>
  <c r="Z527" i="1"/>
  <c r="N528" i="1"/>
  <c r="Y528" i="1"/>
  <c r="Z528" i="1"/>
  <c r="N529" i="1"/>
  <c r="Y529" i="1"/>
  <c r="Z529" i="1"/>
  <c r="N530" i="1"/>
  <c r="Y530" i="1"/>
  <c r="Z530" i="1"/>
  <c r="N531" i="1"/>
  <c r="Y531" i="1"/>
  <c r="Z531" i="1"/>
  <c r="N532" i="1"/>
  <c r="Y532" i="1"/>
  <c r="Z532" i="1"/>
  <c r="N533" i="1"/>
  <c r="Y533" i="1"/>
  <c r="Z533" i="1"/>
  <c r="N534" i="1"/>
  <c r="Y534" i="1"/>
  <c r="Z534" i="1"/>
  <c r="N535" i="1"/>
  <c r="Y535" i="1"/>
  <c r="Z535" i="1"/>
  <c r="N536" i="1"/>
  <c r="Y536" i="1"/>
  <c r="Z536" i="1"/>
  <c r="N537" i="1"/>
  <c r="Y537" i="1"/>
  <c r="Z537" i="1"/>
  <c r="N538" i="1"/>
  <c r="Y538" i="1"/>
  <c r="Z538" i="1"/>
  <c r="N539" i="1"/>
  <c r="Y539" i="1"/>
  <c r="Z539" i="1"/>
  <c r="N540" i="1"/>
  <c r="Y540" i="1"/>
  <c r="Z540" i="1"/>
  <c r="N541" i="1"/>
  <c r="Y541" i="1"/>
  <c r="Z541" i="1"/>
  <c r="N542" i="1"/>
  <c r="Y542" i="1"/>
  <c r="Z542" i="1"/>
  <c r="N543" i="1"/>
  <c r="Y543" i="1"/>
  <c r="Z543" i="1"/>
  <c r="N544" i="1"/>
  <c r="Y544" i="1"/>
  <c r="Z544" i="1"/>
  <c r="N545" i="1"/>
  <c r="Y545" i="1"/>
  <c r="Z545" i="1"/>
  <c r="N546" i="1"/>
  <c r="Y546" i="1"/>
  <c r="Z546" i="1"/>
  <c r="N547" i="1"/>
  <c r="Y547" i="1"/>
  <c r="Z547" i="1"/>
  <c r="N548" i="1"/>
  <c r="Y548" i="1"/>
  <c r="Z548" i="1"/>
  <c r="N549" i="1"/>
  <c r="Y549" i="1"/>
  <c r="Z549" i="1"/>
  <c r="N550" i="1"/>
  <c r="Y550" i="1"/>
  <c r="Z550" i="1"/>
  <c r="N551" i="1"/>
  <c r="Y551" i="1"/>
  <c r="Z551" i="1"/>
  <c r="N552" i="1"/>
  <c r="Y552" i="1"/>
  <c r="Z552" i="1"/>
  <c r="N553" i="1"/>
  <c r="Y553" i="1"/>
  <c r="Z553" i="1"/>
  <c r="N554" i="1"/>
  <c r="Y554" i="1"/>
  <c r="Z554" i="1"/>
  <c r="N555" i="1"/>
  <c r="Y555" i="1"/>
  <c r="Z555" i="1"/>
  <c r="N556" i="1"/>
  <c r="Y556" i="1"/>
  <c r="Z556" i="1"/>
  <c r="N557" i="1"/>
  <c r="Y557" i="1"/>
  <c r="Z557" i="1"/>
  <c r="N558" i="1"/>
  <c r="Y558" i="1"/>
  <c r="Z558" i="1"/>
  <c r="N559" i="1"/>
  <c r="Y559" i="1"/>
  <c r="Z559" i="1"/>
  <c r="N560" i="1"/>
  <c r="Y560" i="1"/>
  <c r="Z560" i="1"/>
  <c r="N561" i="1"/>
  <c r="Y561" i="1"/>
  <c r="Z561" i="1"/>
  <c r="N562" i="1"/>
  <c r="Y562" i="1"/>
  <c r="Z562" i="1"/>
  <c r="N563" i="1"/>
  <c r="Y563" i="1"/>
  <c r="Z563" i="1"/>
  <c r="N564" i="1"/>
  <c r="Y564" i="1"/>
  <c r="Z564" i="1"/>
  <c r="N565" i="1"/>
  <c r="Y565" i="1"/>
  <c r="Z565" i="1"/>
  <c r="N566" i="1"/>
  <c r="Y566" i="1"/>
  <c r="Z566" i="1"/>
  <c r="N567" i="1"/>
  <c r="Y567" i="1"/>
  <c r="Z567" i="1"/>
  <c r="N568" i="1"/>
  <c r="Y568" i="1"/>
  <c r="Z568" i="1"/>
  <c r="N569" i="1"/>
  <c r="Y569" i="1"/>
  <c r="Z569" i="1"/>
  <c r="N570" i="1"/>
  <c r="Y570" i="1"/>
  <c r="Z570" i="1"/>
  <c r="N571" i="1"/>
  <c r="Y571" i="1"/>
  <c r="Z571" i="1"/>
  <c r="N572" i="1"/>
  <c r="Y572" i="1"/>
  <c r="Z572" i="1"/>
  <c r="N573" i="1"/>
  <c r="Y573" i="1"/>
  <c r="Z573" i="1"/>
  <c r="N574" i="1"/>
  <c r="Y574" i="1"/>
  <c r="Z574" i="1"/>
  <c r="Y575" i="1"/>
  <c r="Z575" i="1"/>
  <c r="N576" i="1"/>
  <c r="Y576" i="1"/>
  <c r="Z576" i="1"/>
  <c r="N577" i="1"/>
  <c r="Y577" i="1"/>
  <c r="Z577" i="1"/>
  <c r="N578" i="1"/>
  <c r="Y578" i="1"/>
  <c r="Z578" i="1"/>
  <c r="N579" i="1"/>
  <c r="Y579" i="1"/>
  <c r="Z579" i="1"/>
  <c r="N580" i="1"/>
  <c r="Y580" i="1"/>
  <c r="Z580" i="1"/>
  <c r="N581" i="1"/>
  <c r="Y581" i="1"/>
  <c r="Z581" i="1"/>
  <c r="N582" i="1"/>
  <c r="Y582" i="1"/>
  <c r="Z582" i="1"/>
  <c r="N583" i="1"/>
  <c r="Y583" i="1"/>
  <c r="Z583" i="1"/>
  <c r="N584" i="1"/>
  <c r="Y584" i="1"/>
  <c r="Z584" i="1"/>
  <c r="N585" i="1"/>
  <c r="Y585" i="1"/>
  <c r="Z585" i="1"/>
  <c r="N586" i="1"/>
  <c r="Y586" i="1"/>
  <c r="Z586" i="1"/>
  <c r="N587" i="1"/>
  <c r="Y587" i="1"/>
  <c r="Z587" i="1"/>
  <c r="N588" i="1"/>
  <c r="Y588" i="1"/>
  <c r="Z588" i="1"/>
  <c r="N589" i="1"/>
  <c r="Y589" i="1"/>
  <c r="Z589" i="1"/>
  <c r="N590" i="1"/>
  <c r="Y590" i="1"/>
  <c r="Z590" i="1"/>
  <c r="N591" i="1"/>
  <c r="Y591" i="1"/>
  <c r="Z591" i="1"/>
  <c r="N592" i="1"/>
  <c r="Y592" i="1"/>
  <c r="Z592" i="1"/>
  <c r="N593" i="1"/>
  <c r="Y593" i="1"/>
  <c r="Z593" i="1"/>
  <c r="N594" i="1"/>
  <c r="Y594" i="1"/>
  <c r="Z594" i="1"/>
  <c r="N595" i="1"/>
  <c r="Y595" i="1"/>
  <c r="Z595" i="1"/>
  <c r="N596" i="1"/>
  <c r="Y596" i="1"/>
  <c r="Z596" i="1"/>
  <c r="N597" i="1"/>
  <c r="Y597" i="1"/>
  <c r="Z597" i="1"/>
  <c r="N598" i="1"/>
  <c r="Y598" i="1"/>
  <c r="Z598" i="1"/>
  <c r="N599" i="1"/>
  <c r="Y599" i="1"/>
  <c r="Z599" i="1"/>
  <c r="N600" i="1"/>
  <c r="Y600" i="1"/>
  <c r="Z600" i="1"/>
  <c r="N601" i="1"/>
  <c r="Y601" i="1"/>
  <c r="Z601" i="1"/>
  <c r="N602" i="1"/>
  <c r="Y602" i="1"/>
  <c r="Z602" i="1"/>
  <c r="N603" i="1"/>
  <c r="Y603" i="1"/>
  <c r="Z603" i="1"/>
  <c r="N604" i="1"/>
  <c r="Y604" i="1"/>
  <c r="Z604" i="1"/>
  <c r="N605" i="1"/>
  <c r="Y605" i="1"/>
  <c r="Z605" i="1"/>
  <c r="N606" i="1"/>
  <c r="Y606" i="1"/>
  <c r="Z606" i="1"/>
  <c r="N607" i="1"/>
  <c r="Y607" i="1"/>
  <c r="Z607" i="1"/>
  <c r="N608" i="1"/>
  <c r="Y608" i="1"/>
  <c r="Z608" i="1"/>
  <c r="N609" i="1"/>
  <c r="Y609" i="1"/>
  <c r="Z609" i="1"/>
  <c r="N610" i="1"/>
  <c r="Y610" i="1"/>
  <c r="Z610" i="1"/>
  <c r="N611" i="1"/>
  <c r="Y611" i="1"/>
  <c r="Z611" i="1"/>
  <c r="N612" i="1"/>
  <c r="Y612" i="1"/>
  <c r="Z612" i="1"/>
  <c r="N613" i="1"/>
  <c r="Y613" i="1"/>
  <c r="Z613" i="1"/>
  <c r="N614" i="1"/>
  <c r="Y614" i="1"/>
  <c r="Z614" i="1"/>
  <c r="N615" i="1"/>
  <c r="Y615" i="1"/>
  <c r="Z615" i="1"/>
  <c r="N616" i="1"/>
  <c r="Y616" i="1"/>
  <c r="Z616" i="1"/>
  <c r="N617" i="1"/>
  <c r="Y617" i="1"/>
  <c r="Z617" i="1"/>
  <c r="N618" i="1"/>
  <c r="Y618" i="1"/>
  <c r="Z618" i="1"/>
  <c r="N619" i="1"/>
  <c r="Y619" i="1"/>
  <c r="Z619" i="1"/>
  <c r="N620" i="1"/>
  <c r="Y620" i="1"/>
  <c r="Z620" i="1"/>
  <c r="N621" i="1"/>
  <c r="Y621" i="1"/>
  <c r="Z621" i="1"/>
  <c r="N622" i="1"/>
  <c r="Y622" i="1"/>
  <c r="Z622" i="1"/>
  <c r="Y623" i="1"/>
  <c r="Z623" i="1"/>
  <c r="N624" i="1"/>
  <c r="Y624" i="1"/>
  <c r="Z624" i="1"/>
  <c r="N625" i="1"/>
  <c r="Y625" i="1"/>
  <c r="Z625" i="1"/>
  <c r="N626" i="1"/>
  <c r="Y626" i="1"/>
  <c r="Z626" i="1"/>
  <c r="N627" i="1"/>
  <c r="Y627" i="1"/>
  <c r="Z627" i="1"/>
  <c r="N628" i="1"/>
  <c r="Y628" i="1"/>
  <c r="Z628" i="1"/>
  <c r="N629" i="1"/>
  <c r="Y629" i="1"/>
  <c r="Z629" i="1"/>
  <c r="N630" i="1"/>
  <c r="Y630" i="1"/>
  <c r="Z630" i="1"/>
  <c r="N631" i="1"/>
  <c r="Y631" i="1"/>
  <c r="Z631" i="1"/>
  <c r="N632" i="1"/>
  <c r="Y632" i="1"/>
  <c r="Z632" i="1"/>
  <c r="N633" i="1"/>
  <c r="Y633" i="1"/>
  <c r="Z633" i="1"/>
  <c r="N634" i="1"/>
  <c r="Y634" i="1"/>
  <c r="Z634" i="1"/>
  <c r="N635" i="1"/>
  <c r="Y635" i="1"/>
  <c r="Z635" i="1"/>
  <c r="N636" i="1"/>
  <c r="Y636" i="1"/>
  <c r="Z636" i="1"/>
  <c r="N637" i="1"/>
  <c r="Y637" i="1"/>
  <c r="Z637" i="1"/>
  <c r="N638" i="1"/>
  <c r="Y638" i="1"/>
  <c r="Z638" i="1"/>
  <c r="N639" i="1"/>
  <c r="Y639" i="1"/>
  <c r="Z639" i="1"/>
  <c r="N640" i="1"/>
  <c r="Y640" i="1"/>
  <c r="Z640" i="1"/>
  <c r="N641" i="1"/>
  <c r="Y641" i="1"/>
  <c r="Z641" i="1"/>
  <c r="N642" i="1"/>
  <c r="Y642" i="1"/>
  <c r="Z642" i="1"/>
  <c r="N643" i="1"/>
  <c r="Y643" i="1"/>
  <c r="Z643" i="1"/>
  <c r="N644" i="1"/>
  <c r="Y644" i="1"/>
  <c r="Z644" i="1"/>
  <c r="N645" i="1"/>
  <c r="Y645" i="1"/>
  <c r="Z645" i="1"/>
  <c r="N646" i="1"/>
  <c r="Y646" i="1"/>
  <c r="Z646" i="1"/>
  <c r="N647" i="1"/>
  <c r="Y647" i="1"/>
  <c r="Z647" i="1"/>
  <c r="N648" i="1"/>
  <c r="Y648" i="1"/>
  <c r="Z648" i="1"/>
  <c r="N649" i="1"/>
  <c r="Y649" i="1"/>
  <c r="Z649" i="1"/>
  <c r="N650" i="1"/>
  <c r="Y650" i="1"/>
  <c r="Z650" i="1"/>
  <c r="N651" i="1"/>
  <c r="Y651" i="1"/>
  <c r="Z651" i="1"/>
  <c r="N652" i="1"/>
  <c r="Y652" i="1"/>
  <c r="Z652" i="1"/>
  <c r="N653" i="1"/>
  <c r="Y653" i="1"/>
  <c r="Z653" i="1"/>
  <c r="N654" i="1"/>
  <c r="Y654" i="1"/>
  <c r="Z654" i="1"/>
  <c r="N655" i="1"/>
  <c r="Y655" i="1"/>
  <c r="Z655" i="1"/>
  <c r="N656" i="1"/>
  <c r="Y656" i="1"/>
  <c r="Z656" i="1"/>
  <c r="N657" i="1"/>
  <c r="Y657" i="1"/>
  <c r="Z657" i="1"/>
  <c r="N658" i="1"/>
  <c r="Y658" i="1"/>
  <c r="Z658" i="1"/>
  <c r="N659" i="1"/>
  <c r="Y659" i="1"/>
  <c r="Z659" i="1"/>
  <c r="N660" i="1"/>
  <c r="Y660" i="1"/>
  <c r="Z660" i="1"/>
  <c r="N661" i="1"/>
  <c r="Y661" i="1"/>
  <c r="Z661" i="1"/>
  <c r="N662" i="1"/>
  <c r="Y662" i="1"/>
  <c r="Z662" i="1"/>
  <c r="N663" i="1"/>
  <c r="Y663" i="1"/>
  <c r="Z663" i="1"/>
  <c r="N664" i="1"/>
  <c r="Y664" i="1"/>
  <c r="Z664" i="1"/>
  <c r="N665" i="1"/>
  <c r="Y665" i="1"/>
  <c r="Z665" i="1"/>
  <c r="N666" i="1"/>
  <c r="Y666" i="1"/>
  <c r="Z666" i="1"/>
  <c r="N667" i="1"/>
  <c r="Y667" i="1"/>
  <c r="Z667" i="1"/>
  <c r="N668" i="1"/>
  <c r="Y668" i="1"/>
  <c r="Z668" i="1"/>
  <c r="N669" i="1"/>
  <c r="Y669" i="1"/>
  <c r="Z669" i="1"/>
  <c r="N670" i="1"/>
  <c r="Y670" i="1"/>
  <c r="Z670" i="1"/>
  <c r="N671" i="1"/>
  <c r="Y671" i="1"/>
  <c r="Z671" i="1"/>
  <c r="N672" i="1"/>
  <c r="Y672" i="1"/>
  <c r="Z672" i="1"/>
  <c r="N673" i="1"/>
  <c r="Y673" i="1"/>
  <c r="Z673" i="1"/>
  <c r="N674" i="1"/>
  <c r="Y674" i="1"/>
  <c r="Z674" i="1"/>
  <c r="N675" i="1"/>
  <c r="Y675" i="1"/>
  <c r="Z675" i="1"/>
  <c r="N676" i="1"/>
  <c r="Y676" i="1"/>
  <c r="Z676" i="1"/>
  <c r="N677" i="1"/>
  <c r="Y677" i="1"/>
  <c r="Z677" i="1"/>
  <c r="N678" i="1"/>
  <c r="Y678" i="1"/>
  <c r="Z678" i="1"/>
  <c r="N679" i="1"/>
  <c r="Y679" i="1"/>
  <c r="Z679" i="1"/>
  <c r="N680" i="1"/>
  <c r="Y680" i="1"/>
  <c r="Z680" i="1"/>
  <c r="N681" i="1"/>
  <c r="Y681" i="1"/>
  <c r="Z681" i="1"/>
  <c r="N682" i="1"/>
  <c r="Y682" i="1"/>
  <c r="Z682" i="1"/>
  <c r="N683" i="1"/>
  <c r="Y683" i="1"/>
  <c r="Z683" i="1"/>
  <c r="N684" i="1"/>
  <c r="Y684" i="1"/>
  <c r="Z684" i="1"/>
  <c r="Y685" i="1"/>
  <c r="Z685" i="1"/>
  <c r="N686" i="1"/>
  <c r="Y686" i="1"/>
  <c r="Z686" i="1"/>
  <c r="N687" i="1"/>
  <c r="Y687" i="1"/>
  <c r="Z687" i="1"/>
  <c r="N688" i="1"/>
  <c r="Y688" i="1"/>
  <c r="Z688" i="1"/>
  <c r="N689" i="1"/>
  <c r="Y689" i="1"/>
  <c r="Z689" i="1"/>
  <c r="N690" i="1"/>
  <c r="Y690" i="1"/>
  <c r="Z690" i="1"/>
  <c r="N691" i="1"/>
  <c r="Y691" i="1"/>
  <c r="Z691" i="1"/>
  <c r="N692" i="1"/>
  <c r="Y692" i="1"/>
  <c r="Z692" i="1"/>
  <c r="N693" i="1"/>
  <c r="Y693" i="1"/>
  <c r="Z693" i="1"/>
  <c r="N694" i="1"/>
  <c r="Y694" i="1"/>
  <c r="Z694" i="1"/>
  <c r="N695" i="1"/>
  <c r="Y695" i="1"/>
  <c r="Z695" i="1"/>
  <c r="N696" i="1"/>
  <c r="Y696" i="1"/>
  <c r="Z696" i="1"/>
  <c r="N697" i="1"/>
  <c r="Y697" i="1"/>
  <c r="Z697" i="1"/>
  <c r="N698" i="1"/>
  <c r="Y698" i="1"/>
  <c r="Z698" i="1"/>
  <c r="N699" i="1"/>
  <c r="Y699" i="1"/>
  <c r="Z699" i="1"/>
  <c r="N700" i="1"/>
  <c r="Y700" i="1"/>
  <c r="Z700" i="1"/>
  <c r="N701" i="1"/>
  <c r="Y701" i="1"/>
  <c r="Z701" i="1"/>
  <c r="N702" i="1"/>
  <c r="Y702" i="1"/>
  <c r="Z702" i="1"/>
  <c r="N703" i="1"/>
  <c r="Y703" i="1"/>
  <c r="Z703" i="1"/>
  <c r="N704" i="1"/>
  <c r="Y704" i="1"/>
  <c r="Z704" i="1"/>
  <c r="N705" i="1"/>
  <c r="Y705" i="1"/>
  <c r="Z705" i="1"/>
  <c r="N706" i="1"/>
  <c r="Y706" i="1"/>
  <c r="Z706" i="1"/>
  <c r="N707" i="1"/>
  <c r="Y707" i="1"/>
  <c r="Z707" i="1"/>
  <c r="N708" i="1"/>
  <c r="Y708" i="1"/>
  <c r="Z708" i="1"/>
  <c r="N709" i="1"/>
  <c r="Y709" i="1"/>
  <c r="Z709" i="1"/>
  <c r="N710" i="1"/>
  <c r="Y710" i="1"/>
  <c r="Z710" i="1"/>
  <c r="N711" i="1"/>
  <c r="Y711" i="1"/>
  <c r="Z711" i="1"/>
  <c r="N712" i="1"/>
  <c r="Y712" i="1"/>
  <c r="Z712" i="1"/>
  <c r="N713" i="1"/>
  <c r="Y713" i="1"/>
  <c r="Z713" i="1"/>
  <c r="N714" i="1"/>
  <c r="Y714" i="1"/>
  <c r="Z714" i="1"/>
  <c r="N715" i="1"/>
  <c r="Y715" i="1"/>
  <c r="Z715" i="1"/>
  <c r="N716" i="1"/>
  <c r="Y716" i="1"/>
  <c r="Z716" i="1"/>
  <c r="N717" i="1"/>
  <c r="Y717" i="1"/>
  <c r="Z717" i="1"/>
  <c r="N718" i="1"/>
  <c r="Y718" i="1"/>
  <c r="Z718" i="1"/>
  <c r="N719" i="1"/>
  <c r="Y719" i="1"/>
  <c r="Z719" i="1"/>
  <c r="N720" i="1"/>
  <c r="Y720" i="1"/>
  <c r="Z720" i="1"/>
  <c r="N721" i="1"/>
  <c r="Y721" i="1"/>
  <c r="Z721" i="1"/>
  <c r="N722" i="1"/>
  <c r="Y722" i="1"/>
  <c r="Z722" i="1"/>
  <c r="N723" i="1"/>
  <c r="Y723" i="1"/>
  <c r="Z723" i="1"/>
  <c r="N724" i="1"/>
  <c r="Y724" i="1"/>
  <c r="Z724" i="1"/>
  <c r="N725" i="1"/>
  <c r="Y725" i="1"/>
  <c r="Z725" i="1"/>
  <c r="N726" i="1"/>
  <c r="Y726" i="1"/>
  <c r="Z726" i="1"/>
  <c r="N727" i="1"/>
  <c r="Y727" i="1"/>
  <c r="Z727" i="1"/>
  <c r="N728" i="1"/>
  <c r="Y728" i="1"/>
  <c r="Z728" i="1"/>
  <c r="N729" i="1"/>
  <c r="Y729" i="1"/>
  <c r="Z729" i="1"/>
  <c r="N730" i="1"/>
  <c r="Y730" i="1"/>
  <c r="Z730" i="1"/>
  <c r="N731" i="1"/>
  <c r="Y731" i="1"/>
  <c r="Z731" i="1"/>
  <c r="N732" i="1"/>
  <c r="Y732" i="1"/>
  <c r="Z732" i="1"/>
  <c r="N733" i="1"/>
  <c r="Y733" i="1"/>
  <c r="Z733" i="1"/>
  <c r="N734" i="1"/>
  <c r="Y734" i="1"/>
  <c r="Z734" i="1"/>
  <c r="N735" i="1"/>
  <c r="Y735" i="1"/>
  <c r="Z735" i="1"/>
  <c r="N736" i="1"/>
  <c r="Y736" i="1"/>
  <c r="Z736" i="1"/>
  <c r="N737" i="1"/>
  <c r="Y737" i="1"/>
  <c r="Z737" i="1"/>
  <c r="N738" i="1"/>
  <c r="Y738" i="1"/>
  <c r="Z738" i="1"/>
  <c r="N739" i="1"/>
  <c r="Y739" i="1"/>
  <c r="Z739" i="1"/>
  <c r="N740" i="1"/>
  <c r="Y740" i="1"/>
  <c r="Z740" i="1"/>
  <c r="N741" i="1"/>
  <c r="Y741" i="1"/>
  <c r="Z741" i="1"/>
  <c r="Y742" i="1"/>
  <c r="Z742" i="1"/>
  <c r="N743" i="1"/>
  <c r="Y743" i="1"/>
  <c r="Z743" i="1"/>
  <c r="N744" i="1"/>
  <c r="Y744" i="1"/>
  <c r="Z744" i="1"/>
  <c r="N745" i="1"/>
  <c r="Y745" i="1"/>
  <c r="Z745" i="1"/>
  <c r="N746" i="1"/>
  <c r="Y746" i="1"/>
  <c r="Z746" i="1"/>
  <c r="N747" i="1"/>
  <c r="Y747" i="1"/>
  <c r="Z747" i="1"/>
  <c r="N748" i="1"/>
  <c r="Y748" i="1"/>
  <c r="Z748" i="1"/>
  <c r="N749" i="1"/>
  <c r="Y749" i="1"/>
  <c r="Z749" i="1"/>
  <c r="N750" i="1"/>
  <c r="Y750" i="1"/>
  <c r="Z750" i="1"/>
  <c r="N751" i="1"/>
  <c r="Y751" i="1"/>
  <c r="Z751" i="1"/>
  <c r="N752" i="1"/>
  <c r="Y752" i="1"/>
  <c r="Z752" i="1"/>
  <c r="N753" i="1"/>
  <c r="Y753" i="1"/>
  <c r="Z753" i="1"/>
  <c r="N754" i="1"/>
  <c r="Y754" i="1"/>
  <c r="Z754" i="1"/>
  <c r="N755" i="1"/>
  <c r="Y755" i="1"/>
  <c r="Z755" i="1"/>
  <c r="N756" i="1"/>
  <c r="Y756" i="1"/>
  <c r="Z756" i="1"/>
  <c r="N757" i="1"/>
  <c r="Y757" i="1"/>
  <c r="Z757" i="1"/>
  <c r="N758" i="1"/>
  <c r="Y758" i="1"/>
  <c r="Z758" i="1"/>
  <c r="N759" i="1"/>
  <c r="Y759" i="1"/>
  <c r="Z759" i="1"/>
  <c r="N760" i="1"/>
  <c r="Y760" i="1"/>
  <c r="Z760" i="1"/>
  <c r="N761" i="1"/>
  <c r="Y761" i="1"/>
  <c r="Z761" i="1"/>
  <c r="N762" i="1"/>
  <c r="Y762" i="1"/>
  <c r="Z762" i="1"/>
  <c r="N763" i="1"/>
  <c r="Y763" i="1"/>
  <c r="Z763" i="1"/>
  <c r="N764" i="1"/>
  <c r="Y764" i="1"/>
  <c r="Z764" i="1"/>
  <c r="N765" i="1"/>
  <c r="Y765" i="1"/>
  <c r="Z765" i="1"/>
  <c r="N766" i="1"/>
  <c r="Y766" i="1"/>
  <c r="Z766" i="1"/>
  <c r="N767" i="1"/>
  <c r="Y767" i="1"/>
  <c r="Z767" i="1"/>
  <c r="N768" i="1"/>
  <c r="Y768" i="1"/>
  <c r="Z768" i="1"/>
  <c r="N769" i="1"/>
  <c r="Y769" i="1"/>
  <c r="Z769" i="1"/>
  <c r="N770" i="1"/>
  <c r="Y770" i="1"/>
  <c r="Z770" i="1"/>
  <c r="N771" i="1"/>
  <c r="Y771" i="1"/>
  <c r="Z771" i="1"/>
  <c r="N772" i="1"/>
  <c r="Y772" i="1"/>
  <c r="Z772" i="1"/>
  <c r="N773" i="1"/>
  <c r="Y773" i="1"/>
  <c r="Z773" i="1"/>
  <c r="N774" i="1"/>
  <c r="Y774" i="1"/>
  <c r="Z774" i="1"/>
  <c r="N775" i="1"/>
  <c r="Y775" i="1"/>
  <c r="Z775" i="1"/>
  <c r="N776" i="1"/>
  <c r="Y776" i="1"/>
  <c r="Z776" i="1"/>
  <c r="N777" i="1"/>
  <c r="Y777" i="1"/>
  <c r="Z777" i="1"/>
  <c r="N778" i="1"/>
  <c r="Y778" i="1"/>
  <c r="Z778" i="1"/>
  <c r="N779" i="1"/>
  <c r="Y779" i="1"/>
  <c r="Z779" i="1"/>
  <c r="N780" i="1"/>
  <c r="Y780" i="1"/>
  <c r="Z780" i="1"/>
  <c r="N781" i="1"/>
  <c r="Y781" i="1"/>
  <c r="Z781" i="1"/>
  <c r="N782" i="1"/>
  <c r="Y782" i="1"/>
  <c r="Z782" i="1"/>
  <c r="N783" i="1"/>
  <c r="Y783" i="1"/>
  <c r="Z783" i="1"/>
  <c r="N784" i="1"/>
  <c r="Y784" i="1"/>
  <c r="Z784" i="1"/>
  <c r="N785" i="1"/>
  <c r="Y785" i="1"/>
  <c r="Z785" i="1"/>
  <c r="N786" i="1"/>
  <c r="Y786" i="1"/>
  <c r="Z786" i="1"/>
  <c r="N787" i="1"/>
  <c r="Y787" i="1"/>
  <c r="Z787" i="1"/>
  <c r="N788" i="1"/>
  <c r="Y788" i="1"/>
  <c r="Z788" i="1"/>
  <c r="N789" i="1"/>
  <c r="Y789" i="1"/>
  <c r="Z789" i="1"/>
  <c r="N790" i="1"/>
  <c r="Y790" i="1"/>
  <c r="Z790" i="1"/>
  <c r="N791" i="1"/>
  <c r="Y791" i="1"/>
  <c r="Z791" i="1"/>
  <c r="N792" i="1"/>
  <c r="Y792" i="1"/>
  <c r="Z792" i="1"/>
  <c r="N793" i="1"/>
  <c r="Y793" i="1"/>
  <c r="Z793" i="1"/>
  <c r="N794" i="1"/>
  <c r="Y794" i="1"/>
  <c r="Z794" i="1"/>
  <c r="N795" i="1"/>
  <c r="Y795" i="1"/>
  <c r="Z795" i="1"/>
  <c r="N796" i="1"/>
  <c r="Y796" i="1"/>
  <c r="Z796" i="1"/>
  <c r="N797" i="1"/>
  <c r="Y797" i="1"/>
  <c r="Z797" i="1"/>
  <c r="N798" i="1"/>
  <c r="Y798" i="1"/>
  <c r="Z798" i="1"/>
  <c r="N799" i="1"/>
  <c r="Y799" i="1"/>
  <c r="Z799" i="1"/>
  <c r="N800" i="1"/>
  <c r="Y800" i="1"/>
  <c r="Z800" i="1"/>
  <c r="N801" i="1"/>
  <c r="Y801" i="1"/>
  <c r="Z801" i="1"/>
  <c r="Y802" i="1"/>
  <c r="Z802" i="1"/>
  <c r="N803" i="1"/>
  <c r="Y803" i="1"/>
  <c r="Z803" i="1"/>
  <c r="N804" i="1"/>
  <c r="Y804" i="1"/>
  <c r="Z804" i="1"/>
  <c r="N805" i="1"/>
  <c r="Y805" i="1"/>
  <c r="Z805" i="1"/>
  <c r="N806" i="1"/>
  <c r="Y806" i="1"/>
  <c r="Z806" i="1"/>
  <c r="N807" i="1"/>
  <c r="Y807" i="1"/>
  <c r="Z807" i="1"/>
  <c r="N808" i="1"/>
  <c r="Y808" i="1"/>
  <c r="Z808" i="1"/>
  <c r="N809" i="1"/>
  <c r="Y809" i="1"/>
  <c r="Z809" i="1"/>
  <c r="N810" i="1"/>
  <c r="Y810" i="1"/>
  <c r="Z810" i="1"/>
  <c r="N811" i="1"/>
  <c r="Y811" i="1"/>
  <c r="Z811" i="1"/>
  <c r="N812" i="1"/>
  <c r="Y812" i="1"/>
  <c r="Z812" i="1"/>
  <c r="N813" i="1"/>
  <c r="Y813" i="1"/>
  <c r="Z813" i="1"/>
  <c r="N814" i="1"/>
  <c r="Y814" i="1"/>
  <c r="Z814" i="1"/>
  <c r="N815" i="1"/>
  <c r="Y815" i="1"/>
  <c r="Z815" i="1"/>
  <c r="N816" i="1"/>
  <c r="Y816" i="1"/>
  <c r="Z816" i="1"/>
  <c r="N817" i="1"/>
  <c r="Y817" i="1"/>
  <c r="Z817" i="1"/>
  <c r="N818" i="1"/>
  <c r="Y818" i="1"/>
  <c r="Z818" i="1"/>
  <c r="N819" i="1"/>
  <c r="Y819" i="1"/>
  <c r="Z819" i="1"/>
  <c r="N820" i="1"/>
  <c r="Y820" i="1"/>
  <c r="Z820" i="1"/>
  <c r="N821" i="1"/>
  <c r="Y821" i="1"/>
  <c r="Z821" i="1"/>
  <c r="N822" i="1"/>
  <c r="Y822" i="1"/>
  <c r="Z822" i="1"/>
  <c r="N823" i="1"/>
  <c r="Y823" i="1"/>
  <c r="Z823" i="1"/>
  <c r="N824" i="1"/>
  <c r="Y824" i="1"/>
  <c r="Z824" i="1"/>
  <c r="N825" i="1"/>
  <c r="Y825" i="1"/>
  <c r="Z825" i="1"/>
  <c r="N826" i="1"/>
  <c r="Y826" i="1"/>
  <c r="Z826" i="1"/>
  <c r="N827" i="1"/>
  <c r="Y827" i="1"/>
  <c r="Z827" i="1"/>
  <c r="N828" i="1"/>
  <c r="Y828" i="1"/>
  <c r="Z828" i="1"/>
  <c r="N829" i="1"/>
  <c r="Y829" i="1"/>
  <c r="Z829" i="1"/>
  <c r="N830" i="1"/>
  <c r="Y830" i="1"/>
  <c r="Z830" i="1"/>
  <c r="N831" i="1"/>
  <c r="Y831" i="1"/>
  <c r="Z831" i="1"/>
  <c r="N832" i="1"/>
  <c r="Y832" i="1"/>
  <c r="Z832" i="1"/>
  <c r="N833" i="1"/>
  <c r="Y833" i="1"/>
  <c r="Z833" i="1"/>
  <c r="N834" i="1"/>
  <c r="Y834" i="1"/>
  <c r="Z834" i="1"/>
  <c r="N835" i="1"/>
  <c r="Y835" i="1"/>
  <c r="Z835" i="1"/>
  <c r="N836" i="1"/>
  <c r="Y836" i="1"/>
  <c r="Z836" i="1"/>
  <c r="N837" i="1"/>
  <c r="Y837" i="1"/>
  <c r="Z837" i="1"/>
  <c r="N838" i="1"/>
  <c r="Y838" i="1"/>
  <c r="Z838" i="1"/>
  <c r="N839" i="1"/>
  <c r="Y839" i="1"/>
  <c r="Z839" i="1"/>
  <c r="N840" i="1"/>
  <c r="Y840" i="1"/>
  <c r="Z840" i="1"/>
  <c r="N841" i="1"/>
  <c r="Y841" i="1"/>
  <c r="Z841" i="1"/>
  <c r="N842" i="1"/>
  <c r="Y842" i="1"/>
  <c r="Z842" i="1"/>
  <c r="N843" i="1"/>
  <c r="Y843" i="1"/>
  <c r="Z843" i="1"/>
  <c r="N844" i="1"/>
  <c r="Y844" i="1"/>
  <c r="Z844" i="1"/>
  <c r="N845" i="1"/>
  <c r="Y845" i="1"/>
  <c r="Z845" i="1"/>
  <c r="N846" i="1"/>
  <c r="Y846" i="1"/>
  <c r="Z846" i="1"/>
  <c r="N847" i="1"/>
  <c r="Y847" i="1"/>
  <c r="Z847" i="1"/>
  <c r="N848" i="1"/>
  <c r="Y848" i="1"/>
  <c r="Z848" i="1"/>
  <c r="N849" i="1"/>
  <c r="Y849" i="1"/>
  <c r="Z849" i="1"/>
  <c r="N850" i="1"/>
  <c r="Y850" i="1"/>
  <c r="Z850" i="1"/>
  <c r="N851" i="1"/>
  <c r="Y851" i="1"/>
  <c r="Z851" i="1"/>
  <c r="N852" i="1"/>
  <c r="Y852" i="1"/>
  <c r="Z852" i="1"/>
  <c r="N853" i="1"/>
  <c r="Y853" i="1"/>
  <c r="Z853" i="1"/>
  <c r="N854" i="1"/>
  <c r="Y854" i="1"/>
  <c r="Z854" i="1"/>
  <c r="N855" i="1"/>
  <c r="Y855" i="1"/>
  <c r="Z855" i="1"/>
  <c r="N856" i="1"/>
  <c r="Y856" i="1"/>
  <c r="Z856" i="1"/>
  <c r="N857" i="1"/>
  <c r="Y857" i="1"/>
  <c r="Z857" i="1"/>
  <c r="N858" i="1"/>
  <c r="Y858" i="1"/>
  <c r="Z858" i="1"/>
  <c r="N859" i="1"/>
  <c r="Y859" i="1"/>
  <c r="Z859" i="1"/>
  <c r="N860" i="1"/>
  <c r="Y860" i="1"/>
  <c r="Z860" i="1"/>
  <c r="N861" i="1"/>
  <c r="Y861" i="1"/>
  <c r="Z861" i="1"/>
  <c r="N862" i="1"/>
  <c r="Y862" i="1"/>
  <c r="Z862" i="1"/>
  <c r="N863" i="1"/>
  <c r="Y863" i="1"/>
  <c r="Z863" i="1"/>
  <c r="N864" i="1"/>
  <c r="Y864" i="1"/>
  <c r="Z864" i="1"/>
  <c r="N865" i="1"/>
  <c r="Y865" i="1"/>
  <c r="Z865" i="1"/>
  <c r="N866" i="1"/>
  <c r="Y866" i="1"/>
  <c r="Z866" i="1"/>
  <c r="N867" i="1"/>
  <c r="Y867" i="1"/>
  <c r="Z867" i="1"/>
  <c r="N868" i="1"/>
  <c r="Y868" i="1"/>
  <c r="Z868" i="1"/>
  <c r="N869" i="1"/>
  <c r="Y869" i="1"/>
  <c r="Z869" i="1"/>
  <c r="N870" i="1"/>
  <c r="Y870" i="1"/>
  <c r="Z870" i="1"/>
  <c r="N871" i="1"/>
  <c r="Y871" i="1"/>
  <c r="Z871" i="1"/>
  <c r="N872" i="1"/>
  <c r="Y872" i="1"/>
  <c r="Z872" i="1"/>
  <c r="N873" i="1"/>
  <c r="Y873" i="1"/>
  <c r="Z873" i="1"/>
  <c r="N874" i="1"/>
  <c r="Y874" i="1"/>
  <c r="Z874" i="1"/>
  <c r="N875" i="1"/>
  <c r="Y875" i="1"/>
  <c r="Z875" i="1"/>
  <c r="N876" i="1"/>
  <c r="Y876" i="1"/>
  <c r="Z876" i="1"/>
  <c r="N877" i="1"/>
  <c r="Y877" i="1"/>
  <c r="Z877" i="1"/>
  <c r="N878" i="1"/>
  <c r="Y878" i="1"/>
  <c r="Z878" i="1"/>
  <c r="N879" i="1"/>
  <c r="Y879" i="1"/>
  <c r="Z879" i="1"/>
  <c r="N880" i="1"/>
  <c r="Y880" i="1"/>
  <c r="Z880" i="1"/>
  <c r="N881" i="1"/>
  <c r="Y881" i="1"/>
  <c r="Z881" i="1"/>
  <c r="N882" i="1"/>
  <c r="Y882" i="1"/>
  <c r="Z882" i="1"/>
  <c r="N883" i="1"/>
  <c r="Y883" i="1"/>
  <c r="Z883" i="1"/>
  <c r="N884" i="1"/>
  <c r="Y884" i="1"/>
  <c r="Z884" i="1"/>
  <c r="N885" i="1"/>
  <c r="Y885" i="1"/>
  <c r="Z885" i="1"/>
  <c r="N886" i="1"/>
  <c r="Y886" i="1"/>
  <c r="Z886" i="1"/>
  <c r="N887" i="1"/>
  <c r="Y887" i="1"/>
  <c r="Z887" i="1"/>
  <c r="N888" i="1"/>
  <c r="Y888" i="1"/>
  <c r="Z888" i="1"/>
  <c r="N889" i="1"/>
  <c r="Y889" i="1"/>
  <c r="Z889" i="1"/>
  <c r="N890" i="1"/>
  <c r="Y890" i="1"/>
  <c r="Z890" i="1"/>
  <c r="N891" i="1"/>
  <c r="Y891" i="1"/>
  <c r="Z891" i="1"/>
  <c r="N892" i="1"/>
  <c r="Y892" i="1"/>
  <c r="Z892" i="1"/>
  <c r="N893" i="1"/>
  <c r="Y893" i="1"/>
  <c r="Z893" i="1"/>
  <c r="N894" i="1"/>
  <c r="Y894" i="1"/>
  <c r="Z894" i="1"/>
  <c r="N895" i="1"/>
  <c r="Y895" i="1"/>
  <c r="Z895" i="1"/>
  <c r="N896" i="1"/>
  <c r="Y896" i="1"/>
  <c r="Z896" i="1"/>
  <c r="N897" i="1"/>
  <c r="Y897" i="1"/>
  <c r="Z897" i="1"/>
  <c r="N898" i="1"/>
  <c r="Y898" i="1"/>
  <c r="Z898" i="1"/>
  <c r="N899" i="1"/>
  <c r="Y899" i="1"/>
  <c r="Z899" i="1"/>
  <c r="N900" i="1"/>
  <c r="Y900" i="1"/>
  <c r="Z900" i="1"/>
  <c r="N901" i="1"/>
  <c r="Y901" i="1"/>
  <c r="Z901" i="1"/>
  <c r="N902" i="1"/>
  <c r="Y902" i="1"/>
  <c r="Z902" i="1"/>
  <c r="N903" i="1"/>
  <c r="Y903" i="1"/>
  <c r="Z903" i="1"/>
  <c r="N904" i="1"/>
  <c r="Y904" i="1"/>
  <c r="Z904" i="1"/>
  <c r="N905" i="1"/>
  <c r="Y905" i="1"/>
  <c r="Z905" i="1"/>
  <c r="N906" i="1"/>
  <c r="Y906" i="1"/>
  <c r="Z906" i="1"/>
  <c r="N907" i="1"/>
  <c r="Y907" i="1"/>
  <c r="Z907" i="1"/>
  <c r="N908" i="1"/>
  <c r="Y908" i="1"/>
  <c r="Z908" i="1"/>
  <c r="N909" i="1"/>
  <c r="Y909" i="1"/>
  <c r="Z909" i="1"/>
  <c r="N910" i="1"/>
  <c r="Y910" i="1"/>
  <c r="Z910" i="1"/>
  <c r="N911" i="1"/>
  <c r="Y911" i="1"/>
  <c r="Z911" i="1"/>
  <c r="N912" i="1"/>
  <c r="Y912" i="1"/>
  <c r="Z912" i="1"/>
  <c r="N913" i="1"/>
  <c r="Y913" i="1"/>
  <c r="Z913" i="1"/>
  <c r="N914" i="1"/>
  <c r="Y914" i="1"/>
  <c r="Z914" i="1"/>
  <c r="N915" i="1"/>
  <c r="Y915" i="1"/>
  <c r="Z915" i="1"/>
  <c r="N916" i="1"/>
  <c r="Y916" i="1"/>
  <c r="Z916" i="1"/>
  <c r="N917" i="1"/>
  <c r="Y917" i="1"/>
  <c r="Z917" i="1"/>
  <c r="N918" i="1"/>
  <c r="Y918" i="1"/>
  <c r="Z918" i="1"/>
  <c r="N919" i="1"/>
  <c r="Y919" i="1"/>
  <c r="Z919" i="1"/>
  <c r="N920" i="1"/>
  <c r="Y920" i="1"/>
  <c r="Z920" i="1"/>
  <c r="N921" i="1"/>
  <c r="Y921" i="1"/>
  <c r="Z921" i="1"/>
  <c r="N922" i="1"/>
  <c r="Y922" i="1"/>
  <c r="Z922" i="1"/>
  <c r="N923" i="1"/>
  <c r="Y923" i="1"/>
  <c r="Z923" i="1"/>
  <c r="N924" i="1"/>
  <c r="Y924" i="1"/>
  <c r="Z924" i="1"/>
  <c r="N925" i="1"/>
  <c r="Y925" i="1"/>
  <c r="Z925" i="1"/>
  <c r="N926" i="1"/>
  <c r="Y926" i="1"/>
  <c r="Z926" i="1"/>
  <c r="N927" i="1"/>
  <c r="Y927" i="1"/>
  <c r="Z927" i="1"/>
  <c r="N928" i="1"/>
  <c r="Y928" i="1"/>
  <c r="Z928" i="1"/>
  <c r="N929" i="1"/>
  <c r="Y929" i="1"/>
  <c r="Z929" i="1"/>
  <c r="N930" i="1"/>
  <c r="Y930" i="1"/>
  <c r="Z930" i="1"/>
  <c r="N931" i="1"/>
  <c r="Y931" i="1"/>
  <c r="Z931" i="1"/>
  <c r="N932" i="1"/>
  <c r="Y932" i="1"/>
  <c r="Z932" i="1"/>
  <c r="N933" i="1"/>
  <c r="Y933" i="1"/>
  <c r="Z933" i="1"/>
  <c r="N934" i="1"/>
  <c r="Y934" i="1"/>
  <c r="Z934" i="1"/>
  <c r="N935" i="1"/>
  <c r="Y935" i="1"/>
  <c r="Z935" i="1"/>
  <c r="N936" i="1"/>
  <c r="Y936" i="1"/>
  <c r="Z936" i="1"/>
  <c r="N937" i="1"/>
  <c r="Y937" i="1"/>
  <c r="Z937" i="1"/>
  <c r="N938" i="1"/>
  <c r="Y938" i="1"/>
  <c r="Z938" i="1"/>
  <c r="N939" i="1"/>
  <c r="Y939" i="1"/>
  <c r="Z939" i="1"/>
  <c r="N940" i="1"/>
  <c r="Y940" i="1"/>
  <c r="Z940" i="1"/>
  <c r="N941" i="1"/>
  <c r="Y941" i="1"/>
  <c r="Z941" i="1"/>
  <c r="N942" i="1"/>
  <c r="Y942" i="1"/>
  <c r="Z942" i="1"/>
  <c r="N943" i="1"/>
  <c r="Y943" i="1"/>
  <c r="Z943" i="1"/>
  <c r="N944" i="1"/>
  <c r="Y944" i="1"/>
  <c r="Z944" i="1"/>
  <c r="N945" i="1"/>
  <c r="Y945" i="1"/>
  <c r="Z945" i="1"/>
  <c r="N946" i="1"/>
  <c r="Y946" i="1"/>
  <c r="Z946" i="1"/>
  <c r="N947" i="1"/>
  <c r="Y947" i="1"/>
  <c r="Z947" i="1"/>
  <c r="N948" i="1"/>
  <c r="Y948" i="1"/>
  <c r="Z948" i="1"/>
  <c r="N949" i="1"/>
  <c r="Y949" i="1"/>
  <c r="Z949" i="1"/>
  <c r="N950" i="1"/>
  <c r="Y950" i="1"/>
  <c r="Z950" i="1"/>
  <c r="N951" i="1"/>
  <c r="Y951" i="1"/>
  <c r="Z951" i="1"/>
  <c r="N952" i="1"/>
  <c r="Y952" i="1"/>
  <c r="Z952" i="1"/>
  <c r="N953" i="1"/>
  <c r="Y953" i="1"/>
  <c r="Z953" i="1"/>
  <c r="N954" i="1"/>
  <c r="Y954" i="1"/>
  <c r="Z954" i="1"/>
  <c r="N955" i="1"/>
  <c r="Y955" i="1"/>
  <c r="Z955" i="1"/>
  <c r="N956" i="1"/>
  <c r="Y956" i="1"/>
  <c r="Z956" i="1"/>
  <c r="N957" i="1"/>
  <c r="Y957" i="1"/>
  <c r="Z957" i="1"/>
  <c r="N958" i="1"/>
  <c r="Y958" i="1"/>
  <c r="Z958" i="1"/>
  <c r="N959" i="1"/>
  <c r="Y959" i="1"/>
  <c r="Z959" i="1"/>
  <c r="N960" i="1"/>
  <c r="Y960" i="1"/>
  <c r="Z960" i="1"/>
  <c r="N961" i="1"/>
  <c r="Y961" i="1"/>
  <c r="Z961" i="1"/>
  <c r="N962" i="1"/>
  <c r="Y962" i="1"/>
  <c r="Z962" i="1"/>
  <c r="N963" i="1"/>
  <c r="Y963" i="1"/>
  <c r="Z963" i="1"/>
  <c r="N964" i="1"/>
  <c r="Y964" i="1"/>
  <c r="Z964" i="1"/>
  <c r="N965" i="1"/>
  <c r="Y965" i="1"/>
  <c r="Z965" i="1"/>
  <c r="N966" i="1"/>
  <c r="Y966" i="1"/>
  <c r="Z966" i="1"/>
  <c r="N967" i="1"/>
  <c r="Y967" i="1"/>
  <c r="Z967" i="1"/>
  <c r="N968" i="1"/>
  <c r="Y968" i="1"/>
  <c r="Z968" i="1"/>
  <c r="N969" i="1"/>
  <c r="Y969" i="1"/>
  <c r="Z969" i="1"/>
  <c r="Y970" i="1"/>
  <c r="Z970" i="1"/>
  <c r="N971" i="1"/>
  <c r="Y971" i="1"/>
  <c r="Z971" i="1"/>
  <c r="N972" i="1"/>
  <c r="Y972" i="1"/>
  <c r="Z972" i="1"/>
  <c r="N973" i="1"/>
  <c r="Y973" i="1"/>
  <c r="Z973" i="1"/>
  <c r="N974" i="1"/>
  <c r="Y974" i="1"/>
  <c r="Z974" i="1"/>
  <c r="N975" i="1"/>
  <c r="Y975" i="1"/>
  <c r="Z975" i="1"/>
  <c r="N976" i="1"/>
  <c r="Y976" i="1"/>
  <c r="Z976" i="1"/>
  <c r="N977" i="1"/>
  <c r="Y977" i="1"/>
  <c r="Z977" i="1"/>
  <c r="N978" i="1"/>
  <c r="Y978" i="1"/>
  <c r="Z978" i="1"/>
  <c r="N979" i="1"/>
  <c r="Y979" i="1"/>
  <c r="Z979" i="1"/>
  <c r="N980" i="1"/>
  <c r="Y980" i="1"/>
  <c r="Z980" i="1"/>
  <c r="N981" i="1"/>
  <c r="Y981" i="1"/>
  <c r="Z981" i="1"/>
  <c r="N982" i="1"/>
  <c r="Y982" i="1"/>
  <c r="Z982" i="1"/>
  <c r="N983" i="1"/>
  <c r="Y983" i="1"/>
  <c r="Z983" i="1"/>
  <c r="N984" i="1"/>
  <c r="Y984" i="1"/>
  <c r="Z984" i="1"/>
  <c r="N985" i="1"/>
  <c r="Y985" i="1"/>
  <c r="Z985" i="1"/>
  <c r="N986" i="1"/>
  <c r="Y986" i="1"/>
  <c r="Z986" i="1"/>
  <c r="N987" i="1"/>
  <c r="Y987" i="1"/>
  <c r="Z987" i="1"/>
  <c r="N988" i="1"/>
  <c r="Y988" i="1"/>
  <c r="Z988" i="1"/>
  <c r="N989" i="1"/>
  <c r="Y989" i="1"/>
  <c r="Z989" i="1"/>
  <c r="N990" i="1"/>
  <c r="Y990" i="1"/>
  <c r="Z990" i="1"/>
  <c r="N991" i="1"/>
  <c r="Y991" i="1"/>
  <c r="Z991" i="1"/>
  <c r="N992" i="1"/>
  <c r="Y992" i="1"/>
  <c r="Z992" i="1"/>
  <c r="N993" i="1"/>
  <c r="Y993" i="1"/>
  <c r="Z993" i="1"/>
  <c r="N994" i="1"/>
  <c r="Y994" i="1"/>
  <c r="Z994" i="1"/>
  <c r="N995" i="1"/>
  <c r="Y995" i="1"/>
  <c r="Z995" i="1"/>
  <c r="N996" i="1"/>
  <c r="Y996" i="1"/>
  <c r="Z996" i="1"/>
  <c r="N997" i="1"/>
  <c r="Y997" i="1"/>
  <c r="Z997" i="1"/>
  <c r="N998" i="1"/>
  <c r="Y998" i="1"/>
  <c r="Z998" i="1"/>
  <c r="N999" i="1"/>
  <c r="Y999" i="1"/>
  <c r="Z999" i="1"/>
  <c r="N1000" i="1"/>
  <c r="Y1000" i="1"/>
  <c r="Z1000" i="1"/>
  <c r="N1001" i="1"/>
  <c r="Y1001" i="1"/>
  <c r="Z1001" i="1"/>
  <c r="N1002" i="1"/>
  <c r="Y1002" i="1"/>
  <c r="Z1002" i="1"/>
  <c r="N1003" i="1"/>
  <c r="Y1003" i="1"/>
  <c r="Z1003" i="1"/>
  <c r="N1004" i="1"/>
  <c r="Y1004" i="1"/>
  <c r="Z1004" i="1"/>
  <c r="N1005" i="1"/>
  <c r="Y1005" i="1"/>
  <c r="Z1005" i="1"/>
  <c r="N1006" i="1"/>
  <c r="Y1006" i="1"/>
  <c r="Z1006" i="1"/>
  <c r="N1007" i="1"/>
  <c r="Y1007" i="1"/>
  <c r="Z1007" i="1"/>
  <c r="N1008" i="1"/>
  <c r="Y1008" i="1"/>
  <c r="Z1008" i="1"/>
  <c r="N1009" i="1"/>
  <c r="Y1009" i="1"/>
  <c r="Z1009" i="1"/>
  <c r="N1010" i="1"/>
  <c r="Y1010" i="1"/>
  <c r="Z1010" i="1"/>
  <c r="N1011" i="1"/>
  <c r="Y1011" i="1"/>
  <c r="Z1011" i="1"/>
  <c r="N1012" i="1"/>
  <c r="Y1012" i="1"/>
  <c r="Z1012" i="1"/>
  <c r="N1013" i="1"/>
  <c r="Y1013" i="1"/>
  <c r="Z1013" i="1"/>
  <c r="N1014" i="1"/>
  <c r="Y1014" i="1"/>
  <c r="Z1014" i="1"/>
  <c r="N1015" i="1"/>
  <c r="Y1015" i="1"/>
  <c r="Z1015" i="1"/>
  <c r="N1016" i="1"/>
  <c r="Y1016" i="1"/>
  <c r="Z1016" i="1"/>
  <c r="N1017" i="1"/>
  <c r="Y1017" i="1"/>
  <c r="Z1017" i="1"/>
  <c r="N1018" i="1"/>
  <c r="Y1018" i="1"/>
  <c r="Z1018" i="1"/>
  <c r="N1019" i="1"/>
  <c r="Y1019" i="1"/>
  <c r="Z1019" i="1"/>
  <c r="N1020" i="1"/>
  <c r="Y1020" i="1"/>
  <c r="Z1020" i="1"/>
  <c r="N1021" i="1"/>
  <c r="Y1021" i="1"/>
  <c r="Z1021" i="1"/>
  <c r="N1022" i="1"/>
  <c r="Y1022" i="1"/>
  <c r="Z1022" i="1"/>
  <c r="N1023" i="1"/>
  <c r="Y1023" i="1"/>
  <c r="Z1023" i="1"/>
  <c r="N1024" i="1"/>
  <c r="Y1024" i="1"/>
  <c r="Z1024" i="1"/>
  <c r="N1025" i="1"/>
  <c r="Y1025" i="1"/>
  <c r="Z1025" i="1"/>
  <c r="N1026" i="1"/>
  <c r="Y1026" i="1"/>
  <c r="Z1026" i="1"/>
  <c r="N1027" i="1"/>
  <c r="Y1027" i="1"/>
  <c r="Z1027" i="1"/>
  <c r="N1028" i="1"/>
  <c r="Y1028" i="1"/>
  <c r="Z1028" i="1"/>
  <c r="N1029" i="1"/>
  <c r="Y1029" i="1"/>
  <c r="Z1029" i="1"/>
  <c r="N1030" i="1"/>
  <c r="Y1030" i="1"/>
  <c r="Z1030" i="1"/>
  <c r="N1031" i="1"/>
  <c r="Y1031" i="1"/>
  <c r="Z1031" i="1"/>
  <c r="N1032" i="1"/>
  <c r="Y1032" i="1"/>
  <c r="Z1032" i="1"/>
  <c r="N1033" i="1"/>
  <c r="Y1033" i="1"/>
  <c r="Z1033" i="1"/>
  <c r="N1034" i="1"/>
  <c r="Y1034" i="1"/>
  <c r="Z1034" i="1"/>
  <c r="N1035" i="1"/>
  <c r="Y1035" i="1"/>
  <c r="Z1035" i="1"/>
  <c r="N1036" i="1"/>
  <c r="Y1036" i="1"/>
  <c r="Z1036" i="1"/>
  <c r="N1037" i="1"/>
  <c r="Y1037" i="1"/>
  <c r="Z1037" i="1"/>
  <c r="N1038" i="1"/>
  <c r="Y1038" i="1"/>
  <c r="Z1038" i="1"/>
  <c r="N1039" i="1"/>
  <c r="Y1039" i="1"/>
  <c r="Z1039" i="1"/>
  <c r="N1040" i="1"/>
  <c r="Y1040" i="1"/>
  <c r="Z1040" i="1"/>
  <c r="N1041" i="1"/>
  <c r="Y1041" i="1"/>
  <c r="Z1041" i="1"/>
  <c r="N1042" i="1"/>
  <c r="Y1042" i="1"/>
  <c r="Z1042" i="1"/>
  <c r="N1043" i="1"/>
  <c r="Y1043" i="1"/>
  <c r="Z1043" i="1"/>
  <c r="N1044" i="1"/>
  <c r="Y1044" i="1"/>
  <c r="Z1044" i="1"/>
  <c r="N1045" i="1"/>
  <c r="Y1045" i="1"/>
  <c r="Z1045" i="1"/>
  <c r="N1046" i="1"/>
  <c r="Y1046" i="1"/>
  <c r="Z1046" i="1"/>
  <c r="N1047" i="1"/>
  <c r="Y1047" i="1"/>
  <c r="Z1047" i="1"/>
  <c r="N1048" i="1"/>
  <c r="Y1048" i="1"/>
  <c r="Z1048" i="1"/>
  <c r="N1049" i="1"/>
  <c r="Y1049" i="1"/>
  <c r="Z1049" i="1"/>
  <c r="N1050" i="1"/>
  <c r="Y1050" i="1"/>
  <c r="Z1050" i="1"/>
  <c r="N1051" i="1"/>
  <c r="Y1051" i="1"/>
  <c r="Z1051" i="1"/>
  <c r="N1052" i="1"/>
  <c r="Y1052" i="1"/>
  <c r="Z1052" i="1"/>
  <c r="N1053" i="1"/>
  <c r="Y1053" i="1"/>
  <c r="Z1053" i="1"/>
  <c r="N1054" i="1"/>
  <c r="Y1054" i="1"/>
  <c r="Z1054" i="1"/>
  <c r="N1055" i="1"/>
  <c r="Y1055" i="1"/>
  <c r="Z1055" i="1"/>
  <c r="N1056" i="1"/>
  <c r="Y1056" i="1"/>
  <c r="Z1056" i="1"/>
  <c r="N1057" i="1"/>
  <c r="Y1057" i="1"/>
  <c r="Z1057" i="1"/>
  <c r="N1058" i="1"/>
  <c r="Y1058" i="1"/>
  <c r="Z1058" i="1"/>
  <c r="N1059" i="1"/>
  <c r="Y1059" i="1"/>
  <c r="Z1059" i="1"/>
  <c r="N1060" i="1"/>
  <c r="Y1060" i="1"/>
  <c r="Z1060" i="1"/>
  <c r="N1061" i="1"/>
  <c r="Y1061" i="1"/>
  <c r="Z1061" i="1"/>
  <c r="N1062" i="1"/>
  <c r="Y1062" i="1"/>
  <c r="Z1062" i="1"/>
  <c r="N1063" i="1"/>
  <c r="Y1063" i="1"/>
  <c r="Z1063" i="1"/>
  <c r="N1064" i="1"/>
  <c r="Y1064" i="1"/>
  <c r="Z1064" i="1"/>
  <c r="N1065" i="1"/>
  <c r="Y1065" i="1"/>
  <c r="Z1065" i="1"/>
  <c r="N1066" i="1"/>
  <c r="Y1066" i="1"/>
  <c r="Z1066" i="1"/>
  <c r="N1067" i="1"/>
  <c r="Y1067" i="1"/>
  <c r="Z1067" i="1"/>
  <c r="N1068" i="1"/>
  <c r="Y1068" i="1"/>
  <c r="Z1068" i="1"/>
  <c r="N1069" i="1"/>
  <c r="Y1069" i="1"/>
  <c r="Z1069" i="1"/>
  <c r="N1070" i="1"/>
  <c r="Y1070" i="1"/>
  <c r="Z1070" i="1"/>
  <c r="N1071" i="1"/>
  <c r="Y1071" i="1"/>
  <c r="Z1071" i="1"/>
  <c r="N1072" i="1"/>
  <c r="Y1072" i="1"/>
  <c r="Z1072" i="1"/>
  <c r="Y1073" i="1"/>
  <c r="Z1073" i="1"/>
  <c r="N1074" i="1"/>
  <c r="Y1074" i="1"/>
  <c r="Z1074" i="1"/>
  <c r="N1075" i="1"/>
  <c r="Y1075" i="1"/>
  <c r="Z1075" i="1"/>
  <c r="N1076" i="1"/>
  <c r="Y1076" i="1"/>
  <c r="Z1076" i="1"/>
  <c r="N1077" i="1"/>
  <c r="Y1077" i="1"/>
  <c r="Z1077" i="1"/>
  <c r="N1078" i="1"/>
  <c r="Y1078" i="1"/>
  <c r="Z1078" i="1"/>
  <c r="N1079" i="1"/>
  <c r="Y1079" i="1"/>
  <c r="Z1079" i="1"/>
  <c r="N1080" i="1"/>
  <c r="Y1080" i="1"/>
  <c r="Z1080" i="1"/>
  <c r="N1081" i="1"/>
  <c r="Y1081" i="1"/>
  <c r="Z1081" i="1"/>
  <c r="N1082" i="1"/>
  <c r="Y1082" i="1"/>
  <c r="Z1082" i="1"/>
  <c r="N1083" i="1"/>
  <c r="Y1083" i="1"/>
  <c r="Z1083" i="1"/>
  <c r="N1084" i="1"/>
  <c r="Y1084" i="1"/>
  <c r="Z1084" i="1"/>
  <c r="N1085" i="1"/>
  <c r="Y1085" i="1"/>
  <c r="Z1085" i="1"/>
  <c r="N1086" i="1"/>
  <c r="Y1086" i="1"/>
  <c r="Z1086" i="1"/>
  <c r="N1087" i="1"/>
  <c r="Y1087" i="1"/>
  <c r="Z1087" i="1"/>
  <c r="N1088" i="1"/>
  <c r="Y1088" i="1"/>
  <c r="Z1088" i="1"/>
  <c r="N1089" i="1"/>
  <c r="Y1089" i="1"/>
  <c r="Z1089" i="1"/>
  <c r="N1090" i="1"/>
  <c r="Y1090" i="1"/>
  <c r="Z1090" i="1"/>
  <c r="N1091" i="1"/>
  <c r="Y1091" i="1"/>
  <c r="Z1091" i="1"/>
  <c r="N1092" i="1"/>
  <c r="Y1092" i="1"/>
  <c r="Z1092" i="1"/>
  <c r="N1093" i="1"/>
  <c r="Y1093" i="1"/>
  <c r="Z1093" i="1"/>
  <c r="N1094" i="1"/>
  <c r="Y1094" i="1"/>
  <c r="Z1094" i="1"/>
  <c r="N1095" i="1"/>
  <c r="Y1095" i="1"/>
  <c r="Z1095" i="1"/>
  <c r="N1096" i="1"/>
  <c r="Y1096" i="1"/>
  <c r="Z1096" i="1"/>
  <c r="N1097" i="1"/>
  <c r="Y1097" i="1"/>
  <c r="Z1097" i="1"/>
  <c r="N1098" i="1"/>
  <c r="Y1098" i="1"/>
  <c r="Z1098" i="1"/>
  <c r="N1099" i="1"/>
  <c r="Y1099" i="1"/>
  <c r="Z1099" i="1"/>
  <c r="N1100" i="1"/>
  <c r="Y1100" i="1"/>
  <c r="Z1100" i="1"/>
  <c r="N1101" i="1"/>
  <c r="Y1101" i="1"/>
  <c r="Z1101" i="1"/>
  <c r="N1102" i="1"/>
  <c r="Y1102" i="1"/>
  <c r="Z1102" i="1"/>
  <c r="N1103" i="1"/>
  <c r="Y1103" i="1"/>
  <c r="Z1103" i="1"/>
  <c r="N1104" i="1"/>
  <c r="Y1104" i="1"/>
  <c r="Z1104" i="1"/>
  <c r="N1105" i="1"/>
  <c r="Y1105" i="1"/>
  <c r="Z1105" i="1"/>
  <c r="N1106" i="1"/>
  <c r="Y1106" i="1"/>
  <c r="Z1106" i="1"/>
  <c r="N1107" i="1"/>
  <c r="Y1107" i="1"/>
  <c r="Z1107" i="1"/>
  <c r="N1108" i="1"/>
  <c r="Y1108" i="1"/>
  <c r="Z1108" i="1"/>
  <c r="N1109" i="1"/>
  <c r="Y1109" i="1"/>
  <c r="Z1109" i="1"/>
  <c r="N1110" i="1"/>
  <c r="Y1110" i="1"/>
  <c r="Z1110" i="1"/>
  <c r="N1111" i="1"/>
  <c r="Y1111" i="1"/>
  <c r="Z1111" i="1"/>
  <c r="N1112" i="1"/>
  <c r="Y1112" i="1"/>
  <c r="Z1112" i="1"/>
  <c r="N1113" i="1"/>
  <c r="Y1113" i="1"/>
  <c r="Z1113" i="1"/>
  <c r="N1114" i="1"/>
  <c r="Y1114" i="1"/>
  <c r="Z1114" i="1"/>
  <c r="N1115" i="1"/>
  <c r="Y1115" i="1"/>
  <c r="Z1115" i="1"/>
  <c r="N1116" i="1"/>
  <c r="Y1116" i="1"/>
  <c r="Z1116" i="1"/>
  <c r="N1117" i="1"/>
  <c r="Y1117" i="1"/>
  <c r="Z1117" i="1"/>
  <c r="N1118" i="1"/>
  <c r="Y1118" i="1"/>
  <c r="Z1118" i="1"/>
  <c r="N1119" i="1"/>
  <c r="Y1119" i="1"/>
  <c r="Z1119" i="1"/>
  <c r="N1120" i="1"/>
  <c r="Y1120" i="1"/>
  <c r="Z1120" i="1"/>
  <c r="N1121" i="1"/>
  <c r="Y1121" i="1"/>
  <c r="Z1121" i="1"/>
  <c r="N1122" i="1"/>
  <c r="Y1122" i="1"/>
  <c r="Z1122" i="1"/>
  <c r="N1123" i="1"/>
  <c r="Y1123" i="1"/>
  <c r="Z1123" i="1"/>
  <c r="N1124" i="1"/>
  <c r="Y1124" i="1"/>
  <c r="Z1124" i="1"/>
  <c r="N1125" i="1"/>
  <c r="Y1125" i="1"/>
  <c r="Z1125" i="1"/>
  <c r="N1126" i="1"/>
  <c r="Y1126" i="1"/>
  <c r="Z1126" i="1"/>
  <c r="N1127" i="1"/>
  <c r="Y1127" i="1"/>
  <c r="Z1127" i="1"/>
  <c r="N1128" i="1"/>
  <c r="Y1128" i="1"/>
  <c r="Z1128" i="1"/>
  <c r="N1129" i="1"/>
  <c r="Y1129" i="1"/>
  <c r="Z1129" i="1"/>
  <c r="N1130" i="1"/>
  <c r="Y1130" i="1"/>
  <c r="Z1130" i="1"/>
  <c r="N1131" i="1"/>
  <c r="Y1131" i="1"/>
  <c r="Z1131" i="1"/>
  <c r="N1132" i="1"/>
  <c r="Y1132" i="1"/>
  <c r="Z1132" i="1"/>
  <c r="N1133" i="1"/>
  <c r="Y1133" i="1"/>
  <c r="Z1133" i="1"/>
  <c r="N1134" i="1"/>
  <c r="Y1134" i="1"/>
  <c r="Z1134" i="1"/>
  <c r="N1135" i="1"/>
  <c r="Y1135" i="1"/>
  <c r="Z1135" i="1"/>
  <c r="Y1136" i="1"/>
  <c r="Z1136" i="1"/>
  <c r="N1137" i="1"/>
  <c r="Y1137" i="1"/>
  <c r="Z1137" i="1"/>
  <c r="N1138" i="1"/>
  <c r="Y1138" i="1"/>
  <c r="Z1138" i="1"/>
  <c r="N1139" i="1"/>
  <c r="Y1139" i="1"/>
  <c r="Z1139" i="1"/>
  <c r="N1140" i="1"/>
  <c r="Y1140" i="1"/>
  <c r="Z1140" i="1"/>
  <c r="N1141" i="1"/>
  <c r="Y1141" i="1"/>
  <c r="Z1141" i="1"/>
  <c r="N1142" i="1"/>
  <c r="Y1142" i="1"/>
  <c r="Z1142" i="1"/>
  <c r="N1143" i="1"/>
  <c r="Y1143" i="1"/>
  <c r="Z1143" i="1"/>
  <c r="N1144" i="1"/>
  <c r="Y1144" i="1"/>
  <c r="Z1144" i="1"/>
  <c r="N1145" i="1"/>
  <c r="Y1145" i="1"/>
  <c r="Z1145" i="1"/>
  <c r="N1146" i="1"/>
  <c r="Y1146" i="1"/>
  <c r="Z1146" i="1"/>
  <c r="N1147" i="1"/>
  <c r="Y1147" i="1"/>
  <c r="Z1147" i="1"/>
  <c r="N1148" i="1"/>
  <c r="Y1148" i="1"/>
  <c r="Z1148" i="1"/>
  <c r="N1149" i="1"/>
  <c r="Y1149" i="1"/>
  <c r="Z1149" i="1"/>
  <c r="N1150" i="1"/>
  <c r="Y1150" i="1"/>
  <c r="Z1150" i="1"/>
  <c r="N1151" i="1"/>
  <c r="Y1151" i="1"/>
  <c r="Z1151" i="1"/>
  <c r="N1152" i="1"/>
  <c r="Y1152" i="1"/>
  <c r="Z1152" i="1"/>
  <c r="N1153" i="1"/>
  <c r="Y1153" i="1"/>
  <c r="Z1153" i="1"/>
  <c r="N1154" i="1"/>
  <c r="Y1154" i="1"/>
  <c r="Z1154" i="1"/>
  <c r="N1155" i="1"/>
  <c r="Y1155" i="1"/>
  <c r="Z1155" i="1"/>
  <c r="N1156" i="1"/>
  <c r="Y1156" i="1"/>
  <c r="Z1156" i="1"/>
  <c r="N1157" i="1"/>
  <c r="Y1157" i="1"/>
  <c r="Z1157" i="1"/>
  <c r="N1158" i="1"/>
  <c r="Y1158" i="1"/>
  <c r="Z1158" i="1"/>
  <c r="N1159" i="1"/>
  <c r="Y1159" i="1"/>
  <c r="Z1159" i="1"/>
  <c r="N1160" i="1"/>
  <c r="Y1160" i="1"/>
  <c r="Z1160" i="1"/>
  <c r="N1161" i="1"/>
  <c r="Y1161" i="1"/>
  <c r="Z1161" i="1"/>
  <c r="N1162" i="1"/>
  <c r="Y1162" i="1"/>
  <c r="Z1162" i="1"/>
  <c r="N1163" i="1"/>
  <c r="Y1163" i="1"/>
  <c r="Z1163" i="1"/>
  <c r="N1164" i="1"/>
  <c r="Y1164" i="1"/>
  <c r="Z1164" i="1"/>
  <c r="N1165" i="1"/>
  <c r="Y1165" i="1"/>
  <c r="Z1165" i="1"/>
  <c r="N1166" i="1"/>
  <c r="Y1166" i="1"/>
  <c r="Z1166" i="1"/>
  <c r="N1167" i="1"/>
  <c r="Y1167" i="1"/>
  <c r="Z1167" i="1"/>
  <c r="N1168" i="1"/>
  <c r="Y1168" i="1"/>
  <c r="Z1168" i="1"/>
  <c r="N1169" i="1"/>
  <c r="Y1169" i="1"/>
  <c r="Z1169" i="1"/>
  <c r="N1170" i="1"/>
  <c r="Y1170" i="1"/>
  <c r="Z1170" i="1"/>
  <c r="N1171" i="1"/>
  <c r="Y1171" i="1"/>
  <c r="Z1171" i="1"/>
  <c r="N1172" i="1"/>
  <c r="Y1172" i="1"/>
  <c r="Z1172" i="1"/>
  <c r="N1173" i="1"/>
  <c r="Y1173" i="1"/>
  <c r="Z1173" i="1"/>
  <c r="N1174" i="1"/>
  <c r="Y1174" i="1"/>
  <c r="Z1174" i="1"/>
  <c r="N1175" i="1"/>
  <c r="Y1175" i="1"/>
  <c r="Z1175" i="1"/>
  <c r="N1176" i="1"/>
  <c r="Y1176" i="1"/>
  <c r="Z1176" i="1"/>
  <c r="N1177" i="1"/>
  <c r="Y1177" i="1"/>
  <c r="Z1177" i="1"/>
  <c r="N1178" i="1"/>
  <c r="Y1178" i="1"/>
  <c r="Z1178" i="1"/>
  <c r="N1179" i="1"/>
  <c r="Y1179" i="1"/>
  <c r="Z1179" i="1"/>
  <c r="N1180" i="1"/>
  <c r="Y1180" i="1"/>
  <c r="Z1180" i="1"/>
  <c r="N1181" i="1"/>
  <c r="Y1181" i="1"/>
  <c r="Z1181" i="1"/>
  <c r="N1182" i="1"/>
  <c r="Y1182" i="1"/>
  <c r="Z1182" i="1"/>
  <c r="N1183" i="1"/>
  <c r="Y1183" i="1"/>
  <c r="Z1183" i="1"/>
  <c r="N1184" i="1"/>
  <c r="Y1184" i="1"/>
  <c r="Z1184" i="1"/>
  <c r="N1185" i="1"/>
  <c r="Y1185" i="1"/>
  <c r="Z1185" i="1"/>
  <c r="N1186" i="1"/>
  <c r="Y1186" i="1"/>
  <c r="Z1186" i="1"/>
  <c r="N1187" i="1"/>
  <c r="Y1187" i="1"/>
  <c r="Z1187" i="1"/>
  <c r="N1188" i="1"/>
  <c r="Y1188" i="1"/>
  <c r="Z1188" i="1"/>
  <c r="N1189" i="1"/>
  <c r="Y1189" i="1"/>
  <c r="Z1189" i="1"/>
  <c r="N1190" i="1"/>
  <c r="Y1190" i="1"/>
  <c r="Z1190" i="1"/>
  <c r="N1191" i="1"/>
  <c r="Y1191" i="1"/>
  <c r="Z1191" i="1"/>
  <c r="N1192" i="1"/>
  <c r="Y1192" i="1"/>
  <c r="Z1192" i="1"/>
  <c r="N1193" i="1"/>
  <c r="Y1193" i="1"/>
  <c r="Z1193" i="1"/>
  <c r="Y1194" i="1"/>
  <c r="Z1194" i="1"/>
  <c r="N1195" i="1"/>
  <c r="Y1195" i="1"/>
  <c r="Z1195" i="1"/>
  <c r="N1196" i="1"/>
  <c r="Y1196" i="1"/>
  <c r="Z1196" i="1"/>
  <c r="N1197" i="1"/>
  <c r="Y1197" i="1"/>
  <c r="Z1197" i="1"/>
  <c r="N1198" i="1"/>
  <c r="Y1198" i="1"/>
  <c r="Z1198" i="1"/>
  <c r="N1199" i="1"/>
  <c r="Y1199" i="1"/>
  <c r="Z1199" i="1"/>
  <c r="N1200" i="1"/>
  <c r="Y1200" i="1"/>
  <c r="Z1200" i="1"/>
  <c r="N1201" i="1"/>
  <c r="Y1201" i="1"/>
  <c r="Z1201" i="1"/>
  <c r="N1202" i="1"/>
  <c r="Y1202" i="1"/>
  <c r="Z1202" i="1"/>
  <c r="N1203" i="1"/>
  <c r="Y1203" i="1"/>
  <c r="Z1203" i="1"/>
  <c r="N1204" i="1"/>
  <c r="Y1204" i="1"/>
  <c r="Z1204" i="1"/>
  <c r="N1205" i="1"/>
  <c r="Y1205" i="1"/>
  <c r="Z1205" i="1"/>
  <c r="N1206" i="1"/>
  <c r="Y1206" i="1"/>
  <c r="Z1206" i="1"/>
  <c r="N1207" i="1"/>
  <c r="Y1207" i="1"/>
  <c r="Z1207" i="1"/>
  <c r="N1208" i="1"/>
  <c r="Y1208" i="1"/>
  <c r="Z1208" i="1"/>
  <c r="N1209" i="1"/>
  <c r="Y1209" i="1"/>
  <c r="Z1209" i="1"/>
  <c r="N1210" i="1"/>
  <c r="Y1210" i="1"/>
  <c r="Z1210" i="1"/>
  <c r="N1211" i="1"/>
  <c r="Y1211" i="1"/>
  <c r="Z1211" i="1"/>
  <c r="N1212" i="1"/>
  <c r="Y1212" i="1"/>
  <c r="Z1212" i="1"/>
  <c r="N1213" i="1"/>
  <c r="Y1213" i="1"/>
  <c r="Z1213" i="1"/>
  <c r="N1214" i="1"/>
  <c r="Y1214" i="1"/>
  <c r="Z1214" i="1"/>
  <c r="N1215" i="1"/>
  <c r="Y1215" i="1"/>
  <c r="Z1215" i="1"/>
  <c r="N1216" i="1"/>
  <c r="Y1216" i="1"/>
  <c r="Z1216" i="1"/>
  <c r="N1217" i="1"/>
  <c r="Y1217" i="1"/>
  <c r="Z1217" i="1"/>
  <c r="N1218" i="1"/>
  <c r="Y1218" i="1"/>
  <c r="Z1218" i="1"/>
  <c r="N1219" i="1"/>
  <c r="Y1219" i="1"/>
  <c r="Z1219" i="1"/>
  <c r="N1220" i="1"/>
  <c r="Y1220" i="1"/>
  <c r="Z1220" i="1"/>
  <c r="N1221" i="1"/>
  <c r="Y1221" i="1"/>
  <c r="Z1221" i="1"/>
  <c r="N1222" i="1"/>
  <c r="Y1222" i="1"/>
  <c r="Z1222" i="1"/>
  <c r="N1223" i="1"/>
  <c r="Y1223" i="1"/>
  <c r="Z1223" i="1"/>
  <c r="N1224" i="1"/>
  <c r="Y1224" i="1"/>
  <c r="Z1224" i="1"/>
  <c r="N1225" i="1"/>
  <c r="Y1225" i="1"/>
  <c r="Z1225" i="1"/>
  <c r="N1226" i="1"/>
  <c r="Y1226" i="1"/>
  <c r="Z1226" i="1"/>
  <c r="N1227" i="1"/>
  <c r="Y1227" i="1"/>
  <c r="Z1227" i="1"/>
  <c r="N1228" i="1"/>
  <c r="Y1228" i="1"/>
  <c r="Z1228" i="1"/>
  <c r="N1229" i="1"/>
  <c r="Y1229" i="1"/>
  <c r="Z1229" i="1"/>
  <c r="N1230" i="1"/>
  <c r="Y1230" i="1"/>
  <c r="Z1230" i="1"/>
  <c r="N1231" i="1"/>
  <c r="Y1231" i="1"/>
  <c r="Z1231" i="1"/>
  <c r="N1232" i="1"/>
  <c r="Y1232" i="1"/>
  <c r="Z1232" i="1"/>
  <c r="N1233" i="1"/>
  <c r="Y1233" i="1"/>
  <c r="Z1233" i="1"/>
  <c r="N1234" i="1"/>
  <c r="Y1234" i="1"/>
  <c r="Z1234" i="1"/>
  <c r="N1235" i="1"/>
  <c r="Y1235" i="1"/>
  <c r="Z1235" i="1"/>
  <c r="N1236" i="1"/>
  <c r="Y1236" i="1"/>
  <c r="Z1236" i="1"/>
  <c r="N1237" i="1"/>
  <c r="Y1237" i="1"/>
  <c r="Z1237" i="1"/>
  <c r="N1238" i="1"/>
  <c r="Y1238" i="1"/>
  <c r="Z1238" i="1"/>
  <c r="N1239" i="1"/>
  <c r="Y1239" i="1"/>
  <c r="Z1239" i="1"/>
  <c r="N1240" i="1"/>
  <c r="Y1240" i="1"/>
  <c r="Z1240" i="1"/>
  <c r="N1241" i="1"/>
  <c r="Y1241" i="1"/>
  <c r="Z1241" i="1"/>
  <c r="N1242" i="1"/>
  <c r="Y1242" i="1"/>
  <c r="Z1242" i="1"/>
  <c r="N1243" i="1"/>
  <c r="Y1243" i="1"/>
  <c r="Z1243" i="1"/>
  <c r="N1244" i="1"/>
  <c r="Y1244" i="1"/>
  <c r="Z1244" i="1"/>
  <c r="N1245" i="1"/>
  <c r="Y1245" i="1"/>
  <c r="Z1245" i="1"/>
  <c r="N1246" i="1"/>
  <c r="Y1246" i="1"/>
  <c r="Z1246" i="1"/>
  <c r="N1247" i="1"/>
  <c r="Y1247" i="1"/>
  <c r="Z1247" i="1"/>
  <c r="N1248" i="1"/>
  <c r="Y1248" i="1"/>
  <c r="Z1248" i="1"/>
  <c r="N1249" i="1"/>
  <c r="Y1249" i="1"/>
  <c r="Z1249" i="1"/>
  <c r="Y1250" i="1"/>
  <c r="Z1250" i="1"/>
  <c r="N1251" i="1"/>
  <c r="Y1251" i="1"/>
  <c r="Z1251" i="1"/>
  <c r="N1252" i="1"/>
  <c r="Y1252" i="1"/>
  <c r="Z1252" i="1"/>
  <c r="N1253" i="1"/>
  <c r="Y1253" i="1"/>
  <c r="Z1253" i="1"/>
  <c r="N1254" i="1"/>
  <c r="Y1254" i="1"/>
  <c r="Z1254" i="1"/>
  <c r="N1255" i="1"/>
  <c r="Y1255" i="1"/>
  <c r="Z1255" i="1"/>
  <c r="N1256" i="1"/>
  <c r="Y1256" i="1"/>
  <c r="Z1256" i="1"/>
  <c r="N1257" i="1"/>
  <c r="Y1257" i="1"/>
  <c r="Z1257" i="1"/>
  <c r="N1258" i="1"/>
  <c r="Y1258" i="1"/>
  <c r="Z1258" i="1"/>
  <c r="N1259" i="1"/>
  <c r="Y1259" i="1"/>
  <c r="Z1259" i="1"/>
  <c r="N1260" i="1"/>
  <c r="Y1260" i="1"/>
  <c r="Z1260" i="1"/>
  <c r="N1261" i="1"/>
  <c r="Y1261" i="1"/>
  <c r="Z1261" i="1"/>
  <c r="N1262" i="1"/>
  <c r="Y1262" i="1"/>
  <c r="Z1262" i="1"/>
  <c r="N1263" i="1"/>
  <c r="Y1263" i="1"/>
  <c r="Z1263" i="1"/>
  <c r="N1264" i="1"/>
  <c r="Y1264" i="1"/>
  <c r="Z1264" i="1"/>
  <c r="N1265" i="1"/>
  <c r="Y1265" i="1"/>
  <c r="Z1265" i="1"/>
  <c r="N1266" i="1"/>
  <c r="Y1266" i="1"/>
  <c r="Z1266" i="1"/>
  <c r="N1267" i="1"/>
  <c r="Y1267" i="1"/>
  <c r="Z1267" i="1"/>
  <c r="N1268" i="1"/>
  <c r="Y1268" i="1"/>
  <c r="Z1268" i="1"/>
  <c r="N1269" i="1"/>
  <c r="Y1269" i="1"/>
  <c r="Z1269" i="1"/>
  <c r="N1270" i="1"/>
  <c r="Y1270" i="1"/>
  <c r="Z1270" i="1"/>
  <c r="N1271" i="1"/>
  <c r="Y1271" i="1"/>
  <c r="Z1271" i="1"/>
  <c r="N1272" i="1"/>
  <c r="Y1272" i="1"/>
  <c r="Z1272" i="1"/>
  <c r="N1273" i="1"/>
  <c r="Y1273" i="1"/>
  <c r="Z1273" i="1"/>
  <c r="N1274" i="1"/>
  <c r="Y1274" i="1"/>
  <c r="Z1274" i="1"/>
  <c r="N1275" i="1"/>
  <c r="Y1275" i="1"/>
  <c r="Z1275" i="1"/>
  <c r="N1276" i="1"/>
  <c r="Y1276" i="1"/>
  <c r="Z1276" i="1"/>
  <c r="N1277" i="1"/>
  <c r="Y1277" i="1"/>
  <c r="Z1277" i="1"/>
  <c r="N1278" i="1"/>
  <c r="Y1278" i="1"/>
  <c r="Z1278" i="1"/>
  <c r="N1279" i="1"/>
  <c r="Y1279" i="1"/>
  <c r="Z1279" i="1"/>
  <c r="N1280" i="1"/>
  <c r="Y1280" i="1"/>
  <c r="Z1280" i="1"/>
  <c r="N1281" i="1"/>
  <c r="Y1281" i="1"/>
  <c r="Z1281" i="1"/>
  <c r="N1282" i="1"/>
  <c r="Y1282" i="1"/>
  <c r="Z1282" i="1"/>
  <c r="N1283" i="1"/>
  <c r="Y1283" i="1"/>
  <c r="Z1283" i="1"/>
  <c r="N1284" i="1"/>
  <c r="Y1284" i="1"/>
  <c r="Z1284" i="1"/>
  <c r="N1285" i="1"/>
  <c r="Y1285" i="1"/>
  <c r="Z1285" i="1"/>
  <c r="N1286" i="1"/>
  <c r="Y1286" i="1"/>
  <c r="Z1286" i="1"/>
  <c r="N1287" i="1"/>
  <c r="Y1287" i="1"/>
  <c r="Z1287" i="1"/>
  <c r="N1288" i="1"/>
  <c r="Y1288" i="1"/>
  <c r="Z1288" i="1"/>
  <c r="N1289" i="1"/>
  <c r="Y1289" i="1"/>
  <c r="Z1289" i="1"/>
  <c r="N1290" i="1"/>
  <c r="Y1290" i="1"/>
  <c r="Z1290" i="1"/>
  <c r="N1291" i="1"/>
  <c r="Y1291" i="1"/>
  <c r="Z1291" i="1"/>
  <c r="N1292" i="1"/>
  <c r="Y1292" i="1"/>
  <c r="Z1292" i="1"/>
  <c r="N1293" i="1"/>
  <c r="Y1293" i="1"/>
  <c r="Z1293" i="1"/>
  <c r="N1294" i="1"/>
  <c r="Y1294" i="1"/>
  <c r="Z1294" i="1"/>
  <c r="N1295" i="1"/>
  <c r="Y1295" i="1"/>
  <c r="Z1295" i="1"/>
  <c r="N1296" i="1"/>
  <c r="Y1296" i="1"/>
  <c r="Z1296" i="1"/>
  <c r="Y1297" i="1"/>
  <c r="Z1297" i="1"/>
  <c r="N1298" i="1"/>
  <c r="Y1298" i="1"/>
  <c r="Z1298" i="1"/>
  <c r="N1299" i="1"/>
  <c r="Y1299" i="1"/>
  <c r="Z1299" i="1"/>
  <c r="N1300" i="1"/>
  <c r="Y1300" i="1"/>
  <c r="Z1300" i="1"/>
  <c r="N1301" i="1"/>
  <c r="Y1301" i="1"/>
  <c r="Z1301" i="1"/>
  <c r="N1302" i="1"/>
  <c r="Y1302" i="1"/>
  <c r="Z1302" i="1"/>
  <c r="N1303" i="1"/>
  <c r="Y1303" i="1"/>
  <c r="Z1303" i="1"/>
  <c r="N1304" i="1"/>
  <c r="Y1304" i="1"/>
  <c r="Z1304" i="1"/>
  <c r="N1305" i="1"/>
  <c r="Y1305" i="1"/>
  <c r="Z1305" i="1"/>
  <c r="N1306" i="1"/>
  <c r="Y1306" i="1"/>
  <c r="Z1306" i="1"/>
  <c r="N1307" i="1"/>
  <c r="Y1307" i="1"/>
  <c r="Z1307" i="1"/>
  <c r="N1308" i="1"/>
  <c r="Y1308" i="1"/>
  <c r="Z1308" i="1"/>
  <c r="N1309" i="1"/>
  <c r="Y1309" i="1"/>
  <c r="Z1309" i="1"/>
  <c r="N1310" i="1"/>
  <c r="Y1310" i="1"/>
  <c r="Z1310" i="1"/>
  <c r="N1311" i="1"/>
  <c r="Y1311" i="1"/>
  <c r="Z1311" i="1"/>
  <c r="N1312" i="1"/>
  <c r="Y1312" i="1"/>
  <c r="Z1312" i="1"/>
  <c r="N1313" i="1"/>
  <c r="Y1313" i="1"/>
  <c r="Z1313" i="1"/>
  <c r="N1314" i="1"/>
  <c r="Y1314" i="1"/>
  <c r="Z1314" i="1"/>
  <c r="N1315" i="1"/>
  <c r="Y1315" i="1"/>
  <c r="Z1315" i="1"/>
  <c r="N1316" i="1"/>
  <c r="Y1316" i="1"/>
  <c r="Z1316" i="1"/>
  <c r="N1317" i="1"/>
  <c r="Y1317" i="1"/>
  <c r="Z1317" i="1"/>
  <c r="N1318" i="1"/>
  <c r="Y1318" i="1"/>
  <c r="Z1318" i="1"/>
  <c r="N1319" i="1"/>
  <c r="Y1319" i="1"/>
  <c r="Z1319" i="1"/>
  <c r="N1320" i="1"/>
  <c r="Y1320" i="1"/>
  <c r="Z1320" i="1"/>
  <c r="N1321" i="1"/>
  <c r="Y1321" i="1"/>
  <c r="Z1321" i="1"/>
  <c r="N1322" i="1"/>
  <c r="Y1322" i="1"/>
  <c r="Z1322" i="1"/>
  <c r="N1323" i="1"/>
  <c r="Y1323" i="1"/>
  <c r="Z1323" i="1"/>
  <c r="N1324" i="1"/>
  <c r="Y1324" i="1"/>
  <c r="Z1324" i="1"/>
  <c r="N1325" i="1"/>
  <c r="Y1325" i="1"/>
  <c r="Z1325" i="1"/>
  <c r="N1326" i="1"/>
  <c r="Y1326" i="1"/>
  <c r="Z1326" i="1"/>
  <c r="N1327" i="1"/>
  <c r="Y1327" i="1"/>
  <c r="Z1327" i="1"/>
  <c r="N1328" i="1"/>
  <c r="Y1328" i="1"/>
  <c r="Z1328" i="1"/>
  <c r="N1329" i="1"/>
  <c r="Y1329" i="1"/>
  <c r="Z1329" i="1"/>
  <c r="N1330" i="1"/>
  <c r="Y1330" i="1"/>
  <c r="Z1330" i="1"/>
  <c r="N1331" i="1"/>
  <c r="Y1331" i="1"/>
  <c r="Z1331" i="1"/>
  <c r="N1332" i="1"/>
  <c r="Y1332" i="1"/>
  <c r="Z1332" i="1"/>
  <c r="N1333" i="1"/>
  <c r="Y1333" i="1"/>
  <c r="Z1333" i="1"/>
  <c r="N1334" i="1"/>
  <c r="Y1334" i="1"/>
  <c r="Z1334" i="1"/>
  <c r="N1335" i="1"/>
  <c r="Y1335" i="1"/>
  <c r="Z1335" i="1"/>
  <c r="N1336" i="1"/>
  <c r="Y1336" i="1"/>
  <c r="Z1336" i="1"/>
  <c r="N1337" i="1"/>
  <c r="Y1337" i="1"/>
  <c r="Z1337" i="1"/>
  <c r="N1338" i="1"/>
  <c r="Y1338" i="1"/>
  <c r="Z1338" i="1"/>
  <c r="N1339" i="1"/>
  <c r="Y1339" i="1"/>
  <c r="Z1339" i="1"/>
  <c r="N1340" i="1"/>
  <c r="Y1340" i="1"/>
  <c r="Z1340" i="1"/>
  <c r="N1341" i="1"/>
  <c r="Y1341" i="1"/>
  <c r="Z1341" i="1"/>
  <c r="N1342" i="1"/>
  <c r="Y1342" i="1"/>
  <c r="Z1342" i="1"/>
  <c r="N1343" i="1"/>
  <c r="Y1343" i="1"/>
  <c r="Z1343" i="1"/>
  <c r="N1344" i="1"/>
  <c r="Y1344" i="1"/>
  <c r="Z1344" i="1"/>
  <c r="N1345" i="1"/>
  <c r="Y1345" i="1"/>
  <c r="Z1345" i="1"/>
  <c r="N1346" i="1"/>
  <c r="Y1346" i="1"/>
  <c r="Z1346" i="1"/>
  <c r="N1347" i="1"/>
  <c r="Y1347" i="1"/>
  <c r="Z1347" i="1"/>
  <c r="N1348" i="1"/>
  <c r="Y1348" i="1"/>
  <c r="Z1348" i="1"/>
  <c r="N1349" i="1"/>
  <c r="Y1349" i="1"/>
  <c r="Z1349" i="1"/>
  <c r="N1350" i="1"/>
  <c r="Y1350" i="1"/>
  <c r="Z1350" i="1"/>
  <c r="N1351" i="1"/>
  <c r="Y1351" i="1"/>
  <c r="Z1351" i="1"/>
  <c r="N1352" i="1"/>
  <c r="Y1352" i="1"/>
  <c r="Z1352" i="1"/>
  <c r="N1353" i="1"/>
  <c r="Y1353" i="1"/>
  <c r="Z1353" i="1"/>
  <c r="N1354" i="1"/>
  <c r="Y1354" i="1"/>
  <c r="Z1354" i="1"/>
  <c r="N1355" i="1"/>
  <c r="Y1355" i="1"/>
  <c r="Z1355" i="1"/>
  <c r="N1356" i="1"/>
  <c r="Y1356" i="1"/>
  <c r="Z1356" i="1"/>
  <c r="N1357" i="1"/>
  <c r="Y1357" i="1"/>
  <c r="Z1357" i="1"/>
  <c r="N1358" i="1"/>
  <c r="Y1358" i="1"/>
  <c r="Z1358" i="1"/>
  <c r="N1359" i="1"/>
  <c r="Y1359" i="1"/>
  <c r="Z1359" i="1"/>
  <c r="Y1360" i="1"/>
  <c r="Z1360" i="1"/>
  <c r="N1361" i="1"/>
  <c r="Y1361" i="1"/>
  <c r="Z1361" i="1"/>
  <c r="N1362" i="1"/>
  <c r="Y1362" i="1"/>
  <c r="Z1362" i="1"/>
  <c r="N1363" i="1"/>
  <c r="Y1363" i="1"/>
  <c r="Z1363" i="1"/>
  <c r="N1364" i="1"/>
  <c r="Y1364" i="1"/>
  <c r="Z1364" i="1"/>
  <c r="N1365" i="1"/>
  <c r="Y1365" i="1"/>
  <c r="Z1365" i="1"/>
  <c r="N1366" i="1"/>
  <c r="Y1366" i="1"/>
  <c r="Z1366" i="1"/>
  <c r="N1367" i="1"/>
  <c r="Y1367" i="1"/>
  <c r="Z1367" i="1"/>
  <c r="N1368" i="1"/>
  <c r="Y1368" i="1"/>
  <c r="Z1368" i="1"/>
  <c r="N1369" i="1"/>
  <c r="Y1369" i="1"/>
  <c r="Z1369" i="1"/>
  <c r="N1370" i="1"/>
  <c r="Y1370" i="1"/>
  <c r="Z1370" i="1"/>
  <c r="N1371" i="1"/>
  <c r="Y1371" i="1"/>
  <c r="Z1371" i="1"/>
  <c r="N1372" i="1"/>
  <c r="Y1372" i="1"/>
  <c r="Z1372" i="1"/>
  <c r="N1373" i="1"/>
  <c r="Y1373" i="1"/>
  <c r="Z1373" i="1"/>
  <c r="N1374" i="1"/>
  <c r="Y1374" i="1"/>
  <c r="Z1374" i="1"/>
  <c r="N1375" i="1"/>
  <c r="Y1375" i="1"/>
  <c r="Z1375" i="1"/>
  <c r="N1376" i="1"/>
  <c r="Y1376" i="1"/>
  <c r="Z1376" i="1"/>
  <c r="N1377" i="1"/>
  <c r="Y1377" i="1"/>
  <c r="Z1377" i="1"/>
  <c r="N1378" i="1"/>
  <c r="Y1378" i="1"/>
  <c r="Z1378" i="1"/>
  <c r="N1379" i="1"/>
  <c r="Y1379" i="1"/>
  <c r="Z1379" i="1"/>
  <c r="N1380" i="1"/>
  <c r="Y1380" i="1"/>
  <c r="Z1380" i="1"/>
  <c r="N1381" i="1"/>
  <c r="Y1381" i="1"/>
  <c r="Z1381" i="1"/>
  <c r="N1382" i="1"/>
  <c r="Y1382" i="1"/>
  <c r="Z1382" i="1"/>
  <c r="N1383" i="1"/>
  <c r="Y1383" i="1"/>
  <c r="Z1383" i="1"/>
  <c r="N1384" i="1"/>
  <c r="Y1384" i="1"/>
  <c r="Z1384" i="1"/>
  <c r="N1385" i="1"/>
  <c r="Y1385" i="1"/>
  <c r="Z1385" i="1"/>
  <c r="N1386" i="1"/>
  <c r="Y1386" i="1"/>
  <c r="Z1386" i="1"/>
  <c r="N1387" i="1"/>
  <c r="Y1387" i="1"/>
  <c r="Z1387" i="1"/>
  <c r="N1388" i="1"/>
  <c r="Y1388" i="1"/>
  <c r="Z1388" i="1"/>
  <c r="N1389" i="1"/>
  <c r="Y1389" i="1"/>
  <c r="Z1389" i="1"/>
  <c r="N1390" i="1"/>
  <c r="Y1390" i="1"/>
  <c r="Z1390" i="1"/>
  <c r="N1391" i="1"/>
  <c r="Y1391" i="1"/>
  <c r="Z1391" i="1"/>
  <c r="N1392" i="1"/>
  <c r="Y1392" i="1"/>
  <c r="Z1392" i="1"/>
  <c r="N1393" i="1"/>
  <c r="Y1393" i="1"/>
  <c r="Z1393" i="1"/>
  <c r="N1394" i="1"/>
  <c r="Y1394" i="1"/>
  <c r="Z1394" i="1"/>
  <c r="N1395" i="1"/>
  <c r="Y1395" i="1"/>
  <c r="Z1395" i="1"/>
  <c r="N1396" i="1"/>
  <c r="Y1396" i="1"/>
  <c r="Z1396" i="1"/>
  <c r="N1397" i="1"/>
  <c r="Y1397" i="1"/>
  <c r="Z1397" i="1"/>
  <c r="N1398" i="1"/>
  <c r="Y1398" i="1"/>
  <c r="Z1398" i="1"/>
  <c r="N1399" i="1"/>
  <c r="Y1399" i="1"/>
  <c r="Z1399" i="1"/>
  <c r="N1400" i="1"/>
  <c r="Y1400" i="1"/>
  <c r="Z1400" i="1"/>
  <c r="N1401" i="1"/>
  <c r="Y1401" i="1"/>
  <c r="Z1401" i="1"/>
  <c r="N1402" i="1"/>
  <c r="Y1402" i="1"/>
  <c r="Z1402" i="1"/>
  <c r="N1403" i="1"/>
  <c r="Y1403" i="1"/>
  <c r="Z1403" i="1"/>
  <c r="N1404" i="1"/>
  <c r="Y1404" i="1"/>
  <c r="Z1404" i="1"/>
  <c r="N1405" i="1"/>
  <c r="Y1405" i="1"/>
  <c r="Z1405" i="1"/>
  <c r="N1406" i="1"/>
  <c r="Y1406" i="1"/>
  <c r="Z1406" i="1"/>
  <c r="N1407" i="1"/>
  <c r="Y1407" i="1"/>
  <c r="Z1407" i="1"/>
  <c r="N1408" i="1"/>
  <c r="Y1408" i="1"/>
  <c r="Z1408" i="1"/>
  <c r="N1409" i="1"/>
  <c r="Y1409" i="1"/>
  <c r="Z1409" i="1"/>
  <c r="N1410" i="1"/>
  <c r="Y1410" i="1"/>
  <c r="Z1410" i="1"/>
  <c r="N1411" i="1"/>
  <c r="Y1411" i="1"/>
  <c r="Z1411" i="1"/>
  <c r="N1412" i="1"/>
  <c r="Y1412" i="1"/>
  <c r="Z1412" i="1"/>
  <c r="Y1413" i="1"/>
  <c r="Z1413" i="1"/>
  <c r="N1414" i="1"/>
  <c r="Y1414" i="1"/>
  <c r="Z1414" i="1"/>
  <c r="N1415" i="1"/>
  <c r="Y1415" i="1"/>
  <c r="Z1415" i="1"/>
  <c r="N1416" i="1"/>
  <c r="Y1416" i="1"/>
  <c r="Z1416" i="1"/>
  <c r="N1417" i="1"/>
  <c r="Y1417" i="1"/>
  <c r="Z1417" i="1"/>
  <c r="N1418" i="1"/>
  <c r="Y1418" i="1"/>
  <c r="Z1418" i="1"/>
  <c r="N1419" i="1"/>
  <c r="Y1419" i="1"/>
  <c r="Z1419" i="1"/>
  <c r="N1420" i="1"/>
  <c r="Y1420" i="1"/>
  <c r="Z1420" i="1"/>
  <c r="N1421" i="1"/>
  <c r="Y1421" i="1"/>
  <c r="Z1421" i="1"/>
  <c r="N1422" i="1"/>
  <c r="Y1422" i="1"/>
  <c r="Z1422" i="1"/>
  <c r="N1423" i="1"/>
  <c r="Y1423" i="1"/>
  <c r="Z1423" i="1"/>
  <c r="N1424" i="1"/>
  <c r="Y1424" i="1"/>
  <c r="Z1424" i="1"/>
  <c r="N1425" i="1"/>
  <c r="Y1425" i="1"/>
  <c r="Z1425" i="1"/>
  <c r="N1426" i="1"/>
  <c r="Y1426" i="1"/>
  <c r="Z1426" i="1"/>
  <c r="N1427" i="1"/>
  <c r="Y1427" i="1"/>
  <c r="Z1427" i="1"/>
  <c r="N1428" i="1"/>
  <c r="Y1428" i="1"/>
  <c r="Z1428" i="1"/>
  <c r="N1429" i="1"/>
  <c r="Y1429" i="1"/>
  <c r="Z1429" i="1"/>
  <c r="N1430" i="1"/>
  <c r="Y1430" i="1"/>
  <c r="Z1430" i="1"/>
  <c r="N1431" i="1"/>
  <c r="Y1431" i="1"/>
  <c r="Z1431" i="1"/>
  <c r="N1432" i="1"/>
  <c r="Y1432" i="1"/>
  <c r="Z1432" i="1"/>
  <c r="N1433" i="1"/>
  <c r="Y1433" i="1"/>
  <c r="Z1433" i="1"/>
  <c r="N1434" i="1"/>
  <c r="Y1434" i="1"/>
  <c r="Z1434" i="1"/>
  <c r="N1435" i="1"/>
  <c r="Y1435" i="1"/>
  <c r="Z1435" i="1"/>
  <c r="N1436" i="1"/>
  <c r="Y1436" i="1"/>
  <c r="Z1436" i="1"/>
  <c r="N1437" i="1"/>
  <c r="Y1437" i="1"/>
  <c r="Z1437" i="1"/>
  <c r="N1438" i="1"/>
  <c r="Y1438" i="1"/>
  <c r="Z1438" i="1"/>
  <c r="N1439" i="1"/>
  <c r="Y1439" i="1"/>
  <c r="Z1439" i="1"/>
  <c r="N1440" i="1"/>
  <c r="Y1440" i="1"/>
  <c r="Z1440" i="1"/>
  <c r="N1441" i="1"/>
  <c r="Y1441" i="1"/>
  <c r="Z1441" i="1"/>
  <c r="N1442" i="1"/>
  <c r="Y1442" i="1"/>
  <c r="Z1442" i="1"/>
  <c r="N1443" i="1"/>
  <c r="Y1443" i="1"/>
  <c r="Z1443" i="1"/>
  <c r="N1444" i="1"/>
  <c r="Y1444" i="1"/>
  <c r="Z1444" i="1"/>
  <c r="N1445" i="1"/>
  <c r="Y1445" i="1"/>
  <c r="Z1445" i="1"/>
  <c r="N1446" i="1"/>
  <c r="Y1446" i="1"/>
  <c r="Z1446" i="1"/>
  <c r="N1447" i="1"/>
  <c r="Y1447" i="1"/>
  <c r="Z1447" i="1"/>
  <c r="N1448" i="1"/>
  <c r="Y1448" i="1"/>
  <c r="Z1448" i="1"/>
  <c r="N1449" i="1"/>
  <c r="Y1449" i="1"/>
  <c r="Z1449" i="1"/>
  <c r="N1450" i="1"/>
  <c r="Y1450" i="1"/>
  <c r="Z1450" i="1"/>
  <c r="N1451" i="1"/>
  <c r="Y1451" i="1"/>
  <c r="Z1451" i="1"/>
  <c r="N1452" i="1"/>
  <c r="Y1452" i="1"/>
  <c r="Z1452" i="1"/>
  <c r="N1453" i="1"/>
  <c r="Y1453" i="1"/>
  <c r="Z1453" i="1"/>
  <c r="N1454" i="1"/>
  <c r="Y1454" i="1"/>
  <c r="Z1454" i="1"/>
  <c r="N1455" i="1"/>
  <c r="Y1455" i="1"/>
  <c r="Z1455" i="1"/>
  <c r="N1456" i="1"/>
  <c r="Y1456" i="1"/>
  <c r="Z1456" i="1"/>
  <c r="N1457" i="1"/>
  <c r="Y1457" i="1"/>
  <c r="Z1457" i="1"/>
  <c r="N1458" i="1"/>
  <c r="Y1458" i="1"/>
  <c r="Z1458" i="1"/>
  <c r="N1459" i="1"/>
  <c r="Y1459" i="1"/>
  <c r="Z1459" i="1"/>
  <c r="N1460" i="1"/>
  <c r="Y1460" i="1"/>
  <c r="Z1460" i="1"/>
  <c r="N1461" i="1"/>
  <c r="Y1461" i="1"/>
  <c r="Z1461" i="1"/>
  <c r="N1462" i="1"/>
  <c r="Y1462" i="1"/>
  <c r="Z1462" i="1"/>
  <c r="N1463" i="1"/>
  <c r="Y1463" i="1"/>
  <c r="Z1463" i="1"/>
  <c r="N1464" i="1"/>
  <c r="Y1464" i="1"/>
  <c r="Z1464" i="1"/>
  <c r="Y1465" i="1"/>
  <c r="Z1465" i="1"/>
  <c r="N1466" i="1"/>
  <c r="Y1466" i="1"/>
  <c r="Z1466" i="1"/>
  <c r="N1467" i="1"/>
  <c r="Y1467" i="1"/>
  <c r="Z1467" i="1"/>
  <c r="N1468" i="1"/>
  <c r="Y1468" i="1"/>
  <c r="Z1468" i="1"/>
  <c r="N1469" i="1"/>
  <c r="Y1469" i="1"/>
  <c r="Z1469" i="1"/>
  <c r="N1470" i="1"/>
  <c r="Y1470" i="1"/>
  <c r="Z1470" i="1"/>
  <c r="N1471" i="1"/>
  <c r="Y1471" i="1"/>
  <c r="Z1471" i="1"/>
  <c r="N1472" i="1"/>
  <c r="Y1472" i="1"/>
  <c r="Z1472" i="1"/>
  <c r="N1473" i="1"/>
  <c r="Y1473" i="1"/>
  <c r="Z1473" i="1"/>
  <c r="N1474" i="1"/>
  <c r="Y1474" i="1"/>
  <c r="Z1474" i="1"/>
  <c r="N1475" i="1"/>
  <c r="Y1475" i="1"/>
  <c r="Z1475" i="1"/>
  <c r="N1476" i="1"/>
  <c r="Y1476" i="1"/>
  <c r="Z1476" i="1"/>
  <c r="N1477" i="1"/>
  <c r="Y1477" i="1"/>
  <c r="Z1477" i="1"/>
  <c r="N1478" i="1"/>
  <c r="Y1478" i="1"/>
  <c r="Z1478" i="1"/>
  <c r="N1479" i="1"/>
  <c r="Y1479" i="1"/>
  <c r="Z1479" i="1"/>
  <c r="N1480" i="1"/>
  <c r="Y1480" i="1"/>
  <c r="Z1480" i="1"/>
  <c r="N1481" i="1"/>
  <c r="Y1481" i="1"/>
  <c r="Z1481" i="1"/>
  <c r="N1482" i="1"/>
  <c r="Y1482" i="1"/>
  <c r="Z1482" i="1"/>
  <c r="N1483" i="1"/>
  <c r="Y1483" i="1"/>
  <c r="Z1483" i="1"/>
  <c r="N1484" i="1"/>
  <c r="Y1484" i="1"/>
  <c r="Z1484" i="1"/>
  <c r="N1485" i="1"/>
  <c r="Y1485" i="1"/>
  <c r="Z1485" i="1"/>
  <c r="N1486" i="1"/>
  <c r="Y1486" i="1"/>
  <c r="Z148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6" i="1"/>
  <c r="Z6" i="1"/>
  <c r="Y17" i="1"/>
  <c r="Z17" i="1"/>
  <c r="J56" i="1"/>
  <c r="R56" i="1"/>
  <c r="J57" i="1"/>
  <c r="R57" i="1"/>
  <c r="J58" i="1"/>
  <c r="R58" i="1"/>
  <c r="J59" i="1"/>
  <c r="R59" i="1"/>
  <c r="J60" i="1"/>
  <c r="R60" i="1"/>
  <c r="J61" i="1"/>
  <c r="R61" i="1"/>
  <c r="J62" i="1"/>
  <c r="R62" i="1"/>
  <c r="J63" i="1"/>
  <c r="R63" i="1"/>
  <c r="J64" i="1"/>
  <c r="R64" i="1"/>
  <c r="J65" i="1"/>
  <c r="R65" i="1"/>
  <c r="J66" i="1"/>
  <c r="R66" i="1"/>
  <c r="J67" i="1"/>
  <c r="R67" i="1"/>
  <c r="J68" i="1"/>
  <c r="R68" i="1"/>
  <c r="J69" i="1"/>
  <c r="R69" i="1"/>
  <c r="J70" i="1"/>
  <c r="R70" i="1"/>
  <c r="J71" i="1"/>
  <c r="R71" i="1"/>
  <c r="J72" i="1"/>
  <c r="R72" i="1"/>
  <c r="J73" i="1"/>
  <c r="R73" i="1"/>
  <c r="J74" i="1"/>
  <c r="R74" i="1"/>
  <c r="J75" i="1"/>
  <c r="R75" i="1"/>
  <c r="J76" i="1"/>
  <c r="R76" i="1"/>
  <c r="J77" i="1"/>
  <c r="R77" i="1"/>
  <c r="J78" i="1"/>
  <c r="R78" i="1"/>
  <c r="J79" i="1"/>
  <c r="R79" i="1"/>
  <c r="J80" i="1"/>
  <c r="R80" i="1"/>
  <c r="J81" i="1"/>
  <c r="R81" i="1"/>
  <c r="J82" i="1"/>
  <c r="R82" i="1"/>
  <c r="J83" i="1"/>
  <c r="R83" i="1"/>
  <c r="J84" i="1"/>
  <c r="R84" i="1"/>
  <c r="J85" i="1"/>
  <c r="R85" i="1"/>
  <c r="J86" i="1"/>
  <c r="R86" i="1"/>
  <c r="J87" i="1"/>
  <c r="R87" i="1"/>
  <c r="J88" i="1"/>
  <c r="R88" i="1"/>
  <c r="J89" i="1"/>
  <c r="R89" i="1"/>
  <c r="J90" i="1"/>
  <c r="R90" i="1"/>
  <c r="J91" i="1"/>
  <c r="R91" i="1"/>
  <c r="J92" i="1"/>
  <c r="R92" i="1"/>
  <c r="J93" i="1"/>
  <c r="R93" i="1"/>
  <c r="J94" i="1"/>
  <c r="R94" i="1"/>
  <c r="J95" i="1"/>
  <c r="R95" i="1"/>
  <c r="J96" i="1"/>
  <c r="R96" i="1"/>
  <c r="J97" i="1"/>
  <c r="R97" i="1"/>
  <c r="J98" i="1"/>
  <c r="R98" i="1"/>
  <c r="J99" i="1"/>
  <c r="R99" i="1"/>
  <c r="J100" i="1"/>
  <c r="R100" i="1"/>
  <c r="J101" i="1"/>
  <c r="R101" i="1"/>
  <c r="J102" i="1"/>
  <c r="R102" i="1"/>
  <c r="J103" i="1"/>
  <c r="R103" i="1"/>
  <c r="J104" i="1"/>
  <c r="R104" i="1"/>
  <c r="J105" i="1"/>
  <c r="R105" i="1"/>
  <c r="J106" i="1"/>
  <c r="R106" i="1"/>
  <c r="J107" i="1"/>
  <c r="R107" i="1"/>
  <c r="J108" i="1"/>
  <c r="R108" i="1"/>
  <c r="J109" i="1"/>
  <c r="R109" i="1"/>
  <c r="J110" i="1"/>
  <c r="R110" i="1"/>
  <c r="J111" i="1"/>
  <c r="R111" i="1"/>
  <c r="J112" i="1"/>
  <c r="R112" i="1"/>
  <c r="J113" i="1"/>
  <c r="R113" i="1"/>
  <c r="J114" i="1"/>
  <c r="R114" i="1"/>
  <c r="J115" i="1"/>
  <c r="R115" i="1"/>
  <c r="R116" i="1"/>
  <c r="J117" i="1"/>
  <c r="R117" i="1"/>
  <c r="J118" i="1"/>
  <c r="R118" i="1"/>
  <c r="J119" i="1"/>
  <c r="R119" i="1"/>
  <c r="J120" i="1"/>
  <c r="R120" i="1"/>
  <c r="J121" i="1"/>
  <c r="R121" i="1"/>
  <c r="J122" i="1"/>
  <c r="R122" i="1"/>
  <c r="J123" i="1"/>
  <c r="R123" i="1"/>
  <c r="J124" i="1"/>
  <c r="R124" i="1"/>
  <c r="J125" i="1"/>
  <c r="R125" i="1"/>
  <c r="J126" i="1"/>
  <c r="R126" i="1"/>
  <c r="J127" i="1"/>
  <c r="R127" i="1"/>
  <c r="J128" i="1"/>
  <c r="R128" i="1"/>
  <c r="J129" i="1"/>
  <c r="R129" i="1"/>
  <c r="J130" i="1"/>
  <c r="R130" i="1"/>
  <c r="J131" i="1"/>
  <c r="R131" i="1"/>
  <c r="J132" i="1"/>
  <c r="R132" i="1"/>
  <c r="J133" i="1"/>
  <c r="R133" i="1"/>
  <c r="J134" i="1"/>
  <c r="R134" i="1"/>
  <c r="J135" i="1"/>
  <c r="R135" i="1"/>
  <c r="J136" i="1"/>
  <c r="R136" i="1"/>
  <c r="J137" i="1"/>
  <c r="R137" i="1"/>
  <c r="J138" i="1"/>
  <c r="R138" i="1"/>
  <c r="J139" i="1"/>
  <c r="R139" i="1"/>
  <c r="J140" i="1"/>
  <c r="R140" i="1"/>
  <c r="J141" i="1"/>
  <c r="R141" i="1"/>
  <c r="J142" i="1"/>
  <c r="R142" i="1"/>
  <c r="J143" i="1"/>
  <c r="R143" i="1"/>
  <c r="J144" i="1"/>
  <c r="R144" i="1"/>
  <c r="J145" i="1"/>
  <c r="R145" i="1"/>
  <c r="J146" i="1"/>
  <c r="R146" i="1"/>
  <c r="J147" i="1"/>
  <c r="R147" i="1"/>
  <c r="J148" i="1"/>
  <c r="R148" i="1"/>
  <c r="J149" i="1"/>
  <c r="R149" i="1"/>
  <c r="J150" i="1"/>
  <c r="R150" i="1"/>
  <c r="J151" i="1"/>
  <c r="R151" i="1"/>
  <c r="J152" i="1"/>
  <c r="R152" i="1"/>
  <c r="J153" i="1"/>
  <c r="R153" i="1"/>
  <c r="J154" i="1"/>
  <c r="R154" i="1"/>
  <c r="J155" i="1"/>
  <c r="R155" i="1"/>
  <c r="J156" i="1"/>
  <c r="R156" i="1"/>
  <c r="J157" i="1"/>
  <c r="R157" i="1"/>
  <c r="J158" i="1"/>
  <c r="R158" i="1"/>
  <c r="J159" i="1"/>
  <c r="R159" i="1"/>
  <c r="J160" i="1"/>
  <c r="R160" i="1"/>
  <c r="J161" i="1"/>
  <c r="R161" i="1"/>
  <c r="R162" i="1"/>
  <c r="J163" i="1"/>
  <c r="R163" i="1"/>
  <c r="J164" i="1"/>
  <c r="R164" i="1"/>
  <c r="J165" i="1"/>
  <c r="R165" i="1"/>
  <c r="J166" i="1"/>
  <c r="R166" i="1"/>
  <c r="J167" i="1"/>
  <c r="R167" i="1"/>
  <c r="J168" i="1"/>
  <c r="R168" i="1"/>
  <c r="J169" i="1"/>
  <c r="R169" i="1"/>
  <c r="J170" i="1"/>
  <c r="R170" i="1"/>
  <c r="J171" i="1"/>
  <c r="R171" i="1"/>
  <c r="J172" i="1"/>
  <c r="R172" i="1"/>
  <c r="J173" i="1"/>
  <c r="R173" i="1"/>
  <c r="J174" i="1"/>
  <c r="R174" i="1"/>
  <c r="J175" i="1"/>
  <c r="R175" i="1"/>
  <c r="J176" i="1"/>
  <c r="R176" i="1"/>
  <c r="J177" i="1"/>
  <c r="R177" i="1"/>
  <c r="J178" i="1"/>
  <c r="R178" i="1"/>
  <c r="J179" i="1"/>
  <c r="R179" i="1"/>
  <c r="J180" i="1"/>
  <c r="R180" i="1"/>
  <c r="J181" i="1"/>
  <c r="R181" i="1"/>
  <c r="J182" i="1"/>
  <c r="R182" i="1"/>
  <c r="J183" i="1"/>
  <c r="R183" i="1"/>
  <c r="J184" i="1"/>
  <c r="R184" i="1"/>
  <c r="J185" i="1"/>
  <c r="R185" i="1"/>
  <c r="J186" i="1"/>
  <c r="R186" i="1"/>
  <c r="J187" i="1"/>
  <c r="R187" i="1"/>
  <c r="J188" i="1"/>
  <c r="R188" i="1"/>
  <c r="J189" i="1"/>
  <c r="R189" i="1"/>
  <c r="J190" i="1"/>
  <c r="R190" i="1"/>
  <c r="J191" i="1"/>
  <c r="R191" i="1"/>
  <c r="J192" i="1"/>
  <c r="R192" i="1"/>
  <c r="J193" i="1"/>
  <c r="R193" i="1"/>
  <c r="J194" i="1"/>
  <c r="R194" i="1"/>
  <c r="J195" i="1"/>
  <c r="R195" i="1"/>
  <c r="J196" i="1"/>
  <c r="R196" i="1"/>
  <c r="J197" i="1"/>
  <c r="R197" i="1"/>
  <c r="J198" i="1"/>
  <c r="R198" i="1"/>
  <c r="J199" i="1"/>
  <c r="R199" i="1"/>
  <c r="J200" i="1"/>
  <c r="R200" i="1"/>
  <c r="J201" i="1"/>
  <c r="R201" i="1"/>
  <c r="J202" i="1"/>
  <c r="R202" i="1"/>
  <c r="J203" i="1"/>
  <c r="R203" i="1"/>
  <c r="J204" i="1"/>
  <c r="R204" i="1"/>
  <c r="J205" i="1"/>
  <c r="R205" i="1"/>
  <c r="J206" i="1"/>
  <c r="R206" i="1"/>
  <c r="J207" i="1"/>
  <c r="R207" i="1"/>
  <c r="J208" i="1"/>
  <c r="R208" i="1"/>
  <c r="J209" i="1"/>
  <c r="R209" i="1"/>
  <c r="J210" i="1"/>
  <c r="R210" i="1"/>
  <c r="J211" i="1"/>
  <c r="R211" i="1"/>
  <c r="J212" i="1"/>
  <c r="R212" i="1"/>
  <c r="J213" i="1"/>
  <c r="R213" i="1"/>
  <c r="J214" i="1"/>
  <c r="R214" i="1"/>
  <c r="J215" i="1"/>
  <c r="R215" i="1"/>
  <c r="J216" i="1"/>
  <c r="R216" i="1"/>
  <c r="J217" i="1"/>
  <c r="R217" i="1"/>
  <c r="J218" i="1"/>
  <c r="R218" i="1"/>
  <c r="J219" i="1"/>
  <c r="R219" i="1"/>
  <c r="J220" i="1"/>
  <c r="R220" i="1"/>
  <c r="J221" i="1"/>
  <c r="R221" i="1"/>
  <c r="J222" i="1"/>
  <c r="R222" i="1"/>
  <c r="J223" i="1"/>
  <c r="R223" i="1"/>
  <c r="R224" i="1"/>
  <c r="J225" i="1"/>
  <c r="R225" i="1"/>
  <c r="J226" i="1"/>
  <c r="R226" i="1"/>
  <c r="J227" i="1"/>
  <c r="R227" i="1"/>
  <c r="J228" i="1"/>
  <c r="R228" i="1"/>
  <c r="J229" i="1"/>
  <c r="R229" i="1"/>
  <c r="J230" i="1"/>
  <c r="R230" i="1"/>
  <c r="J231" i="1"/>
  <c r="R231" i="1"/>
  <c r="J232" i="1"/>
  <c r="R232" i="1"/>
  <c r="J233" i="1"/>
  <c r="R233" i="1"/>
  <c r="J234" i="1"/>
  <c r="R234" i="1"/>
  <c r="J235" i="1"/>
  <c r="R235" i="1"/>
  <c r="J236" i="1"/>
  <c r="R236" i="1"/>
  <c r="J237" i="1"/>
  <c r="R237" i="1"/>
  <c r="J238" i="1"/>
  <c r="R238" i="1"/>
  <c r="J239" i="1"/>
  <c r="R239" i="1"/>
  <c r="J240" i="1"/>
  <c r="R240" i="1"/>
  <c r="J241" i="1"/>
  <c r="R241" i="1"/>
  <c r="J242" i="1"/>
  <c r="R242" i="1"/>
  <c r="J243" i="1"/>
  <c r="R243" i="1"/>
  <c r="J244" i="1"/>
  <c r="R244" i="1"/>
  <c r="J245" i="1"/>
  <c r="R245" i="1"/>
  <c r="J246" i="1"/>
  <c r="R246" i="1"/>
  <c r="J247" i="1"/>
  <c r="R247" i="1"/>
  <c r="J248" i="1"/>
  <c r="R248" i="1"/>
  <c r="J249" i="1"/>
  <c r="R249" i="1"/>
  <c r="J250" i="1"/>
  <c r="R250" i="1"/>
  <c r="J251" i="1"/>
  <c r="R251" i="1"/>
  <c r="J252" i="1"/>
  <c r="R252" i="1"/>
  <c r="J253" i="1"/>
  <c r="R253" i="1"/>
  <c r="J254" i="1"/>
  <c r="R254" i="1"/>
  <c r="J255" i="1"/>
  <c r="R255" i="1"/>
  <c r="J256" i="1"/>
  <c r="R256" i="1"/>
  <c r="J257" i="1"/>
  <c r="R257" i="1"/>
  <c r="R258" i="1"/>
  <c r="J259" i="1"/>
  <c r="R259" i="1"/>
  <c r="J260" i="1"/>
  <c r="R260" i="1"/>
  <c r="J261" i="1"/>
  <c r="R261" i="1"/>
  <c r="J262" i="1"/>
  <c r="R262" i="1"/>
  <c r="J263" i="1"/>
  <c r="R263" i="1"/>
  <c r="J264" i="1"/>
  <c r="R264" i="1"/>
  <c r="J265" i="1"/>
  <c r="R265" i="1"/>
  <c r="J266" i="1"/>
  <c r="R266" i="1"/>
  <c r="J267" i="1"/>
  <c r="R267" i="1"/>
  <c r="J268" i="1"/>
  <c r="R268" i="1"/>
  <c r="J269" i="1"/>
  <c r="R269" i="1"/>
  <c r="J270" i="1"/>
  <c r="R270" i="1"/>
  <c r="J271" i="1"/>
  <c r="R271" i="1"/>
  <c r="J272" i="1"/>
  <c r="R272" i="1"/>
  <c r="J273" i="1"/>
  <c r="R273" i="1"/>
  <c r="J274" i="1"/>
  <c r="R274" i="1"/>
  <c r="J275" i="1"/>
  <c r="R275" i="1"/>
  <c r="J276" i="1"/>
  <c r="R276" i="1"/>
  <c r="J277" i="1"/>
  <c r="R277" i="1"/>
  <c r="J278" i="1"/>
  <c r="R278" i="1"/>
  <c r="J279" i="1"/>
  <c r="R279" i="1"/>
  <c r="J280" i="1"/>
  <c r="R280" i="1"/>
  <c r="J281" i="1"/>
  <c r="R281" i="1"/>
  <c r="J282" i="1"/>
  <c r="R282" i="1"/>
  <c r="J283" i="1"/>
  <c r="R283" i="1"/>
  <c r="J284" i="1"/>
  <c r="R284" i="1"/>
  <c r="J285" i="1"/>
  <c r="R285" i="1"/>
  <c r="J286" i="1"/>
  <c r="R286" i="1"/>
  <c r="J287" i="1"/>
  <c r="R287" i="1"/>
  <c r="J288" i="1"/>
  <c r="R288" i="1"/>
  <c r="J289" i="1"/>
  <c r="R289" i="1"/>
  <c r="J290" i="1"/>
  <c r="R290" i="1"/>
  <c r="J291" i="1"/>
  <c r="R291" i="1"/>
  <c r="J292" i="1"/>
  <c r="R292" i="1"/>
  <c r="J293" i="1"/>
  <c r="R293" i="1"/>
  <c r="J294" i="1"/>
  <c r="R294" i="1"/>
  <c r="J295" i="1"/>
  <c r="R295" i="1"/>
  <c r="J296" i="1"/>
  <c r="R296" i="1"/>
  <c r="J297" i="1"/>
  <c r="R297" i="1"/>
  <c r="J298" i="1"/>
  <c r="R298" i="1"/>
  <c r="J299" i="1"/>
  <c r="R299" i="1"/>
  <c r="J300" i="1"/>
  <c r="R300" i="1"/>
  <c r="J301" i="1"/>
  <c r="R301" i="1"/>
  <c r="R302" i="1"/>
  <c r="J303" i="1"/>
  <c r="R303" i="1"/>
  <c r="J304" i="1"/>
  <c r="R304" i="1"/>
  <c r="J305" i="1"/>
  <c r="R305" i="1"/>
  <c r="J306" i="1"/>
  <c r="R306" i="1"/>
  <c r="J307" i="1"/>
  <c r="R307" i="1"/>
  <c r="J308" i="1"/>
  <c r="R308" i="1"/>
  <c r="J309" i="1"/>
  <c r="R309" i="1"/>
  <c r="J310" i="1"/>
  <c r="R310" i="1"/>
  <c r="J311" i="1"/>
  <c r="R311" i="1"/>
  <c r="J312" i="1"/>
  <c r="R312" i="1"/>
  <c r="J313" i="1"/>
  <c r="R313" i="1"/>
  <c r="J314" i="1"/>
  <c r="R314" i="1"/>
  <c r="J315" i="1"/>
  <c r="R315" i="1"/>
  <c r="J316" i="1"/>
  <c r="R316" i="1"/>
  <c r="J317" i="1"/>
  <c r="R317" i="1"/>
  <c r="J318" i="1"/>
  <c r="R318" i="1"/>
  <c r="J319" i="1"/>
  <c r="R319" i="1"/>
  <c r="J320" i="1"/>
  <c r="R320" i="1"/>
  <c r="J321" i="1"/>
  <c r="R321" i="1"/>
  <c r="J322" i="1"/>
  <c r="R322" i="1"/>
  <c r="J323" i="1"/>
  <c r="R323" i="1"/>
  <c r="J324" i="1"/>
  <c r="R324" i="1"/>
  <c r="J325" i="1"/>
  <c r="R325" i="1"/>
  <c r="J326" i="1"/>
  <c r="R326" i="1"/>
  <c r="J327" i="1"/>
  <c r="R327" i="1"/>
  <c r="J328" i="1"/>
  <c r="R328" i="1"/>
  <c r="J329" i="1"/>
  <c r="R329" i="1"/>
  <c r="J330" i="1"/>
  <c r="R330" i="1"/>
  <c r="J331" i="1"/>
  <c r="R331" i="1"/>
  <c r="J332" i="1"/>
  <c r="R332" i="1"/>
  <c r="J333" i="1"/>
  <c r="R333" i="1"/>
  <c r="J334" i="1"/>
  <c r="R334" i="1"/>
  <c r="J335" i="1"/>
  <c r="R335" i="1"/>
  <c r="J336" i="1"/>
  <c r="R336" i="1"/>
  <c r="J337" i="1"/>
  <c r="R337" i="1"/>
  <c r="J338" i="1"/>
  <c r="R338" i="1"/>
  <c r="J339" i="1"/>
  <c r="R339" i="1"/>
  <c r="J340" i="1"/>
  <c r="R340" i="1"/>
  <c r="J341" i="1"/>
  <c r="R341" i="1"/>
  <c r="J342" i="1"/>
  <c r="R342" i="1"/>
  <c r="J343" i="1"/>
  <c r="R343" i="1"/>
  <c r="J344" i="1"/>
  <c r="R344" i="1"/>
  <c r="J345" i="1"/>
  <c r="R345" i="1"/>
  <c r="J346" i="1"/>
  <c r="R346" i="1"/>
  <c r="J347" i="1"/>
  <c r="R347" i="1"/>
  <c r="R348" i="1"/>
  <c r="J349" i="1"/>
  <c r="R349" i="1"/>
  <c r="J350" i="1"/>
  <c r="R350" i="1"/>
  <c r="J351" i="1"/>
  <c r="R351" i="1"/>
  <c r="J352" i="1"/>
  <c r="R352" i="1"/>
  <c r="J353" i="1"/>
  <c r="R353" i="1"/>
  <c r="J354" i="1"/>
  <c r="R354" i="1"/>
  <c r="J355" i="1"/>
  <c r="R355" i="1"/>
  <c r="J356" i="1"/>
  <c r="R356" i="1"/>
  <c r="J357" i="1"/>
  <c r="R357" i="1"/>
  <c r="J358" i="1"/>
  <c r="R358" i="1"/>
  <c r="J359" i="1"/>
  <c r="R359" i="1"/>
  <c r="J360" i="1"/>
  <c r="R360" i="1"/>
  <c r="J361" i="1"/>
  <c r="R361" i="1"/>
  <c r="J362" i="1"/>
  <c r="R362" i="1"/>
  <c r="J363" i="1"/>
  <c r="R363" i="1"/>
  <c r="J364" i="1"/>
  <c r="R364" i="1"/>
  <c r="J365" i="1"/>
  <c r="R365" i="1"/>
  <c r="J366" i="1"/>
  <c r="R366" i="1"/>
  <c r="J367" i="1"/>
  <c r="R367" i="1"/>
  <c r="J368" i="1"/>
  <c r="R368" i="1"/>
  <c r="J369" i="1"/>
  <c r="R369" i="1"/>
  <c r="J370" i="1"/>
  <c r="R370" i="1"/>
  <c r="J371" i="1"/>
  <c r="R371" i="1"/>
  <c r="J372" i="1"/>
  <c r="R372" i="1"/>
  <c r="J373" i="1"/>
  <c r="R373" i="1"/>
  <c r="J374" i="1"/>
  <c r="R374" i="1"/>
  <c r="J375" i="1"/>
  <c r="R375" i="1"/>
  <c r="J376" i="1"/>
  <c r="R376" i="1"/>
  <c r="J377" i="1"/>
  <c r="R377" i="1"/>
  <c r="J378" i="1"/>
  <c r="R378" i="1"/>
  <c r="J379" i="1"/>
  <c r="R379" i="1"/>
  <c r="J380" i="1"/>
  <c r="R380" i="1"/>
  <c r="J381" i="1"/>
  <c r="R381" i="1"/>
  <c r="J382" i="1"/>
  <c r="R382" i="1"/>
  <c r="J383" i="1"/>
  <c r="R383" i="1"/>
  <c r="J384" i="1"/>
  <c r="R384" i="1"/>
  <c r="J385" i="1"/>
  <c r="R385" i="1"/>
  <c r="J386" i="1"/>
  <c r="R386" i="1"/>
  <c r="J387" i="1"/>
  <c r="R387" i="1"/>
  <c r="J388" i="1"/>
  <c r="R388" i="1"/>
  <c r="J389" i="1"/>
  <c r="R389" i="1"/>
  <c r="J390" i="1"/>
  <c r="R390" i="1"/>
  <c r="J391" i="1"/>
  <c r="R391" i="1"/>
  <c r="J392" i="1"/>
  <c r="R392" i="1"/>
  <c r="J393" i="1"/>
  <c r="R393" i="1"/>
  <c r="J394" i="1"/>
  <c r="R394" i="1"/>
  <c r="J395" i="1"/>
  <c r="R395" i="1"/>
  <c r="J396" i="1"/>
  <c r="R396" i="1"/>
  <c r="J397" i="1"/>
  <c r="R397" i="1"/>
  <c r="J398" i="1"/>
  <c r="R398" i="1"/>
  <c r="J399" i="1"/>
  <c r="R399" i="1"/>
  <c r="J400" i="1"/>
  <c r="R400" i="1"/>
  <c r="J401" i="1"/>
  <c r="R401" i="1"/>
  <c r="J402" i="1"/>
  <c r="R402" i="1"/>
  <c r="J403" i="1"/>
  <c r="R403" i="1"/>
  <c r="J404" i="1"/>
  <c r="R404" i="1"/>
  <c r="J405" i="1"/>
  <c r="R405" i="1"/>
  <c r="J406" i="1"/>
  <c r="R406" i="1"/>
  <c r="J407" i="1"/>
  <c r="R407" i="1"/>
  <c r="J408" i="1"/>
  <c r="R408" i="1"/>
  <c r="R409" i="1"/>
  <c r="J410" i="1"/>
  <c r="R410" i="1"/>
  <c r="J411" i="1"/>
  <c r="R411" i="1"/>
  <c r="J412" i="1"/>
  <c r="R412" i="1"/>
  <c r="J413" i="1"/>
  <c r="R413" i="1"/>
  <c r="J414" i="1"/>
  <c r="R414" i="1"/>
  <c r="J415" i="1"/>
  <c r="R415" i="1"/>
  <c r="J416" i="1"/>
  <c r="R416" i="1"/>
  <c r="J417" i="1"/>
  <c r="R417" i="1"/>
  <c r="J418" i="1"/>
  <c r="R418" i="1"/>
  <c r="J419" i="1"/>
  <c r="R419" i="1"/>
  <c r="J420" i="1"/>
  <c r="R420" i="1"/>
  <c r="J421" i="1"/>
  <c r="R421" i="1"/>
  <c r="J422" i="1"/>
  <c r="R422" i="1"/>
  <c r="J423" i="1"/>
  <c r="R423" i="1"/>
  <c r="J424" i="1"/>
  <c r="R424" i="1"/>
  <c r="J425" i="1"/>
  <c r="R425" i="1"/>
  <c r="J426" i="1"/>
  <c r="R426" i="1"/>
  <c r="J427" i="1"/>
  <c r="R427" i="1"/>
  <c r="J428" i="1"/>
  <c r="R428" i="1"/>
  <c r="J429" i="1"/>
  <c r="R429" i="1"/>
  <c r="J430" i="1"/>
  <c r="R430" i="1"/>
  <c r="J431" i="1"/>
  <c r="R431" i="1"/>
  <c r="J432" i="1"/>
  <c r="R432" i="1"/>
  <c r="J433" i="1"/>
  <c r="R433" i="1"/>
  <c r="J434" i="1"/>
  <c r="R434" i="1"/>
  <c r="J435" i="1"/>
  <c r="R435" i="1"/>
  <c r="J436" i="1"/>
  <c r="R436" i="1"/>
  <c r="J437" i="1"/>
  <c r="R437" i="1"/>
  <c r="J438" i="1"/>
  <c r="R438" i="1"/>
  <c r="J439" i="1"/>
  <c r="R439" i="1"/>
  <c r="J440" i="1"/>
  <c r="R440" i="1"/>
  <c r="J441" i="1"/>
  <c r="R441" i="1"/>
  <c r="J442" i="1"/>
  <c r="R442" i="1"/>
  <c r="J443" i="1"/>
  <c r="R443" i="1"/>
  <c r="J444" i="1"/>
  <c r="R444" i="1"/>
  <c r="J445" i="1"/>
  <c r="R445" i="1"/>
  <c r="J446" i="1"/>
  <c r="R446" i="1"/>
  <c r="J447" i="1"/>
  <c r="R447" i="1"/>
  <c r="J448" i="1"/>
  <c r="R448" i="1"/>
  <c r="J449" i="1"/>
  <c r="R449" i="1"/>
  <c r="J450" i="1"/>
  <c r="R450" i="1"/>
  <c r="J451" i="1"/>
  <c r="R451" i="1"/>
  <c r="J452" i="1"/>
  <c r="R452" i="1"/>
  <c r="J453" i="1"/>
  <c r="R453" i="1"/>
  <c r="J454" i="1"/>
  <c r="R454" i="1"/>
  <c r="J455" i="1"/>
  <c r="R455" i="1"/>
  <c r="J456" i="1"/>
  <c r="R456" i="1"/>
  <c r="J457" i="1"/>
  <c r="R457" i="1"/>
  <c r="J458" i="1"/>
  <c r="R458" i="1"/>
  <c r="J459" i="1"/>
  <c r="R459" i="1"/>
  <c r="J460" i="1"/>
  <c r="R460" i="1"/>
  <c r="J461" i="1"/>
  <c r="R461" i="1"/>
  <c r="J462" i="1"/>
  <c r="R462" i="1"/>
  <c r="R463" i="1"/>
  <c r="J464" i="1"/>
  <c r="R464" i="1"/>
  <c r="J465" i="1"/>
  <c r="R465" i="1"/>
  <c r="J466" i="1"/>
  <c r="R466" i="1"/>
  <c r="J467" i="1"/>
  <c r="R467" i="1"/>
  <c r="J468" i="1"/>
  <c r="R468" i="1"/>
  <c r="J469" i="1"/>
  <c r="R469" i="1"/>
  <c r="J470" i="1"/>
  <c r="R470" i="1"/>
  <c r="J471" i="1"/>
  <c r="R471" i="1"/>
  <c r="J472" i="1"/>
  <c r="R472" i="1"/>
  <c r="J473" i="1"/>
  <c r="R473" i="1"/>
  <c r="J474" i="1"/>
  <c r="R474" i="1"/>
  <c r="J475" i="1"/>
  <c r="R475" i="1"/>
  <c r="J476" i="1"/>
  <c r="R476" i="1"/>
  <c r="J477" i="1"/>
  <c r="R477" i="1"/>
  <c r="J478" i="1"/>
  <c r="R478" i="1"/>
  <c r="J479" i="1"/>
  <c r="R479" i="1"/>
  <c r="J480" i="1"/>
  <c r="R480" i="1"/>
  <c r="J481" i="1"/>
  <c r="R481" i="1"/>
  <c r="J482" i="1"/>
  <c r="R482" i="1"/>
  <c r="J483" i="1"/>
  <c r="R483" i="1"/>
  <c r="J484" i="1"/>
  <c r="R484" i="1"/>
  <c r="J485" i="1"/>
  <c r="R485" i="1"/>
  <c r="J486" i="1"/>
  <c r="R486" i="1"/>
  <c r="J487" i="1"/>
  <c r="R487" i="1"/>
  <c r="J488" i="1"/>
  <c r="R488" i="1"/>
  <c r="J489" i="1"/>
  <c r="R489" i="1"/>
  <c r="J490" i="1"/>
  <c r="R490" i="1"/>
  <c r="J491" i="1"/>
  <c r="R491" i="1"/>
  <c r="J492" i="1"/>
  <c r="R492" i="1"/>
  <c r="J493" i="1"/>
  <c r="R493" i="1"/>
  <c r="J494" i="1"/>
  <c r="R494" i="1"/>
  <c r="J495" i="1"/>
  <c r="R495" i="1"/>
  <c r="J496" i="1"/>
  <c r="R496" i="1"/>
  <c r="J497" i="1"/>
  <c r="R497" i="1"/>
  <c r="J498" i="1"/>
  <c r="R498" i="1"/>
  <c r="J499" i="1"/>
  <c r="R499" i="1"/>
  <c r="J500" i="1"/>
  <c r="R500" i="1"/>
  <c r="J501" i="1"/>
  <c r="R501" i="1"/>
  <c r="J502" i="1"/>
  <c r="R502" i="1"/>
  <c r="J503" i="1"/>
  <c r="R503" i="1"/>
  <c r="J504" i="1"/>
  <c r="R504" i="1"/>
  <c r="J505" i="1"/>
  <c r="R505" i="1"/>
  <c r="J506" i="1"/>
  <c r="R506" i="1"/>
  <c r="J507" i="1"/>
  <c r="R507" i="1"/>
  <c r="J508" i="1"/>
  <c r="R508" i="1"/>
  <c r="J509" i="1"/>
  <c r="R509" i="1"/>
  <c r="J510" i="1"/>
  <c r="R510" i="1"/>
  <c r="J511" i="1"/>
  <c r="R511" i="1"/>
  <c r="J512" i="1"/>
  <c r="R512" i="1"/>
  <c r="J513" i="1"/>
  <c r="R513" i="1"/>
  <c r="R514" i="1"/>
  <c r="J515" i="1"/>
  <c r="R515" i="1"/>
  <c r="J516" i="1"/>
  <c r="R516" i="1"/>
  <c r="J517" i="1"/>
  <c r="R517" i="1"/>
  <c r="J518" i="1"/>
  <c r="R518" i="1"/>
  <c r="J519" i="1"/>
  <c r="R519" i="1"/>
  <c r="J520" i="1"/>
  <c r="R520" i="1"/>
  <c r="J521" i="1"/>
  <c r="R521" i="1"/>
  <c r="J522" i="1"/>
  <c r="R522" i="1"/>
  <c r="J523" i="1"/>
  <c r="R523" i="1"/>
  <c r="J524" i="1"/>
  <c r="R524" i="1"/>
  <c r="J525" i="1"/>
  <c r="R525" i="1"/>
  <c r="J526" i="1"/>
  <c r="R526" i="1"/>
  <c r="J527" i="1"/>
  <c r="R527" i="1"/>
  <c r="J528" i="1"/>
  <c r="R528" i="1"/>
  <c r="J529" i="1"/>
  <c r="R529" i="1"/>
  <c r="J530" i="1"/>
  <c r="R530" i="1"/>
  <c r="J531" i="1"/>
  <c r="R531" i="1"/>
  <c r="J532" i="1"/>
  <c r="R532" i="1"/>
  <c r="J533" i="1"/>
  <c r="R533" i="1"/>
  <c r="J534" i="1"/>
  <c r="R534" i="1"/>
  <c r="J535" i="1"/>
  <c r="R535" i="1"/>
  <c r="J536" i="1"/>
  <c r="R536" i="1"/>
  <c r="J537" i="1"/>
  <c r="R537" i="1"/>
  <c r="J538" i="1"/>
  <c r="R538" i="1"/>
  <c r="J539" i="1"/>
  <c r="R539" i="1"/>
  <c r="J540" i="1"/>
  <c r="R540" i="1"/>
  <c r="J541" i="1"/>
  <c r="R541" i="1"/>
  <c r="J542" i="1"/>
  <c r="R542" i="1"/>
  <c r="J543" i="1"/>
  <c r="R543" i="1"/>
  <c r="J544" i="1"/>
  <c r="R544" i="1"/>
  <c r="J545" i="1"/>
  <c r="R545" i="1"/>
  <c r="J546" i="1"/>
  <c r="R546" i="1"/>
  <c r="J547" i="1"/>
  <c r="R547" i="1"/>
  <c r="J548" i="1"/>
  <c r="R548" i="1"/>
  <c r="J549" i="1"/>
  <c r="R549" i="1"/>
  <c r="J550" i="1"/>
  <c r="R550" i="1"/>
  <c r="J551" i="1"/>
  <c r="R551" i="1"/>
  <c r="J552" i="1"/>
  <c r="R552" i="1"/>
  <c r="J553" i="1"/>
  <c r="R553" i="1"/>
  <c r="J554" i="1"/>
  <c r="R554" i="1"/>
  <c r="J555" i="1"/>
  <c r="R555" i="1"/>
  <c r="J556" i="1"/>
  <c r="R556" i="1"/>
  <c r="J557" i="1"/>
  <c r="R557" i="1"/>
  <c r="J558" i="1"/>
  <c r="R558" i="1"/>
  <c r="J559" i="1"/>
  <c r="R559" i="1"/>
  <c r="J560" i="1"/>
  <c r="R560" i="1"/>
  <c r="J561" i="1"/>
  <c r="R561" i="1"/>
  <c r="J562" i="1"/>
  <c r="R562" i="1"/>
  <c r="J563" i="1"/>
  <c r="R563" i="1"/>
  <c r="J564" i="1"/>
  <c r="R564" i="1"/>
  <c r="J565" i="1"/>
  <c r="R565" i="1"/>
  <c r="J566" i="1"/>
  <c r="R566" i="1"/>
  <c r="J567" i="1"/>
  <c r="R567" i="1"/>
  <c r="J568" i="1"/>
  <c r="R568" i="1"/>
  <c r="J569" i="1"/>
  <c r="R569" i="1"/>
  <c r="J570" i="1"/>
  <c r="R570" i="1"/>
  <c r="J571" i="1"/>
  <c r="R571" i="1"/>
  <c r="J572" i="1"/>
  <c r="R572" i="1"/>
  <c r="J573" i="1"/>
  <c r="R573" i="1"/>
  <c r="J574" i="1"/>
  <c r="R574" i="1"/>
  <c r="R575" i="1"/>
  <c r="J576" i="1"/>
  <c r="R576" i="1"/>
  <c r="J577" i="1"/>
  <c r="R577" i="1"/>
  <c r="J578" i="1"/>
  <c r="R578" i="1"/>
  <c r="J579" i="1"/>
  <c r="R579" i="1"/>
  <c r="J580" i="1"/>
  <c r="R580" i="1"/>
  <c r="J581" i="1"/>
  <c r="R581" i="1"/>
  <c r="J582" i="1"/>
  <c r="R582" i="1"/>
  <c r="J583" i="1"/>
  <c r="R583" i="1"/>
  <c r="J584" i="1"/>
  <c r="R584" i="1"/>
  <c r="J585" i="1"/>
  <c r="R585" i="1"/>
  <c r="J586" i="1"/>
  <c r="R586" i="1"/>
  <c r="J587" i="1"/>
  <c r="R587" i="1"/>
  <c r="J588" i="1"/>
  <c r="R588" i="1"/>
  <c r="J589" i="1"/>
  <c r="R589" i="1"/>
  <c r="J590" i="1"/>
  <c r="R590" i="1"/>
  <c r="J591" i="1"/>
  <c r="R591" i="1"/>
  <c r="J592" i="1"/>
  <c r="R592" i="1"/>
  <c r="J593" i="1"/>
  <c r="R593" i="1"/>
  <c r="J594" i="1"/>
  <c r="R594" i="1"/>
  <c r="J595" i="1"/>
  <c r="R595" i="1"/>
  <c r="J596" i="1"/>
  <c r="R596" i="1"/>
  <c r="J597" i="1"/>
  <c r="R597" i="1"/>
  <c r="J598" i="1"/>
  <c r="R598" i="1"/>
  <c r="J599" i="1"/>
  <c r="R599" i="1"/>
  <c r="J600" i="1"/>
  <c r="R600" i="1"/>
  <c r="J601" i="1"/>
  <c r="R601" i="1"/>
  <c r="J602" i="1"/>
  <c r="R602" i="1"/>
  <c r="J603" i="1"/>
  <c r="R603" i="1"/>
  <c r="J604" i="1"/>
  <c r="R604" i="1"/>
  <c r="J605" i="1"/>
  <c r="R605" i="1"/>
  <c r="J606" i="1"/>
  <c r="R606" i="1"/>
  <c r="J607" i="1"/>
  <c r="R607" i="1"/>
  <c r="J608" i="1"/>
  <c r="R608" i="1"/>
  <c r="J609" i="1"/>
  <c r="R609" i="1"/>
  <c r="J610" i="1"/>
  <c r="R610" i="1"/>
  <c r="J611" i="1"/>
  <c r="R611" i="1"/>
  <c r="J612" i="1"/>
  <c r="R612" i="1"/>
  <c r="J613" i="1"/>
  <c r="R613" i="1"/>
  <c r="J614" i="1"/>
  <c r="R614" i="1"/>
  <c r="J615" i="1"/>
  <c r="R615" i="1"/>
  <c r="J616" i="1"/>
  <c r="R616" i="1"/>
  <c r="J617" i="1"/>
  <c r="R617" i="1"/>
  <c r="J618" i="1"/>
  <c r="R618" i="1"/>
  <c r="J619" i="1"/>
  <c r="R619" i="1"/>
  <c r="J620" i="1"/>
  <c r="R620" i="1"/>
  <c r="J621" i="1"/>
  <c r="R621" i="1"/>
  <c r="J622" i="1"/>
  <c r="R622" i="1"/>
  <c r="R623" i="1"/>
  <c r="J624" i="1"/>
  <c r="R624" i="1"/>
  <c r="J625" i="1"/>
  <c r="R625" i="1"/>
  <c r="J626" i="1"/>
  <c r="R626" i="1"/>
  <c r="J627" i="1"/>
  <c r="R627" i="1"/>
  <c r="J628" i="1"/>
  <c r="R628" i="1"/>
  <c r="J629" i="1"/>
  <c r="R629" i="1"/>
  <c r="J630" i="1"/>
  <c r="R630" i="1"/>
  <c r="J631" i="1"/>
  <c r="R631" i="1"/>
  <c r="J632" i="1"/>
  <c r="R632" i="1"/>
  <c r="J633" i="1"/>
  <c r="R633" i="1"/>
  <c r="J634" i="1"/>
  <c r="R634" i="1"/>
  <c r="J635" i="1"/>
  <c r="R635" i="1"/>
  <c r="J636" i="1"/>
  <c r="R636" i="1"/>
  <c r="J637" i="1"/>
  <c r="R637" i="1"/>
  <c r="J638" i="1"/>
  <c r="R638" i="1"/>
  <c r="J639" i="1"/>
  <c r="R639" i="1"/>
  <c r="J640" i="1"/>
  <c r="R640" i="1"/>
  <c r="J641" i="1"/>
  <c r="R641" i="1"/>
  <c r="J642" i="1"/>
  <c r="R642" i="1"/>
  <c r="J643" i="1"/>
  <c r="R643" i="1"/>
  <c r="J644" i="1"/>
  <c r="R644" i="1"/>
  <c r="J645" i="1"/>
  <c r="R645" i="1"/>
  <c r="J646" i="1"/>
  <c r="R646" i="1"/>
  <c r="J647" i="1"/>
  <c r="R647" i="1"/>
  <c r="J648" i="1"/>
  <c r="R648" i="1"/>
  <c r="J649" i="1"/>
  <c r="R649" i="1"/>
  <c r="J650" i="1"/>
  <c r="R650" i="1"/>
  <c r="J651" i="1"/>
  <c r="R651" i="1"/>
  <c r="J652" i="1"/>
  <c r="R652" i="1"/>
  <c r="J653" i="1"/>
  <c r="R653" i="1"/>
  <c r="J654" i="1"/>
  <c r="R654" i="1"/>
  <c r="J655" i="1"/>
  <c r="R655" i="1"/>
  <c r="J656" i="1"/>
  <c r="R656" i="1"/>
  <c r="J657" i="1"/>
  <c r="R657" i="1"/>
  <c r="J658" i="1"/>
  <c r="R658" i="1"/>
  <c r="J659" i="1"/>
  <c r="R659" i="1"/>
  <c r="J660" i="1"/>
  <c r="R660" i="1"/>
  <c r="J661" i="1"/>
  <c r="R661" i="1"/>
  <c r="J662" i="1"/>
  <c r="R662" i="1"/>
  <c r="J663" i="1"/>
  <c r="R663" i="1"/>
  <c r="J664" i="1"/>
  <c r="R664" i="1"/>
  <c r="J665" i="1"/>
  <c r="R665" i="1"/>
  <c r="J666" i="1"/>
  <c r="R666" i="1"/>
  <c r="J667" i="1"/>
  <c r="R667" i="1"/>
  <c r="J668" i="1"/>
  <c r="R668" i="1"/>
  <c r="J669" i="1"/>
  <c r="R669" i="1"/>
  <c r="J670" i="1"/>
  <c r="R670" i="1"/>
  <c r="J671" i="1"/>
  <c r="R671" i="1"/>
  <c r="J672" i="1"/>
  <c r="R672" i="1"/>
  <c r="J673" i="1"/>
  <c r="R673" i="1"/>
  <c r="J674" i="1"/>
  <c r="R674" i="1"/>
  <c r="J675" i="1"/>
  <c r="R675" i="1"/>
  <c r="J676" i="1"/>
  <c r="R676" i="1"/>
  <c r="J677" i="1"/>
  <c r="R677" i="1"/>
  <c r="J678" i="1"/>
  <c r="R678" i="1"/>
  <c r="J679" i="1"/>
  <c r="R679" i="1"/>
  <c r="J680" i="1"/>
  <c r="R680" i="1"/>
  <c r="J681" i="1"/>
  <c r="R681" i="1"/>
  <c r="J682" i="1"/>
  <c r="R682" i="1"/>
  <c r="J683" i="1"/>
  <c r="R683" i="1"/>
  <c r="J684" i="1"/>
  <c r="R684" i="1"/>
  <c r="R685" i="1"/>
  <c r="J686" i="1"/>
  <c r="R686" i="1"/>
  <c r="J687" i="1"/>
  <c r="R687" i="1"/>
  <c r="J688" i="1"/>
  <c r="R688" i="1"/>
  <c r="J689" i="1"/>
  <c r="R689" i="1"/>
  <c r="J690" i="1"/>
  <c r="R690" i="1"/>
  <c r="J691" i="1"/>
  <c r="R691" i="1"/>
  <c r="J692" i="1"/>
  <c r="R692" i="1"/>
  <c r="J693" i="1"/>
  <c r="R693" i="1"/>
  <c r="J694" i="1"/>
  <c r="R694" i="1"/>
  <c r="J695" i="1"/>
  <c r="R695" i="1"/>
  <c r="J696" i="1"/>
  <c r="R696" i="1"/>
  <c r="J697" i="1"/>
  <c r="R697" i="1"/>
  <c r="J698" i="1"/>
  <c r="R698" i="1"/>
  <c r="J699" i="1"/>
  <c r="R699" i="1"/>
  <c r="J700" i="1"/>
  <c r="R700" i="1"/>
  <c r="J701" i="1"/>
  <c r="R701" i="1"/>
  <c r="J702" i="1"/>
  <c r="R702" i="1"/>
  <c r="J703" i="1"/>
  <c r="R703" i="1"/>
  <c r="J704" i="1"/>
  <c r="R704" i="1"/>
  <c r="J705" i="1"/>
  <c r="R705" i="1"/>
  <c r="J706" i="1"/>
  <c r="R706" i="1"/>
  <c r="J707" i="1"/>
  <c r="R707" i="1"/>
  <c r="J708" i="1"/>
  <c r="R708" i="1"/>
  <c r="J709" i="1"/>
  <c r="R709" i="1"/>
  <c r="J710" i="1"/>
  <c r="R710" i="1"/>
  <c r="J711" i="1"/>
  <c r="R711" i="1"/>
  <c r="J712" i="1"/>
  <c r="R712" i="1"/>
  <c r="J713" i="1"/>
  <c r="R713" i="1"/>
  <c r="J714" i="1"/>
  <c r="R714" i="1"/>
  <c r="J715" i="1"/>
  <c r="R715" i="1"/>
  <c r="J716" i="1"/>
  <c r="R716" i="1"/>
  <c r="J717" i="1"/>
  <c r="R717" i="1"/>
  <c r="J718" i="1"/>
  <c r="R718" i="1"/>
  <c r="J719" i="1"/>
  <c r="R719" i="1"/>
  <c r="J720" i="1"/>
  <c r="R720" i="1"/>
  <c r="J721" i="1"/>
  <c r="R721" i="1"/>
  <c r="J722" i="1"/>
  <c r="R722" i="1"/>
  <c r="J723" i="1"/>
  <c r="R723" i="1"/>
  <c r="J724" i="1"/>
  <c r="R724" i="1"/>
  <c r="J725" i="1"/>
  <c r="R725" i="1"/>
  <c r="J726" i="1"/>
  <c r="R726" i="1"/>
  <c r="J727" i="1"/>
  <c r="R727" i="1"/>
  <c r="J728" i="1"/>
  <c r="R728" i="1"/>
  <c r="J729" i="1"/>
  <c r="R729" i="1"/>
  <c r="J730" i="1"/>
  <c r="R730" i="1"/>
  <c r="J731" i="1"/>
  <c r="R731" i="1"/>
  <c r="J732" i="1"/>
  <c r="R732" i="1"/>
  <c r="J733" i="1"/>
  <c r="R733" i="1"/>
  <c r="J734" i="1"/>
  <c r="R734" i="1"/>
  <c r="J735" i="1"/>
  <c r="R735" i="1"/>
  <c r="J736" i="1"/>
  <c r="R736" i="1"/>
  <c r="J737" i="1"/>
  <c r="R737" i="1"/>
  <c r="J738" i="1"/>
  <c r="R738" i="1"/>
  <c r="J739" i="1"/>
  <c r="R739" i="1"/>
  <c r="J740" i="1"/>
  <c r="R740" i="1"/>
  <c r="J741" i="1"/>
  <c r="R741" i="1"/>
  <c r="R742" i="1"/>
  <c r="J743" i="1"/>
  <c r="R743" i="1"/>
  <c r="J744" i="1"/>
  <c r="R744" i="1"/>
  <c r="J745" i="1"/>
  <c r="R745" i="1"/>
  <c r="J746" i="1"/>
  <c r="R746" i="1"/>
  <c r="J747" i="1"/>
  <c r="R747" i="1"/>
  <c r="J748" i="1"/>
  <c r="R748" i="1"/>
  <c r="J749" i="1"/>
  <c r="R749" i="1"/>
  <c r="J750" i="1"/>
  <c r="R750" i="1"/>
  <c r="J751" i="1"/>
  <c r="R751" i="1"/>
  <c r="J752" i="1"/>
  <c r="R752" i="1"/>
  <c r="J753" i="1"/>
  <c r="R753" i="1"/>
  <c r="J754" i="1"/>
  <c r="R754" i="1"/>
  <c r="J755" i="1"/>
  <c r="R755" i="1"/>
  <c r="J756" i="1"/>
  <c r="R756" i="1"/>
  <c r="J757" i="1"/>
  <c r="R757" i="1"/>
  <c r="J758" i="1"/>
  <c r="R758" i="1"/>
  <c r="J759" i="1"/>
  <c r="R759" i="1"/>
  <c r="J760" i="1"/>
  <c r="R760" i="1"/>
  <c r="J761" i="1"/>
  <c r="R761" i="1"/>
  <c r="J762" i="1"/>
  <c r="R762" i="1"/>
  <c r="J763" i="1"/>
  <c r="R763" i="1"/>
  <c r="J764" i="1"/>
  <c r="R764" i="1"/>
  <c r="J765" i="1"/>
  <c r="R765" i="1"/>
  <c r="J766" i="1"/>
  <c r="R766" i="1"/>
  <c r="J767" i="1"/>
  <c r="R767" i="1"/>
  <c r="J768" i="1"/>
  <c r="R768" i="1"/>
  <c r="J769" i="1"/>
  <c r="R769" i="1"/>
  <c r="J770" i="1"/>
  <c r="R770" i="1"/>
  <c r="J771" i="1"/>
  <c r="R771" i="1"/>
  <c r="J772" i="1"/>
  <c r="R772" i="1"/>
  <c r="J773" i="1"/>
  <c r="R773" i="1"/>
  <c r="J774" i="1"/>
  <c r="R774" i="1"/>
  <c r="J775" i="1"/>
  <c r="R775" i="1"/>
  <c r="J776" i="1"/>
  <c r="R776" i="1"/>
  <c r="J777" i="1"/>
  <c r="R777" i="1"/>
  <c r="J778" i="1"/>
  <c r="R778" i="1"/>
  <c r="J779" i="1"/>
  <c r="R779" i="1"/>
  <c r="J780" i="1"/>
  <c r="R780" i="1"/>
  <c r="J781" i="1"/>
  <c r="R781" i="1"/>
  <c r="J782" i="1"/>
  <c r="R782" i="1"/>
  <c r="J783" i="1"/>
  <c r="R783" i="1"/>
  <c r="J784" i="1"/>
  <c r="R784" i="1"/>
  <c r="J785" i="1"/>
  <c r="R785" i="1"/>
  <c r="J786" i="1"/>
  <c r="R786" i="1"/>
  <c r="J787" i="1"/>
  <c r="R787" i="1"/>
  <c r="J788" i="1"/>
  <c r="R788" i="1"/>
  <c r="J789" i="1"/>
  <c r="R789" i="1"/>
  <c r="J790" i="1"/>
  <c r="R790" i="1"/>
  <c r="J791" i="1"/>
  <c r="R791" i="1"/>
  <c r="J792" i="1"/>
  <c r="R792" i="1"/>
  <c r="J793" i="1"/>
  <c r="R793" i="1"/>
  <c r="J794" i="1"/>
  <c r="R794" i="1"/>
  <c r="J795" i="1"/>
  <c r="R795" i="1"/>
  <c r="J796" i="1"/>
  <c r="R796" i="1"/>
  <c r="J797" i="1"/>
  <c r="R797" i="1"/>
  <c r="J798" i="1"/>
  <c r="R798" i="1"/>
  <c r="J799" i="1"/>
  <c r="R799" i="1"/>
  <c r="J800" i="1"/>
  <c r="R800" i="1"/>
  <c r="J801" i="1"/>
  <c r="R801" i="1"/>
  <c r="R802" i="1"/>
  <c r="J803" i="1"/>
  <c r="R803" i="1"/>
  <c r="J804" i="1"/>
  <c r="R804" i="1"/>
  <c r="J805" i="1"/>
  <c r="R805" i="1"/>
  <c r="J806" i="1"/>
  <c r="R806" i="1"/>
  <c r="J807" i="1"/>
  <c r="R807" i="1"/>
  <c r="J808" i="1"/>
  <c r="R808" i="1"/>
  <c r="J809" i="1"/>
  <c r="R809" i="1"/>
  <c r="J810" i="1"/>
  <c r="R810" i="1"/>
  <c r="J811" i="1"/>
  <c r="R811" i="1"/>
  <c r="J812" i="1"/>
  <c r="R812" i="1"/>
  <c r="J813" i="1"/>
  <c r="R813" i="1"/>
  <c r="J814" i="1"/>
  <c r="R814" i="1"/>
  <c r="J815" i="1"/>
  <c r="R815" i="1"/>
  <c r="J816" i="1"/>
  <c r="R816" i="1"/>
  <c r="J817" i="1"/>
  <c r="R817" i="1"/>
  <c r="J818" i="1"/>
  <c r="R818" i="1"/>
  <c r="J819" i="1"/>
  <c r="R819" i="1"/>
  <c r="J820" i="1"/>
  <c r="R820" i="1"/>
  <c r="J821" i="1"/>
  <c r="R821" i="1"/>
  <c r="J822" i="1"/>
  <c r="R822" i="1"/>
  <c r="J823" i="1"/>
  <c r="R823" i="1"/>
  <c r="J824" i="1"/>
  <c r="R824" i="1"/>
  <c r="J825" i="1"/>
  <c r="R825" i="1"/>
  <c r="J826" i="1"/>
  <c r="R826" i="1"/>
  <c r="J827" i="1"/>
  <c r="R827" i="1"/>
  <c r="J828" i="1"/>
  <c r="R828" i="1"/>
  <c r="J829" i="1"/>
  <c r="R829" i="1"/>
  <c r="J830" i="1"/>
  <c r="R830" i="1"/>
  <c r="J831" i="1"/>
  <c r="R831" i="1"/>
  <c r="J832" i="1"/>
  <c r="R832" i="1"/>
  <c r="J833" i="1"/>
  <c r="R833" i="1"/>
  <c r="J834" i="1"/>
  <c r="R834" i="1"/>
  <c r="J835" i="1"/>
  <c r="R835" i="1"/>
  <c r="J836" i="1"/>
  <c r="R836" i="1"/>
  <c r="J837" i="1"/>
  <c r="R837" i="1"/>
  <c r="J838" i="1"/>
  <c r="R838" i="1"/>
  <c r="J839" i="1"/>
  <c r="R839" i="1"/>
  <c r="J840" i="1"/>
  <c r="R840" i="1"/>
  <c r="J841" i="1"/>
  <c r="R841" i="1"/>
  <c r="J842" i="1"/>
  <c r="R842" i="1"/>
  <c r="J843" i="1"/>
  <c r="R843" i="1"/>
  <c r="J844" i="1"/>
  <c r="R844" i="1"/>
  <c r="J845" i="1"/>
  <c r="R845" i="1"/>
  <c r="J846" i="1"/>
  <c r="R846" i="1"/>
  <c r="J847" i="1"/>
  <c r="R847" i="1"/>
  <c r="J848" i="1"/>
  <c r="R848" i="1"/>
  <c r="J849" i="1"/>
  <c r="R849" i="1"/>
  <c r="J850" i="1"/>
  <c r="R850" i="1"/>
  <c r="J851" i="1"/>
  <c r="R851" i="1"/>
  <c r="J852" i="1"/>
  <c r="R852" i="1"/>
  <c r="J853" i="1"/>
  <c r="R853" i="1"/>
  <c r="J854" i="1"/>
  <c r="R854" i="1"/>
  <c r="J855" i="1"/>
  <c r="R855" i="1"/>
  <c r="J856" i="1"/>
  <c r="R856" i="1"/>
  <c r="J857" i="1"/>
  <c r="R857" i="1"/>
  <c r="J858" i="1"/>
  <c r="R858" i="1"/>
  <c r="J859" i="1"/>
  <c r="R859" i="1"/>
  <c r="J860" i="1"/>
  <c r="R860" i="1"/>
  <c r="J861" i="1"/>
  <c r="R861" i="1"/>
  <c r="J862" i="1"/>
  <c r="R862" i="1"/>
  <c r="J863" i="1"/>
  <c r="R863" i="1"/>
  <c r="J864" i="1"/>
  <c r="R864" i="1"/>
  <c r="R865" i="1"/>
  <c r="J866" i="1"/>
  <c r="R866" i="1"/>
  <c r="J867" i="1"/>
  <c r="R867" i="1"/>
  <c r="J868" i="1"/>
  <c r="R868" i="1"/>
  <c r="J869" i="1"/>
  <c r="R869" i="1"/>
  <c r="J870" i="1"/>
  <c r="R870" i="1"/>
  <c r="J871" i="1"/>
  <c r="R871" i="1"/>
  <c r="J872" i="1"/>
  <c r="R872" i="1"/>
  <c r="J873" i="1"/>
  <c r="R873" i="1"/>
  <c r="J874" i="1"/>
  <c r="R874" i="1"/>
  <c r="J875" i="1"/>
  <c r="R875" i="1"/>
  <c r="J876" i="1"/>
  <c r="R876" i="1"/>
  <c r="J877" i="1"/>
  <c r="R877" i="1"/>
  <c r="J878" i="1"/>
  <c r="R878" i="1"/>
  <c r="J879" i="1"/>
  <c r="R879" i="1"/>
  <c r="J880" i="1"/>
  <c r="R880" i="1"/>
  <c r="J881" i="1"/>
  <c r="R881" i="1"/>
  <c r="J882" i="1"/>
  <c r="R882" i="1"/>
  <c r="J883" i="1"/>
  <c r="R883" i="1"/>
  <c r="J884" i="1"/>
  <c r="R884" i="1"/>
  <c r="J885" i="1"/>
  <c r="R885" i="1"/>
  <c r="J886" i="1"/>
  <c r="R886" i="1"/>
  <c r="J887" i="1"/>
  <c r="R887" i="1"/>
  <c r="J888" i="1"/>
  <c r="R888" i="1"/>
  <c r="J889" i="1"/>
  <c r="R889" i="1"/>
  <c r="J890" i="1"/>
  <c r="R890" i="1"/>
  <c r="J891" i="1"/>
  <c r="R891" i="1"/>
  <c r="J892" i="1"/>
  <c r="R892" i="1"/>
  <c r="J893" i="1"/>
  <c r="R893" i="1"/>
  <c r="J894" i="1"/>
  <c r="R894" i="1"/>
  <c r="J895" i="1"/>
  <c r="R895" i="1"/>
  <c r="J896" i="1"/>
  <c r="R896" i="1"/>
  <c r="J897" i="1"/>
  <c r="R897" i="1"/>
  <c r="J898" i="1"/>
  <c r="R898" i="1"/>
  <c r="J899" i="1"/>
  <c r="R899" i="1"/>
  <c r="J900" i="1"/>
  <c r="R900" i="1"/>
  <c r="J901" i="1"/>
  <c r="R901" i="1"/>
  <c r="J902" i="1"/>
  <c r="R902" i="1"/>
  <c r="J903" i="1"/>
  <c r="R903" i="1"/>
  <c r="J904" i="1"/>
  <c r="R904" i="1"/>
  <c r="J905" i="1"/>
  <c r="R905" i="1"/>
  <c r="J906" i="1"/>
  <c r="R906" i="1"/>
  <c r="J907" i="1"/>
  <c r="R907" i="1"/>
  <c r="J908" i="1"/>
  <c r="R908" i="1"/>
  <c r="J909" i="1"/>
  <c r="R909" i="1"/>
  <c r="J910" i="1"/>
  <c r="R910" i="1"/>
  <c r="J911" i="1"/>
  <c r="R911" i="1"/>
  <c r="J912" i="1"/>
  <c r="R912" i="1"/>
  <c r="J913" i="1"/>
  <c r="R913" i="1"/>
  <c r="J914" i="1"/>
  <c r="R914" i="1"/>
  <c r="J915" i="1"/>
  <c r="R915" i="1"/>
  <c r="J916" i="1"/>
  <c r="R916" i="1"/>
  <c r="J917" i="1"/>
  <c r="R917" i="1"/>
  <c r="J918" i="1"/>
  <c r="R918" i="1"/>
  <c r="J919" i="1"/>
  <c r="R919" i="1"/>
  <c r="J920" i="1"/>
  <c r="R920" i="1"/>
  <c r="J921" i="1"/>
  <c r="R921" i="1"/>
  <c r="J922" i="1"/>
  <c r="R922" i="1"/>
  <c r="J923" i="1"/>
  <c r="R923" i="1"/>
  <c r="J924" i="1"/>
  <c r="R924" i="1"/>
  <c r="J925" i="1"/>
  <c r="R925" i="1"/>
  <c r="J926" i="1"/>
  <c r="R926" i="1"/>
  <c r="J927" i="1"/>
  <c r="R927" i="1"/>
  <c r="J928" i="1"/>
  <c r="R928" i="1"/>
  <c r="R929" i="1"/>
  <c r="J930" i="1"/>
  <c r="R930" i="1"/>
  <c r="J931" i="1"/>
  <c r="R931" i="1"/>
  <c r="J932" i="1"/>
  <c r="R932" i="1"/>
  <c r="J933" i="1"/>
  <c r="R933" i="1"/>
  <c r="J934" i="1"/>
  <c r="R934" i="1"/>
  <c r="J935" i="1"/>
  <c r="R935" i="1"/>
  <c r="J936" i="1"/>
  <c r="R936" i="1"/>
  <c r="J937" i="1"/>
  <c r="R937" i="1"/>
  <c r="J938" i="1"/>
  <c r="R938" i="1"/>
  <c r="J939" i="1"/>
  <c r="R939" i="1"/>
  <c r="J940" i="1"/>
  <c r="R940" i="1"/>
  <c r="J941" i="1"/>
  <c r="R941" i="1"/>
  <c r="J942" i="1"/>
  <c r="R942" i="1"/>
  <c r="J943" i="1"/>
  <c r="R943" i="1"/>
  <c r="J944" i="1"/>
  <c r="R944" i="1"/>
  <c r="J945" i="1"/>
  <c r="R945" i="1"/>
  <c r="J946" i="1"/>
  <c r="R946" i="1"/>
  <c r="J947" i="1"/>
  <c r="R947" i="1"/>
  <c r="J948" i="1"/>
  <c r="R948" i="1"/>
  <c r="J949" i="1"/>
  <c r="R949" i="1"/>
  <c r="J950" i="1"/>
  <c r="R950" i="1"/>
  <c r="J951" i="1"/>
  <c r="R951" i="1"/>
  <c r="J952" i="1"/>
  <c r="R952" i="1"/>
  <c r="J953" i="1"/>
  <c r="R953" i="1"/>
  <c r="J954" i="1"/>
  <c r="R954" i="1"/>
  <c r="J955" i="1"/>
  <c r="R955" i="1"/>
  <c r="J956" i="1"/>
  <c r="R956" i="1"/>
  <c r="J957" i="1"/>
  <c r="R957" i="1"/>
  <c r="J958" i="1"/>
  <c r="R958" i="1"/>
  <c r="J959" i="1"/>
  <c r="R959" i="1"/>
  <c r="J960" i="1"/>
  <c r="R960" i="1"/>
  <c r="J961" i="1"/>
  <c r="R961" i="1"/>
  <c r="J962" i="1"/>
  <c r="R962" i="1"/>
  <c r="J963" i="1"/>
  <c r="R963" i="1"/>
  <c r="J964" i="1"/>
  <c r="R964" i="1"/>
  <c r="J965" i="1"/>
  <c r="R965" i="1"/>
  <c r="J966" i="1"/>
  <c r="R966" i="1"/>
  <c r="J967" i="1"/>
  <c r="R967" i="1"/>
  <c r="J968" i="1"/>
  <c r="R968" i="1"/>
  <c r="J969" i="1"/>
  <c r="R969" i="1"/>
  <c r="R970" i="1"/>
  <c r="J971" i="1"/>
  <c r="R971" i="1"/>
  <c r="J972" i="1"/>
  <c r="R972" i="1"/>
  <c r="J973" i="1"/>
  <c r="R973" i="1"/>
  <c r="J974" i="1"/>
  <c r="R974" i="1"/>
  <c r="J975" i="1"/>
  <c r="R975" i="1"/>
  <c r="J976" i="1"/>
  <c r="R976" i="1"/>
  <c r="J977" i="1"/>
  <c r="R977" i="1"/>
  <c r="J978" i="1"/>
  <c r="R978" i="1"/>
  <c r="J979" i="1"/>
  <c r="R979" i="1"/>
  <c r="J980" i="1"/>
  <c r="R980" i="1"/>
  <c r="J981" i="1"/>
  <c r="R981" i="1"/>
  <c r="J982" i="1"/>
  <c r="R982" i="1"/>
  <c r="J983" i="1"/>
  <c r="R983" i="1"/>
  <c r="J984" i="1"/>
  <c r="R984" i="1"/>
  <c r="J985" i="1"/>
  <c r="R985" i="1"/>
  <c r="J986" i="1"/>
  <c r="R986" i="1"/>
  <c r="J987" i="1"/>
  <c r="R987" i="1"/>
  <c r="J988" i="1"/>
  <c r="R988" i="1"/>
  <c r="J989" i="1"/>
  <c r="R989" i="1"/>
  <c r="J990" i="1"/>
  <c r="R990" i="1"/>
  <c r="J991" i="1"/>
  <c r="R991" i="1"/>
  <c r="J992" i="1"/>
  <c r="R992" i="1"/>
  <c r="J993" i="1"/>
  <c r="R993" i="1"/>
  <c r="J994" i="1"/>
  <c r="R994" i="1"/>
  <c r="J995" i="1"/>
  <c r="R995" i="1"/>
  <c r="J996" i="1"/>
  <c r="R996" i="1"/>
  <c r="J997" i="1"/>
  <c r="R997" i="1"/>
  <c r="J998" i="1"/>
  <c r="R998" i="1"/>
  <c r="J999" i="1"/>
  <c r="R999" i="1"/>
  <c r="J1000" i="1"/>
  <c r="R1000" i="1"/>
  <c r="J1001" i="1"/>
  <c r="R1001" i="1"/>
  <c r="J1002" i="1"/>
  <c r="R1002" i="1"/>
  <c r="J1003" i="1"/>
  <c r="R1003" i="1"/>
  <c r="J1004" i="1"/>
  <c r="R1004" i="1"/>
  <c r="J1005" i="1"/>
  <c r="R1005" i="1"/>
  <c r="J1006" i="1"/>
  <c r="R1006" i="1"/>
  <c r="J1007" i="1"/>
  <c r="R1007" i="1"/>
  <c r="J1008" i="1"/>
  <c r="R1008" i="1"/>
  <c r="J1009" i="1"/>
  <c r="R1009" i="1"/>
  <c r="J1010" i="1"/>
  <c r="R1010" i="1"/>
  <c r="J1011" i="1"/>
  <c r="R1011" i="1"/>
  <c r="J1012" i="1"/>
  <c r="R1012" i="1"/>
  <c r="J1013" i="1"/>
  <c r="R1013" i="1"/>
  <c r="J1014" i="1"/>
  <c r="R1014" i="1"/>
  <c r="J1015" i="1"/>
  <c r="R1015" i="1"/>
  <c r="J1016" i="1"/>
  <c r="R1016" i="1"/>
  <c r="J1017" i="1"/>
  <c r="R1017" i="1"/>
  <c r="J1018" i="1"/>
  <c r="R1018" i="1"/>
  <c r="J1019" i="1"/>
  <c r="R1019" i="1"/>
  <c r="J1020" i="1"/>
  <c r="R1020" i="1"/>
  <c r="J1021" i="1"/>
  <c r="R1021" i="1"/>
  <c r="J1022" i="1"/>
  <c r="R1022" i="1"/>
  <c r="J1023" i="1"/>
  <c r="R1023" i="1"/>
  <c r="J1024" i="1"/>
  <c r="R1024" i="1"/>
  <c r="J1025" i="1"/>
  <c r="R1025" i="1"/>
  <c r="J1026" i="1"/>
  <c r="R1026" i="1"/>
  <c r="J1027" i="1"/>
  <c r="R1027" i="1"/>
  <c r="J1028" i="1"/>
  <c r="R1028" i="1"/>
  <c r="J1029" i="1"/>
  <c r="R1029" i="1"/>
  <c r="J1030" i="1"/>
  <c r="R1030" i="1"/>
  <c r="R1031" i="1"/>
  <c r="J1032" i="1"/>
  <c r="R1032" i="1"/>
  <c r="J1033" i="1"/>
  <c r="R1033" i="1"/>
  <c r="J1034" i="1"/>
  <c r="R1034" i="1"/>
  <c r="J1035" i="1"/>
  <c r="R1035" i="1"/>
  <c r="J1036" i="1"/>
  <c r="R1036" i="1"/>
  <c r="J1037" i="1"/>
  <c r="R1037" i="1"/>
  <c r="J1038" i="1"/>
  <c r="R1038" i="1"/>
  <c r="J1039" i="1"/>
  <c r="R1039" i="1"/>
  <c r="J1040" i="1"/>
  <c r="R1040" i="1"/>
  <c r="J1041" i="1"/>
  <c r="R1041" i="1"/>
  <c r="J1042" i="1"/>
  <c r="R1042" i="1"/>
  <c r="J1043" i="1"/>
  <c r="R1043" i="1"/>
  <c r="J1044" i="1"/>
  <c r="R1044" i="1"/>
  <c r="J1045" i="1"/>
  <c r="R1045" i="1"/>
  <c r="J1046" i="1"/>
  <c r="R1046" i="1"/>
  <c r="J1047" i="1"/>
  <c r="R1047" i="1"/>
  <c r="J1048" i="1"/>
  <c r="R1048" i="1"/>
  <c r="J1049" i="1"/>
  <c r="R1049" i="1"/>
  <c r="J1050" i="1"/>
  <c r="R1050" i="1"/>
  <c r="J1051" i="1"/>
  <c r="R1051" i="1"/>
  <c r="J1052" i="1"/>
  <c r="R1052" i="1"/>
  <c r="J1053" i="1"/>
  <c r="R1053" i="1"/>
  <c r="J1054" i="1"/>
  <c r="R1054" i="1"/>
  <c r="J1055" i="1"/>
  <c r="R1055" i="1"/>
  <c r="J1056" i="1"/>
  <c r="R1056" i="1"/>
  <c r="J1057" i="1"/>
  <c r="R1057" i="1"/>
  <c r="J1058" i="1"/>
  <c r="R1058" i="1"/>
  <c r="J1059" i="1"/>
  <c r="R1059" i="1"/>
  <c r="J1060" i="1"/>
  <c r="R1060" i="1"/>
  <c r="J1061" i="1"/>
  <c r="R1061" i="1"/>
  <c r="J1062" i="1"/>
  <c r="R1062" i="1"/>
  <c r="J1063" i="1"/>
  <c r="R1063" i="1"/>
  <c r="J1064" i="1"/>
  <c r="R1064" i="1"/>
  <c r="J1065" i="1"/>
  <c r="R1065" i="1"/>
  <c r="J1066" i="1"/>
  <c r="R1066" i="1"/>
  <c r="J1067" i="1"/>
  <c r="R1067" i="1"/>
  <c r="J1068" i="1"/>
  <c r="R1068" i="1"/>
  <c r="J1069" i="1"/>
  <c r="R1069" i="1"/>
  <c r="J1070" i="1"/>
  <c r="R1070" i="1"/>
  <c r="J1071" i="1"/>
  <c r="R1071" i="1"/>
  <c r="J1072" i="1"/>
  <c r="R1072" i="1"/>
  <c r="R1073" i="1"/>
  <c r="J1074" i="1"/>
  <c r="R1074" i="1"/>
  <c r="J1075" i="1"/>
  <c r="R1075" i="1"/>
  <c r="J1076" i="1"/>
  <c r="R1076" i="1"/>
  <c r="J1077" i="1"/>
  <c r="R1077" i="1"/>
  <c r="J1078" i="1"/>
  <c r="R1078" i="1"/>
  <c r="J1079" i="1"/>
  <c r="R1079" i="1"/>
  <c r="J1080" i="1"/>
  <c r="R1080" i="1"/>
  <c r="J1081" i="1"/>
  <c r="R1081" i="1"/>
  <c r="J1082" i="1"/>
  <c r="R1082" i="1"/>
  <c r="J1083" i="1"/>
  <c r="R1083" i="1"/>
  <c r="J1084" i="1"/>
  <c r="R1084" i="1"/>
  <c r="J1085" i="1"/>
  <c r="R1085" i="1"/>
  <c r="J1086" i="1"/>
  <c r="R1086" i="1"/>
  <c r="J1087" i="1"/>
  <c r="R1087" i="1"/>
  <c r="J1088" i="1"/>
  <c r="R1088" i="1"/>
  <c r="J1089" i="1"/>
  <c r="R1089" i="1"/>
  <c r="J1090" i="1"/>
  <c r="R1090" i="1"/>
  <c r="J1091" i="1"/>
  <c r="R1091" i="1"/>
  <c r="J1092" i="1"/>
  <c r="R1092" i="1"/>
  <c r="J1093" i="1"/>
  <c r="R1093" i="1"/>
  <c r="J1094" i="1"/>
  <c r="R1094" i="1"/>
  <c r="J1095" i="1"/>
  <c r="R1095" i="1"/>
  <c r="J1096" i="1"/>
  <c r="R1096" i="1"/>
  <c r="J1097" i="1"/>
  <c r="R1097" i="1"/>
  <c r="J1098" i="1"/>
  <c r="R1098" i="1"/>
  <c r="J1099" i="1"/>
  <c r="R1099" i="1"/>
  <c r="J1100" i="1"/>
  <c r="R1100" i="1"/>
  <c r="J1101" i="1"/>
  <c r="R1101" i="1"/>
  <c r="J1102" i="1"/>
  <c r="R1102" i="1"/>
  <c r="J1103" i="1"/>
  <c r="R1103" i="1"/>
  <c r="J1104" i="1"/>
  <c r="R1104" i="1"/>
  <c r="J1105" i="1"/>
  <c r="R1105" i="1"/>
  <c r="J1106" i="1"/>
  <c r="R1106" i="1"/>
  <c r="J1107" i="1"/>
  <c r="R1107" i="1"/>
  <c r="J1108" i="1"/>
  <c r="R1108" i="1"/>
  <c r="J1109" i="1"/>
  <c r="R1109" i="1"/>
  <c r="J1110" i="1"/>
  <c r="R1110" i="1"/>
  <c r="J1111" i="1"/>
  <c r="R1111" i="1"/>
  <c r="J1112" i="1"/>
  <c r="R1112" i="1"/>
  <c r="J1113" i="1"/>
  <c r="R1113" i="1"/>
  <c r="J1114" i="1"/>
  <c r="R1114" i="1"/>
  <c r="J1115" i="1"/>
  <c r="R1115" i="1"/>
  <c r="J1116" i="1"/>
  <c r="R1116" i="1"/>
  <c r="J1117" i="1"/>
  <c r="R1117" i="1"/>
  <c r="J1118" i="1"/>
  <c r="R1118" i="1"/>
  <c r="J1119" i="1"/>
  <c r="R1119" i="1"/>
  <c r="J1120" i="1"/>
  <c r="R1120" i="1"/>
  <c r="J1121" i="1"/>
  <c r="R1121" i="1"/>
  <c r="J1122" i="1"/>
  <c r="R1122" i="1"/>
  <c r="J1123" i="1"/>
  <c r="R1123" i="1"/>
  <c r="J1124" i="1"/>
  <c r="R1124" i="1"/>
  <c r="J1125" i="1"/>
  <c r="R1125" i="1"/>
  <c r="J1126" i="1"/>
  <c r="R1126" i="1"/>
  <c r="J1127" i="1"/>
  <c r="R1127" i="1"/>
  <c r="J1128" i="1"/>
  <c r="R1128" i="1"/>
  <c r="J1129" i="1"/>
  <c r="R1129" i="1"/>
  <c r="J1130" i="1"/>
  <c r="R1130" i="1"/>
  <c r="J1131" i="1"/>
  <c r="R1131" i="1"/>
  <c r="J1132" i="1"/>
  <c r="R1132" i="1"/>
  <c r="J1133" i="1"/>
  <c r="R1133" i="1"/>
  <c r="J1134" i="1"/>
  <c r="R1134" i="1"/>
  <c r="J1135" i="1"/>
  <c r="R1135" i="1"/>
  <c r="R1136" i="1"/>
  <c r="J1137" i="1"/>
  <c r="R1137" i="1"/>
  <c r="J1138" i="1"/>
  <c r="R1138" i="1"/>
  <c r="J1139" i="1"/>
  <c r="R1139" i="1"/>
  <c r="J1140" i="1"/>
  <c r="R1140" i="1"/>
  <c r="J1141" i="1"/>
  <c r="R1141" i="1"/>
  <c r="J1142" i="1"/>
  <c r="R1142" i="1"/>
  <c r="J1143" i="1"/>
  <c r="R1143" i="1"/>
  <c r="J1144" i="1"/>
  <c r="R1144" i="1"/>
  <c r="J1145" i="1"/>
  <c r="R1145" i="1"/>
  <c r="J1146" i="1"/>
  <c r="R1146" i="1"/>
  <c r="J1147" i="1"/>
  <c r="R1147" i="1"/>
  <c r="J1148" i="1"/>
  <c r="R1148" i="1"/>
  <c r="J1149" i="1"/>
  <c r="R1149" i="1"/>
  <c r="J1150" i="1"/>
  <c r="R1150" i="1"/>
  <c r="J1151" i="1"/>
  <c r="R1151" i="1"/>
  <c r="J1152" i="1"/>
  <c r="R1152" i="1"/>
  <c r="J1153" i="1"/>
  <c r="R1153" i="1"/>
  <c r="J1154" i="1"/>
  <c r="R1154" i="1"/>
  <c r="J1155" i="1"/>
  <c r="R1155" i="1"/>
  <c r="J1156" i="1"/>
  <c r="R1156" i="1"/>
  <c r="J1157" i="1"/>
  <c r="R1157" i="1"/>
  <c r="J1158" i="1"/>
  <c r="R1158" i="1"/>
  <c r="J1159" i="1"/>
  <c r="R1159" i="1"/>
  <c r="J1160" i="1"/>
  <c r="R1160" i="1"/>
  <c r="J1161" i="1"/>
  <c r="R1161" i="1"/>
  <c r="J1162" i="1"/>
  <c r="R1162" i="1"/>
  <c r="J1163" i="1"/>
  <c r="R1163" i="1"/>
  <c r="J1164" i="1"/>
  <c r="R1164" i="1"/>
  <c r="J1165" i="1"/>
  <c r="R1165" i="1"/>
  <c r="J1166" i="1"/>
  <c r="R1166" i="1"/>
  <c r="J1167" i="1"/>
  <c r="R1167" i="1"/>
  <c r="J1168" i="1"/>
  <c r="R1168" i="1"/>
  <c r="J1169" i="1"/>
  <c r="R1169" i="1"/>
  <c r="J1170" i="1"/>
  <c r="R1170" i="1"/>
  <c r="J1171" i="1"/>
  <c r="R1171" i="1"/>
  <c r="J1172" i="1"/>
  <c r="R1172" i="1"/>
  <c r="J1173" i="1"/>
  <c r="R1173" i="1"/>
  <c r="J1174" i="1"/>
  <c r="R1174" i="1"/>
  <c r="J1175" i="1"/>
  <c r="R1175" i="1"/>
  <c r="J1176" i="1"/>
  <c r="R1176" i="1"/>
  <c r="J1177" i="1"/>
  <c r="R1177" i="1"/>
  <c r="J1178" i="1"/>
  <c r="R1178" i="1"/>
  <c r="J1179" i="1"/>
  <c r="R1179" i="1"/>
  <c r="J1180" i="1"/>
  <c r="R1180" i="1"/>
  <c r="J1181" i="1"/>
  <c r="R1181" i="1"/>
  <c r="J1182" i="1"/>
  <c r="R1182" i="1"/>
  <c r="J1183" i="1"/>
  <c r="R1183" i="1"/>
  <c r="J1184" i="1"/>
  <c r="R1184" i="1"/>
  <c r="J1185" i="1"/>
  <c r="R1185" i="1"/>
  <c r="J1186" i="1"/>
  <c r="R1186" i="1"/>
  <c r="J1187" i="1"/>
  <c r="R1187" i="1"/>
  <c r="J1188" i="1"/>
  <c r="R1188" i="1"/>
  <c r="J1189" i="1"/>
  <c r="R1189" i="1"/>
  <c r="J1190" i="1"/>
  <c r="R1190" i="1"/>
  <c r="J1191" i="1"/>
  <c r="R1191" i="1"/>
  <c r="J1192" i="1"/>
  <c r="R1192" i="1"/>
  <c r="J1193" i="1"/>
  <c r="R1193" i="1"/>
  <c r="R1194" i="1"/>
  <c r="J1195" i="1"/>
  <c r="R1195" i="1"/>
  <c r="J1196" i="1"/>
  <c r="R1196" i="1"/>
  <c r="J1197" i="1"/>
  <c r="R1197" i="1"/>
  <c r="J1198" i="1"/>
  <c r="R1198" i="1"/>
  <c r="J1199" i="1"/>
  <c r="R1199" i="1"/>
  <c r="J1200" i="1"/>
  <c r="R1200" i="1"/>
  <c r="J1201" i="1"/>
  <c r="R1201" i="1"/>
  <c r="J1202" i="1"/>
  <c r="R1202" i="1"/>
  <c r="J1203" i="1"/>
  <c r="R1203" i="1"/>
  <c r="J1204" i="1"/>
  <c r="R1204" i="1"/>
  <c r="J1205" i="1"/>
  <c r="R1205" i="1"/>
  <c r="J1206" i="1"/>
  <c r="R1206" i="1"/>
  <c r="J1207" i="1"/>
  <c r="R1207" i="1"/>
  <c r="J1208" i="1"/>
  <c r="R1208" i="1"/>
  <c r="J1209" i="1"/>
  <c r="R1209" i="1"/>
  <c r="J1210" i="1"/>
  <c r="R1210" i="1"/>
  <c r="J1211" i="1"/>
  <c r="R1211" i="1"/>
  <c r="J1212" i="1"/>
  <c r="R1212" i="1"/>
  <c r="J1213" i="1"/>
  <c r="R1213" i="1"/>
  <c r="J1214" i="1"/>
  <c r="R1214" i="1"/>
  <c r="J1215" i="1"/>
  <c r="R1215" i="1"/>
  <c r="J1216" i="1"/>
  <c r="R1216" i="1"/>
  <c r="J1217" i="1"/>
  <c r="R1217" i="1"/>
  <c r="J1218" i="1"/>
  <c r="R1218" i="1"/>
  <c r="J1219" i="1"/>
  <c r="R1219" i="1"/>
  <c r="J1220" i="1"/>
  <c r="R1220" i="1"/>
  <c r="J1221" i="1"/>
  <c r="R1221" i="1"/>
  <c r="J1222" i="1"/>
  <c r="R1222" i="1"/>
  <c r="J1223" i="1"/>
  <c r="R1223" i="1"/>
  <c r="J1224" i="1"/>
  <c r="R1224" i="1"/>
  <c r="J1225" i="1"/>
  <c r="R1225" i="1"/>
  <c r="J1226" i="1"/>
  <c r="R1226" i="1"/>
  <c r="J1227" i="1"/>
  <c r="R1227" i="1"/>
  <c r="J1228" i="1"/>
  <c r="R1228" i="1"/>
  <c r="J1229" i="1"/>
  <c r="R1229" i="1"/>
  <c r="J1230" i="1"/>
  <c r="R1230" i="1"/>
  <c r="J1231" i="1"/>
  <c r="R1231" i="1"/>
  <c r="J1232" i="1"/>
  <c r="R1232" i="1"/>
  <c r="J1233" i="1"/>
  <c r="R1233" i="1"/>
  <c r="J1234" i="1"/>
  <c r="R1234" i="1"/>
  <c r="J1235" i="1"/>
  <c r="R1235" i="1"/>
  <c r="J1236" i="1"/>
  <c r="R1236" i="1"/>
  <c r="J1237" i="1"/>
  <c r="R1237" i="1"/>
  <c r="J1238" i="1"/>
  <c r="R1238" i="1"/>
  <c r="J1239" i="1"/>
  <c r="R1239" i="1"/>
  <c r="J1240" i="1"/>
  <c r="R1240" i="1"/>
  <c r="J1241" i="1"/>
  <c r="R1241" i="1"/>
  <c r="J1242" i="1"/>
  <c r="R1242" i="1"/>
  <c r="J1243" i="1"/>
  <c r="R1243" i="1"/>
  <c r="J1244" i="1"/>
  <c r="R1244" i="1"/>
  <c r="J1245" i="1"/>
  <c r="R1245" i="1"/>
  <c r="J1246" i="1"/>
  <c r="R1246" i="1"/>
  <c r="J1247" i="1"/>
  <c r="R1247" i="1"/>
  <c r="J1248" i="1"/>
  <c r="R1248" i="1"/>
  <c r="J1249" i="1"/>
  <c r="R1249" i="1"/>
  <c r="R1250" i="1"/>
  <c r="J1251" i="1"/>
  <c r="R1251" i="1"/>
  <c r="J1252" i="1"/>
  <c r="R1252" i="1"/>
  <c r="J1253" i="1"/>
  <c r="R1253" i="1"/>
  <c r="J1254" i="1"/>
  <c r="R1254" i="1"/>
  <c r="J1255" i="1"/>
  <c r="R1255" i="1"/>
  <c r="J1256" i="1"/>
  <c r="R1256" i="1"/>
  <c r="J1257" i="1"/>
  <c r="R1257" i="1"/>
  <c r="J1258" i="1"/>
  <c r="R1258" i="1"/>
  <c r="J1259" i="1"/>
  <c r="R1259" i="1"/>
  <c r="J1260" i="1"/>
  <c r="R1260" i="1"/>
  <c r="J1261" i="1"/>
  <c r="R1261" i="1"/>
  <c r="J1262" i="1"/>
  <c r="R1262" i="1"/>
  <c r="J1263" i="1"/>
  <c r="R1263" i="1"/>
  <c r="J1264" i="1"/>
  <c r="R1264" i="1"/>
  <c r="J1265" i="1"/>
  <c r="R1265" i="1"/>
  <c r="J1266" i="1"/>
  <c r="R1266" i="1"/>
  <c r="J1267" i="1"/>
  <c r="R1267" i="1"/>
  <c r="J1268" i="1"/>
  <c r="R1268" i="1"/>
  <c r="J1269" i="1"/>
  <c r="R1269" i="1"/>
  <c r="J1270" i="1"/>
  <c r="R1270" i="1"/>
  <c r="J1271" i="1"/>
  <c r="R1271" i="1"/>
  <c r="J1272" i="1"/>
  <c r="R1272" i="1"/>
  <c r="J1273" i="1"/>
  <c r="R1273" i="1"/>
  <c r="J1274" i="1"/>
  <c r="R1274" i="1"/>
  <c r="J1275" i="1"/>
  <c r="R1275" i="1"/>
  <c r="J1276" i="1"/>
  <c r="R1276" i="1"/>
  <c r="J1277" i="1"/>
  <c r="R1277" i="1"/>
  <c r="J1278" i="1"/>
  <c r="R1278" i="1"/>
  <c r="J1279" i="1"/>
  <c r="R1279" i="1"/>
  <c r="J1280" i="1"/>
  <c r="R1280" i="1"/>
  <c r="J1281" i="1"/>
  <c r="R1281" i="1"/>
  <c r="J1282" i="1"/>
  <c r="R1282" i="1"/>
  <c r="J1283" i="1"/>
  <c r="R1283" i="1"/>
  <c r="J1284" i="1"/>
  <c r="R1284" i="1"/>
  <c r="J1285" i="1"/>
  <c r="R1285" i="1"/>
  <c r="J1286" i="1"/>
  <c r="R1286" i="1"/>
  <c r="J1287" i="1"/>
  <c r="R1287" i="1"/>
  <c r="J1288" i="1"/>
  <c r="R1288" i="1"/>
  <c r="J1289" i="1"/>
  <c r="R1289" i="1"/>
  <c r="J1290" i="1"/>
  <c r="R1290" i="1"/>
  <c r="J1291" i="1"/>
  <c r="R1291" i="1"/>
  <c r="J1292" i="1"/>
  <c r="R1292" i="1"/>
  <c r="J1293" i="1"/>
  <c r="R1293" i="1"/>
  <c r="J1294" i="1"/>
  <c r="R1294" i="1"/>
  <c r="J1295" i="1"/>
  <c r="R1295" i="1"/>
  <c r="J1296" i="1"/>
  <c r="R1296" i="1"/>
  <c r="R1297" i="1"/>
  <c r="J1298" i="1"/>
  <c r="R1298" i="1"/>
  <c r="J1299" i="1"/>
  <c r="R1299" i="1"/>
  <c r="J1300" i="1"/>
  <c r="R1300" i="1"/>
  <c r="J1301" i="1"/>
  <c r="R1301" i="1"/>
  <c r="J1302" i="1"/>
  <c r="R1302" i="1"/>
  <c r="J1303" i="1"/>
  <c r="R1303" i="1"/>
  <c r="J1304" i="1"/>
  <c r="R1304" i="1"/>
  <c r="J1305" i="1"/>
  <c r="R1305" i="1"/>
  <c r="J1306" i="1"/>
  <c r="R1306" i="1"/>
  <c r="J1307" i="1"/>
  <c r="R1307" i="1"/>
  <c r="J1308" i="1"/>
  <c r="R1308" i="1"/>
  <c r="J1309" i="1"/>
  <c r="R1309" i="1"/>
  <c r="J1310" i="1"/>
  <c r="R1310" i="1"/>
  <c r="J1311" i="1"/>
  <c r="R1311" i="1"/>
  <c r="J1312" i="1"/>
  <c r="R1312" i="1"/>
  <c r="J1313" i="1"/>
  <c r="R1313" i="1"/>
  <c r="J1314" i="1"/>
  <c r="R1314" i="1"/>
  <c r="J1315" i="1"/>
  <c r="R1315" i="1"/>
  <c r="J1316" i="1"/>
  <c r="R1316" i="1"/>
  <c r="J1317" i="1"/>
  <c r="R1317" i="1"/>
  <c r="J1318" i="1"/>
  <c r="R1318" i="1"/>
  <c r="J1319" i="1"/>
  <c r="R1319" i="1"/>
  <c r="J1320" i="1"/>
  <c r="R1320" i="1"/>
  <c r="J1321" i="1"/>
  <c r="R1321" i="1"/>
  <c r="J1322" i="1"/>
  <c r="R1322" i="1"/>
  <c r="J1323" i="1"/>
  <c r="R1323" i="1"/>
  <c r="J1324" i="1"/>
  <c r="R1324" i="1"/>
  <c r="J1325" i="1"/>
  <c r="R1325" i="1"/>
  <c r="J1326" i="1"/>
  <c r="R1326" i="1"/>
  <c r="J1327" i="1"/>
  <c r="R1327" i="1"/>
  <c r="J1328" i="1"/>
  <c r="R1328" i="1"/>
  <c r="J1329" i="1"/>
  <c r="R1329" i="1"/>
  <c r="J1330" i="1"/>
  <c r="R1330" i="1"/>
  <c r="J1331" i="1"/>
  <c r="R1331" i="1"/>
  <c r="J1332" i="1"/>
  <c r="R1332" i="1"/>
  <c r="J1333" i="1"/>
  <c r="R1333" i="1"/>
  <c r="J1334" i="1"/>
  <c r="R1334" i="1"/>
  <c r="J1335" i="1"/>
  <c r="R1335" i="1"/>
  <c r="J1336" i="1"/>
  <c r="R1336" i="1"/>
  <c r="J1337" i="1"/>
  <c r="R1337" i="1"/>
  <c r="J1338" i="1"/>
  <c r="R1338" i="1"/>
  <c r="J1339" i="1"/>
  <c r="R1339" i="1"/>
  <c r="J1340" i="1"/>
  <c r="R1340" i="1"/>
  <c r="J1341" i="1"/>
  <c r="R1341" i="1"/>
  <c r="J1342" i="1"/>
  <c r="R1342" i="1"/>
  <c r="J1343" i="1"/>
  <c r="R1343" i="1"/>
  <c r="J1344" i="1"/>
  <c r="R1344" i="1"/>
  <c r="J1345" i="1"/>
  <c r="R1345" i="1"/>
  <c r="J1346" i="1"/>
  <c r="R1346" i="1"/>
  <c r="J1347" i="1"/>
  <c r="R1347" i="1"/>
  <c r="J1348" i="1"/>
  <c r="R1348" i="1"/>
  <c r="J1349" i="1"/>
  <c r="R1349" i="1"/>
  <c r="J1350" i="1"/>
  <c r="R1350" i="1"/>
  <c r="J1351" i="1"/>
  <c r="R1351" i="1"/>
  <c r="J1352" i="1"/>
  <c r="R1352" i="1"/>
  <c r="J1353" i="1"/>
  <c r="R1353" i="1"/>
  <c r="J1354" i="1"/>
  <c r="R1354" i="1"/>
  <c r="J1355" i="1"/>
  <c r="R1355" i="1"/>
  <c r="J1356" i="1"/>
  <c r="R1356" i="1"/>
  <c r="J1357" i="1"/>
  <c r="R1357" i="1"/>
  <c r="J1358" i="1"/>
  <c r="R1358" i="1"/>
  <c r="J1359" i="1"/>
  <c r="R1359" i="1"/>
  <c r="R1360" i="1"/>
  <c r="J1361" i="1"/>
  <c r="R1361" i="1"/>
  <c r="J1362" i="1"/>
  <c r="R1362" i="1"/>
  <c r="J1363" i="1"/>
  <c r="R1363" i="1"/>
  <c r="J1364" i="1"/>
  <c r="R1364" i="1"/>
  <c r="J1365" i="1"/>
  <c r="R1365" i="1"/>
  <c r="J1366" i="1"/>
  <c r="R1366" i="1"/>
  <c r="J1367" i="1"/>
  <c r="R1367" i="1"/>
  <c r="J1368" i="1"/>
  <c r="R1368" i="1"/>
  <c r="J1369" i="1"/>
  <c r="R1369" i="1"/>
  <c r="J1370" i="1"/>
  <c r="R1370" i="1"/>
  <c r="J1371" i="1"/>
  <c r="R1371" i="1"/>
  <c r="J1372" i="1"/>
  <c r="R1372" i="1"/>
  <c r="J1373" i="1"/>
  <c r="R1373" i="1"/>
  <c r="J1374" i="1"/>
  <c r="R1374" i="1"/>
  <c r="J1375" i="1"/>
  <c r="R1375" i="1"/>
  <c r="J1376" i="1"/>
  <c r="R1376" i="1"/>
  <c r="J1377" i="1"/>
  <c r="R1377" i="1"/>
  <c r="J1378" i="1"/>
  <c r="R1378" i="1"/>
  <c r="J1379" i="1"/>
  <c r="R1379" i="1"/>
  <c r="J1380" i="1"/>
  <c r="R1380" i="1"/>
  <c r="J1381" i="1"/>
  <c r="R1381" i="1"/>
  <c r="J1382" i="1"/>
  <c r="R1382" i="1"/>
  <c r="J1383" i="1"/>
  <c r="R1383" i="1"/>
  <c r="J1384" i="1"/>
  <c r="R1384" i="1"/>
  <c r="J1385" i="1"/>
  <c r="R1385" i="1"/>
  <c r="J1386" i="1"/>
  <c r="R1386" i="1"/>
  <c r="J1387" i="1"/>
  <c r="R1387" i="1"/>
  <c r="J1388" i="1"/>
  <c r="R1388" i="1"/>
  <c r="J1389" i="1"/>
  <c r="R1389" i="1"/>
  <c r="J1390" i="1"/>
  <c r="R1390" i="1"/>
  <c r="J1391" i="1"/>
  <c r="R1391" i="1"/>
  <c r="J1392" i="1"/>
  <c r="R1392" i="1"/>
  <c r="J1393" i="1"/>
  <c r="R1393" i="1"/>
  <c r="J1394" i="1"/>
  <c r="R1394" i="1"/>
  <c r="J1395" i="1"/>
  <c r="R1395" i="1"/>
  <c r="J1396" i="1"/>
  <c r="R1396" i="1"/>
  <c r="J1397" i="1"/>
  <c r="R1397" i="1"/>
  <c r="J1398" i="1"/>
  <c r="R1398" i="1"/>
  <c r="J1399" i="1"/>
  <c r="R1399" i="1"/>
  <c r="J1400" i="1"/>
  <c r="R1400" i="1"/>
  <c r="J1401" i="1"/>
  <c r="R1401" i="1"/>
  <c r="J1402" i="1"/>
  <c r="R1402" i="1"/>
  <c r="J1403" i="1"/>
  <c r="R1403" i="1"/>
  <c r="J1404" i="1"/>
  <c r="R1404" i="1"/>
  <c r="J1405" i="1"/>
  <c r="R1405" i="1"/>
  <c r="J1406" i="1"/>
  <c r="R1406" i="1"/>
  <c r="J1407" i="1"/>
  <c r="R1407" i="1"/>
  <c r="J1408" i="1"/>
  <c r="R1408" i="1"/>
  <c r="J1409" i="1"/>
  <c r="R1409" i="1"/>
  <c r="J1410" i="1"/>
  <c r="R1410" i="1"/>
  <c r="J1411" i="1"/>
  <c r="R1411" i="1"/>
  <c r="J1412" i="1"/>
  <c r="R1412" i="1"/>
  <c r="R1413" i="1"/>
  <c r="J1414" i="1"/>
  <c r="R1414" i="1"/>
  <c r="J1415" i="1"/>
  <c r="R1415" i="1"/>
  <c r="J1416" i="1"/>
  <c r="R1416" i="1"/>
  <c r="J1417" i="1"/>
  <c r="R1417" i="1"/>
  <c r="J1418" i="1"/>
  <c r="R1418" i="1"/>
  <c r="J1419" i="1"/>
  <c r="R1419" i="1"/>
  <c r="J1420" i="1"/>
  <c r="R1420" i="1"/>
  <c r="J1421" i="1"/>
  <c r="R1421" i="1"/>
  <c r="J1422" i="1"/>
  <c r="R1422" i="1"/>
  <c r="J1423" i="1"/>
  <c r="R1423" i="1"/>
  <c r="J1424" i="1"/>
  <c r="R1424" i="1"/>
  <c r="J1425" i="1"/>
  <c r="R1425" i="1"/>
  <c r="J1426" i="1"/>
  <c r="R1426" i="1"/>
  <c r="J1427" i="1"/>
  <c r="R1427" i="1"/>
  <c r="J1428" i="1"/>
  <c r="R1428" i="1"/>
  <c r="J1429" i="1"/>
  <c r="R1429" i="1"/>
  <c r="J1430" i="1"/>
  <c r="R1430" i="1"/>
  <c r="J1431" i="1"/>
  <c r="R1431" i="1"/>
  <c r="J1432" i="1"/>
  <c r="R1432" i="1"/>
  <c r="J1433" i="1"/>
  <c r="R1433" i="1"/>
  <c r="J1434" i="1"/>
  <c r="R1434" i="1"/>
  <c r="J1435" i="1"/>
  <c r="R1435" i="1"/>
  <c r="J1436" i="1"/>
  <c r="R1436" i="1"/>
  <c r="J1437" i="1"/>
  <c r="R1437" i="1"/>
  <c r="J1438" i="1"/>
  <c r="R1438" i="1"/>
  <c r="J1439" i="1"/>
  <c r="R1439" i="1"/>
  <c r="J1440" i="1"/>
  <c r="R1440" i="1"/>
  <c r="J1441" i="1"/>
  <c r="R1441" i="1"/>
  <c r="J1442" i="1"/>
  <c r="R1442" i="1"/>
  <c r="J1443" i="1"/>
  <c r="R1443" i="1"/>
  <c r="J1444" i="1"/>
  <c r="R1444" i="1"/>
  <c r="J1445" i="1"/>
  <c r="R1445" i="1"/>
  <c r="J1446" i="1"/>
  <c r="R1446" i="1"/>
  <c r="J1447" i="1"/>
  <c r="R1447" i="1"/>
  <c r="J1448" i="1"/>
  <c r="R1448" i="1"/>
  <c r="J1449" i="1"/>
  <c r="R1449" i="1"/>
  <c r="J1450" i="1"/>
  <c r="R1450" i="1"/>
  <c r="J1451" i="1"/>
  <c r="R1451" i="1"/>
  <c r="J1452" i="1"/>
  <c r="R1452" i="1"/>
  <c r="J1453" i="1"/>
  <c r="R1453" i="1"/>
  <c r="J1454" i="1"/>
  <c r="R1454" i="1"/>
  <c r="J1455" i="1"/>
  <c r="R1455" i="1"/>
  <c r="J1456" i="1"/>
  <c r="R1456" i="1"/>
  <c r="J1457" i="1"/>
  <c r="R1457" i="1"/>
  <c r="J1458" i="1"/>
  <c r="R1458" i="1"/>
  <c r="J1459" i="1"/>
  <c r="R1459" i="1"/>
  <c r="J1460" i="1"/>
  <c r="R1460" i="1"/>
  <c r="J1461" i="1"/>
  <c r="R1461" i="1"/>
  <c r="J1462" i="1"/>
  <c r="R1462" i="1"/>
  <c r="J1463" i="1"/>
  <c r="R1463" i="1"/>
  <c r="J1464" i="1"/>
  <c r="R1464" i="1"/>
  <c r="R1465" i="1"/>
  <c r="J1466" i="1"/>
  <c r="R1466" i="1"/>
  <c r="J1467" i="1"/>
  <c r="R1467" i="1"/>
  <c r="J1468" i="1"/>
  <c r="R1468" i="1"/>
  <c r="J1469" i="1"/>
  <c r="R1469" i="1"/>
  <c r="J1470" i="1"/>
  <c r="R1470" i="1"/>
  <c r="J1471" i="1"/>
  <c r="R1471" i="1"/>
  <c r="J1472" i="1"/>
  <c r="R1472" i="1"/>
  <c r="J1473" i="1"/>
  <c r="R1473" i="1"/>
  <c r="J1474" i="1"/>
  <c r="R1474" i="1"/>
  <c r="J1475" i="1"/>
  <c r="R1475" i="1"/>
  <c r="J1476" i="1"/>
  <c r="R1476" i="1"/>
  <c r="J1477" i="1"/>
  <c r="R1477" i="1"/>
  <c r="J1478" i="1"/>
  <c r="R1478" i="1"/>
  <c r="J1479" i="1"/>
  <c r="R1479" i="1"/>
  <c r="J1480" i="1"/>
  <c r="R1480" i="1"/>
  <c r="J1481" i="1"/>
  <c r="R1481" i="1"/>
  <c r="J1482" i="1"/>
  <c r="R1482" i="1"/>
  <c r="J1483" i="1"/>
  <c r="R1483" i="1"/>
  <c r="J1484" i="1"/>
  <c r="R1484" i="1"/>
  <c r="J1485" i="1"/>
  <c r="R1485" i="1"/>
  <c r="J1486" i="1"/>
  <c r="R1486" i="1"/>
  <c r="V1486" i="1"/>
  <c r="J43" i="1"/>
  <c r="R43" i="1"/>
  <c r="J44" i="1"/>
  <c r="R44" i="1"/>
  <c r="J45" i="1"/>
  <c r="R45" i="1"/>
  <c r="J46" i="1"/>
  <c r="R46" i="1"/>
  <c r="J47" i="1"/>
  <c r="R47" i="1"/>
  <c r="J48" i="1"/>
  <c r="R48" i="1"/>
  <c r="J49" i="1"/>
  <c r="R49" i="1"/>
  <c r="J50" i="1"/>
  <c r="R50" i="1"/>
  <c r="J51" i="1"/>
  <c r="R51" i="1"/>
  <c r="J52" i="1"/>
  <c r="R52" i="1"/>
  <c r="R53" i="1"/>
  <c r="J54" i="1"/>
  <c r="R54" i="1"/>
  <c r="J55" i="1"/>
  <c r="R55" i="1"/>
  <c r="J31" i="1"/>
  <c r="R31" i="1"/>
  <c r="J32" i="1"/>
  <c r="R32" i="1"/>
  <c r="J33" i="1"/>
  <c r="R33" i="1"/>
  <c r="J34" i="1"/>
  <c r="R34" i="1"/>
  <c r="J35" i="1"/>
  <c r="R35" i="1"/>
  <c r="J36" i="1"/>
  <c r="R36" i="1"/>
  <c r="J37" i="1"/>
  <c r="R37" i="1"/>
  <c r="J38" i="1"/>
  <c r="R38" i="1"/>
  <c r="J39" i="1"/>
  <c r="R39" i="1"/>
  <c r="J40" i="1"/>
  <c r="R40" i="1"/>
  <c r="J41" i="1"/>
  <c r="R41" i="1"/>
  <c r="J42" i="1"/>
  <c r="R42" i="1"/>
  <c r="J21" i="1"/>
  <c r="R21" i="1"/>
  <c r="J22" i="1"/>
  <c r="R22" i="1"/>
  <c r="J23" i="1"/>
  <c r="R23" i="1"/>
  <c r="J24" i="1"/>
  <c r="R24" i="1"/>
  <c r="J25" i="1"/>
  <c r="R25" i="1"/>
  <c r="J26" i="1"/>
  <c r="R26" i="1"/>
  <c r="J27" i="1"/>
  <c r="R27" i="1"/>
  <c r="J28" i="1"/>
  <c r="R28" i="1"/>
  <c r="J29" i="1"/>
  <c r="R29" i="1"/>
  <c r="J30" i="1"/>
  <c r="R30" i="1"/>
  <c r="J9" i="1"/>
  <c r="R9" i="1"/>
  <c r="J10" i="1"/>
  <c r="R10" i="1"/>
  <c r="J11" i="1"/>
  <c r="R11" i="1"/>
  <c r="J12" i="1"/>
  <c r="R12" i="1"/>
  <c r="J13" i="1"/>
  <c r="R13" i="1"/>
  <c r="J14" i="1"/>
  <c r="R14" i="1"/>
  <c r="J15" i="1"/>
  <c r="R15" i="1"/>
  <c r="J16" i="1"/>
  <c r="R16" i="1"/>
  <c r="J17" i="1"/>
  <c r="R17" i="1"/>
  <c r="J18" i="1"/>
  <c r="R18" i="1"/>
  <c r="J19" i="1"/>
  <c r="R19" i="1"/>
  <c r="J20" i="1"/>
  <c r="R20" i="1"/>
  <c r="R8" i="1"/>
  <c r="J8" i="1"/>
  <c r="R7" i="1"/>
  <c r="R6" i="1"/>
  <c r="G6" i="1"/>
  <c r="F6" i="1"/>
  <c r="K6" i="1"/>
  <c r="J7" i="1"/>
  <c r="G7" i="1"/>
  <c r="F7" i="1"/>
  <c r="I7" i="1"/>
  <c r="G8" i="1"/>
  <c r="F8" i="1"/>
  <c r="I8" i="1"/>
  <c r="G9" i="1"/>
  <c r="F9" i="1"/>
  <c r="I9" i="1"/>
  <c r="G10" i="1"/>
  <c r="F10" i="1"/>
  <c r="I10" i="1"/>
  <c r="G11" i="1"/>
  <c r="F11" i="1"/>
  <c r="I11" i="1"/>
  <c r="G12" i="1"/>
  <c r="F12" i="1"/>
  <c r="I12" i="1"/>
  <c r="G13" i="1"/>
  <c r="F13" i="1"/>
  <c r="I13" i="1"/>
  <c r="G14" i="1"/>
  <c r="F14" i="1"/>
  <c r="I14" i="1"/>
  <c r="G15" i="1"/>
  <c r="F15" i="1"/>
  <c r="I15" i="1"/>
  <c r="G16" i="1"/>
  <c r="F16" i="1"/>
  <c r="I16" i="1"/>
  <c r="G17" i="1"/>
  <c r="F17" i="1"/>
  <c r="I17" i="1"/>
  <c r="G18" i="1"/>
  <c r="F18" i="1"/>
  <c r="I18" i="1"/>
  <c r="G19" i="1"/>
  <c r="F19" i="1"/>
  <c r="I19" i="1"/>
  <c r="G20" i="1"/>
  <c r="F20" i="1"/>
  <c r="I20" i="1"/>
  <c r="G21" i="1"/>
  <c r="F21" i="1"/>
  <c r="I21" i="1"/>
  <c r="G22" i="1"/>
  <c r="F22" i="1"/>
  <c r="I22" i="1"/>
  <c r="G23" i="1"/>
  <c r="F23" i="1"/>
  <c r="I23" i="1"/>
  <c r="G24" i="1"/>
  <c r="F24" i="1"/>
  <c r="I24" i="1"/>
  <c r="G25" i="1"/>
  <c r="F25" i="1"/>
  <c r="I25" i="1"/>
  <c r="G26" i="1"/>
  <c r="F26" i="1"/>
  <c r="I26" i="1"/>
  <c r="G27" i="1"/>
  <c r="F27" i="1"/>
  <c r="I27" i="1"/>
  <c r="G28" i="1"/>
  <c r="F28" i="1"/>
  <c r="I28" i="1"/>
  <c r="G29" i="1"/>
  <c r="F29" i="1"/>
  <c r="I29" i="1"/>
  <c r="G30" i="1"/>
  <c r="F30" i="1"/>
  <c r="I30" i="1"/>
  <c r="G31" i="1"/>
  <c r="F31" i="1"/>
  <c r="I31" i="1"/>
  <c r="G32" i="1"/>
  <c r="F32" i="1"/>
  <c r="I32" i="1"/>
  <c r="G33" i="1"/>
  <c r="F33" i="1"/>
  <c r="I33" i="1"/>
  <c r="G34" i="1"/>
  <c r="F34" i="1"/>
  <c r="I34" i="1"/>
  <c r="G35" i="1"/>
  <c r="F35" i="1"/>
  <c r="I35" i="1"/>
  <c r="G36" i="1"/>
  <c r="F36" i="1"/>
  <c r="I36" i="1"/>
  <c r="G37" i="1"/>
  <c r="F37" i="1"/>
  <c r="I37" i="1"/>
  <c r="G38" i="1"/>
  <c r="F38" i="1"/>
  <c r="I38" i="1"/>
  <c r="G39" i="1"/>
  <c r="F39" i="1"/>
  <c r="I39" i="1"/>
  <c r="G40" i="1"/>
  <c r="F40" i="1"/>
  <c r="I40" i="1"/>
  <c r="G41" i="1"/>
  <c r="F41" i="1"/>
  <c r="I41" i="1"/>
  <c r="G42" i="1"/>
  <c r="F42" i="1"/>
  <c r="I42" i="1"/>
  <c r="G43" i="1"/>
  <c r="F43" i="1"/>
  <c r="I43" i="1"/>
  <c r="G44" i="1"/>
  <c r="F44" i="1"/>
  <c r="I44" i="1"/>
  <c r="G45" i="1"/>
  <c r="F45" i="1"/>
  <c r="I45" i="1"/>
  <c r="G46" i="1"/>
  <c r="F46" i="1"/>
  <c r="I46" i="1"/>
  <c r="G47" i="1"/>
  <c r="F47" i="1"/>
  <c r="I47" i="1"/>
  <c r="G48" i="1"/>
  <c r="F48" i="1"/>
  <c r="I48" i="1"/>
  <c r="G49" i="1"/>
  <c r="F49" i="1"/>
  <c r="I49" i="1"/>
  <c r="G50" i="1"/>
  <c r="F50" i="1"/>
  <c r="I50" i="1"/>
  <c r="G51" i="1"/>
  <c r="F51" i="1"/>
  <c r="I51" i="1"/>
  <c r="G52" i="1"/>
  <c r="F52" i="1"/>
  <c r="I52" i="1"/>
  <c r="G53" i="1"/>
  <c r="F53" i="1"/>
  <c r="I53" i="1"/>
  <c r="G54" i="1"/>
  <c r="F54" i="1"/>
  <c r="I54" i="1"/>
  <c r="G55" i="1"/>
  <c r="F55" i="1"/>
  <c r="I55" i="1"/>
  <c r="G56" i="1"/>
  <c r="F56" i="1"/>
  <c r="I56" i="1"/>
  <c r="G57" i="1"/>
  <c r="F57" i="1"/>
  <c r="I57" i="1"/>
  <c r="G58" i="1"/>
  <c r="F58" i="1"/>
  <c r="I58" i="1"/>
  <c r="G59" i="1"/>
  <c r="F59" i="1"/>
  <c r="I59" i="1"/>
  <c r="G60" i="1"/>
  <c r="F60" i="1"/>
  <c r="I60" i="1"/>
  <c r="G61" i="1"/>
  <c r="F61" i="1"/>
  <c r="I61" i="1"/>
  <c r="G62" i="1"/>
  <c r="F62" i="1"/>
  <c r="I62" i="1"/>
  <c r="G63" i="1"/>
  <c r="F63" i="1"/>
  <c r="I63" i="1"/>
  <c r="G64" i="1"/>
  <c r="F64" i="1"/>
  <c r="I64" i="1"/>
  <c r="G65" i="1"/>
  <c r="F65" i="1"/>
  <c r="I65" i="1"/>
  <c r="G66" i="1"/>
  <c r="F66" i="1"/>
  <c r="I66" i="1"/>
  <c r="G67" i="1"/>
  <c r="F67" i="1"/>
  <c r="I67" i="1"/>
  <c r="G68" i="1"/>
  <c r="F68" i="1"/>
  <c r="I68" i="1"/>
  <c r="G69" i="1"/>
  <c r="F69" i="1"/>
  <c r="I69" i="1"/>
  <c r="G70" i="1"/>
  <c r="F70" i="1"/>
  <c r="I70" i="1"/>
  <c r="G71" i="1"/>
  <c r="F71" i="1"/>
  <c r="I71" i="1"/>
  <c r="G72" i="1"/>
  <c r="F72" i="1"/>
  <c r="I72" i="1"/>
  <c r="G73" i="1"/>
  <c r="F73" i="1"/>
  <c r="I73" i="1"/>
  <c r="G74" i="1"/>
  <c r="F74" i="1"/>
  <c r="I74" i="1"/>
  <c r="G75" i="1"/>
  <c r="F75" i="1"/>
  <c r="I75" i="1"/>
  <c r="G76" i="1"/>
  <c r="F76" i="1"/>
  <c r="I76" i="1"/>
  <c r="G77" i="1"/>
  <c r="F77" i="1"/>
  <c r="I77" i="1"/>
  <c r="G78" i="1"/>
  <c r="F78" i="1"/>
  <c r="I78" i="1"/>
  <c r="G79" i="1"/>
  <c r="F79" i="1"/>
  <c r="I79" i="1"/>
  <c r="G80" i="1"/>
  <c r="F80" i="1"/>
  <c r="I80" i="1"/>
  <c r="G81" i="1"/>
  <c r="F81" i="1"/>
  <c r="I81" i="1"/>
  <c r="G82" i="1"/>
  <c r="F82" i="1"/>
  <c r="I82" i="1"/>
  <c r="G83" i="1"/>
  <c r="F83" i="1"/>
  <c r="I83" i="1"/>
  <c r="G84" i="1"/>
  <c r="F84" i="1"/>
  <c r="I84" i="1"/>
  <c r="G85" i="1"/>
  <c r="F85" i="1"/>
  <c r="I85" i="1"/>
  <c r="G86" i="1"/>
  <c r="F86" i="1"/>
  <c r="I86" i="1"/>
  <c r="G87" i="1"/>
  <c r="F87" i="1"/>
  <c r="I87" i="1"/>
  <c r="G88" i="1"/>
  <c r="F88" i="1"/>
  <c r="I88" i="1"/>
  <c r="G89" i="1"/>
  <c r="F89" i="1"/>
  <c r="I89" i="1"/>
  <c r="G90" i="1"/>
  <c r="F90" i="1"/>
  <c r="I90" i="1"/>
  <c r="G91" i="1"/>
  <c r="F91" i="1"/>
  <c r="I91" i="1"/>
  <c r="G92" i="1"/>
  <c r="F92" i="1"/>
  <c r="I92" i="1"/>
  <c r="G93" i="1"/>
  <c r="F93" i="1"/>
  <c r="I93" i="1"/>
  <c r="G94" i="1"/>
  <c r="F94" i="1"/>
  <c r="I94" i="1"/>
  <c r="G95" i="1"/>
  <c r="F95" i="1"/>
  <c r="I95" i="1"/>
  <c r="G96" i="1"/>
  <c r="F96" i="1"/>
  <c r="I96" i="1"/>
  <c r="G97" i="1"/>
  <c r="F97" i="1"/>
  <c r="I97" i="1"/>
  <c r="G98" i="1"/>
  <c r="F98" i="1"/>
  <c r="I98" i="1"/>
  <c r="G99" i="1"/>
  <c r="F99" i="1"/>
  <c r="I99" i="1"/>
  <c r="G100" i="1"/>
  <c r="F100" i="1"/>
  <c r="I100" i="1"/>
  <c r="G101" i="1"/>
  <c r="F101" i="1"/>
  <c r="I101" i="1"/>
  <c r="G102" i="1"/>
  <c r="F102" i="1"/>
  <c r="I102" i="1"/>
  <c r="G103" i="1"/>
  <c r="F103" i="1"/>
  <c r="I103" i="1"/>
  <c r="G104" i="1"/>
  <c r="F104" i="1"/>
  <c r="I104" i="1"/>
  <c r="G105" i="1"/>
  <c r="F105" i="1"/>
  <c r="I105" i="1"/>
  <c r="G106" i="1"/>
  <c r="F106" i="1"/>
  <c r="I106" i="1"/>
  <c r="G107" i="1"/>
  <c r="F107" i="1"/>
  <c r="I107" i="1"/>
  <c r="G108" i="1"/>
  <c r="F108" i="1"/>
  <c r="I108" i="1"/>
  <c r="G109" i="1"/>
  <c r="F109" i="1"/>
  <c r="I109" i="1"/>
  <c r="G110" i="1"/>
  <c r="F110" i="1"/>
  <c r="I110" i="1"/>
  <c r="G111" i="1"/>
  <c r="F111" i="1"/>
  <c r="I111" i="1"/>
  <c r="G112" i="1"/>
  <c r="F112" i="1"/>
  <c r="I112" i="1"/>
  <c r="G113" i="1"/>
  <c r="F113" i="1"/>
  <c r="I113" i="1"/>
  <c r="G114" i="1"/>
  <c r="F114" i="1"/>
  <c r="I114" i="1"/>
  <c r="G115" i="1"/>
  <c r="F115" i="1"/>
  <c r="I115" i="1"/>
  <c r="G116" i="1"/>
  <c r="F116" i="1"/>
  <c r="I116" i="1"/>
  <c r="G117" i="1"/>
  <c r="F117" i="1"/>
  <c r="I117" i="1"/>
  <c r="G118" i="1"/>
  <c r="F118" i="1"/>
  <c r="I118" i="1"/>
  <c r="G119" i="1"/>
  <c r="F119" i="1"/>
  <c r="I119" i="1"/>
  <c r="G120" i="1"/>
  <c r="F120" i="1"/>
  <c r="I120" i="1"/>
  <c r="G121" i="1"/>
  <c r="F121" i="1"/>
  <c r="I121" i="1"/>
  <c r="G122" i="1"/>
  <c r="F122" i="1"/>
  <c r="I122" i="1"/>
  <c r="G123" i="1"/>
  <c r="F123" i="1"/>
  <c r="I123" i="1"/>
  <c r="G124" i="1"/>
  <c r="F124" i="1"/>
  <c r="I124" i="1"/>
  <c r="G125" i="1"/>
  <c r="F125" i="1"/>
  <c r="I125" i="1"/>
  <c r="G126" i="1"/>
  <c r="F126" i="1"/>
  <c r="I126" i="1"/>
  <c r="G127" i="1"/>
  <c r="F127" i="1"/>
  <c r="I127" i="1"/>
  <c r="G128" i="1"/>
  <c r="F128" i="1"/>
  <c r="I128" i="1"/>
  <c r="G129" i="1"/>
  <c r="F129" i="1"/>
  <c r="I129" i="1"/>
  <c r="G130" i="1"/>
  <c r="F130" i="1"/>
  <c r="I130" i="1"/>
  <c r="G131" i="1"/>
  <c r="F131" i="1"/>
  <c r="I131" i="1"/>
  <c r="G132" i="1"/>
  <c r="F132" i="1"/>
  <c r="I132" i="1"/>
  <c r="G133" i="1"/>
  <c r="F133" i="1"/>
  <c r="I133" i="1"/>
  <c r="G134" i="1"/>
  <c r="F134" i="1"/>
  <c r="I134" i="1"/>
  <c r="G135" i="1"/>
  <c r="F135" i="1"/>
  <c r="I135" i="1"/>
  <c r="G136" i="1"/>
  <c r="F136" i="1"/>
  <c r="I136" i="1"/>
  <c r="G137" i="1"/>
  <c r="F137" i="1"/>
  <c r="I137" i="1"/>
  <c r="G138" i="1"/>
  <c r="F138" i="1"/>
  <c r="I138" i="1"/>
  <c r="G139" i="1"/>
  <c r="F139" i="1"/>
  <c r="I139" i="1"/>
  <c r="G140" i="1"/>
  <c r="F140" i="1"/>
  <c r="I140" i="1"/>
  <c r="G141" i="1"/>
  <c r="F141" i="1"/>
  <c r="I141" i="1"/>
  <c r="G142" i="1"/>
  <c r="F142" i="1"/>
  <c r="I142" i="1"/>
  <c r="G143" i="1"/>
  <c r="F143" i="1"/>
  <c r="I143" i="1"/>
  <c r="G144" i="1"/>
  <c r="F144" i="1"/>
  <c r="I144" i="1"/>
  <c r="G145" i="1"/>
  <c r="F145" i="1"/>
  <c r="I145" i="1"/>
  <c r="G146" i="1"/>
  <c r="F146" i="1"/>
  <c r="I146" i="1"/>
  <c r="G147" i="1"/>
  <c r="F147" i="1"/>
  <c r="I147" i="1"/>
  <c r="G148" i="1"/>
  <c r="F148" i="1"/>
  <c r="I148" i="1"/>
  <c r="G149" i="1"/>
  <c r="F149" i="1"/>
  <c r="I149" i="1"/>
  <c r="G150" i="1"/>
  <c r="F150" i="1"/>
  <c r="I150" i="1"/>
  <c r="G151" i="1"/>
  <c r="F151" i="1"/>
  <c r="I151" i="1"/>
  <c r="G152" i="1"/>
  <c r="F152" i="1"/>
  <c r="I152" i="1"/>
  <c r="G153" i="1"/>
  <c r="F153" i="1"/>
  <c r="I153" i="1"/>
  <c r="G154" i="1"/>
  <c r="F154" i="1"/>
  <c r="I154" i="1"/>
  <c r="G155" i="1"/>
  <c r="F155" i="1"/>
  <c r="I155" i="1"/>
  <c r="G156" i="1"/>
  <c r="F156" i="1"/>
  <c r="I156" i="1"/>
  <c r="G157" i="1"/>
  <c r="F157" i="1"/>
  <c r="I157" i="1"/>
  <c r="G158" i="1"/>
  <c r="F158" i="1"/>
  <c r="I158" i="1"/>
  <c r="G159" i="1"/>
  <c r="F159" i="1"/>
  <c r="I159" i="1"/>
  <c r="G160" i="1"/>
  <c r="F160" i="1"/>
  <c r="I160" i="1"/>
  <c r="G161" i="1"/>
  <c r="F161" i="1"/>
  <c r="I161" i="1"/>
  <c r="G162" i="1"/>
  <c r="F162" i="1"/>
  <c r="I162" i="1"/>
  <c r="G163" i="1"/>
  <c r="F163" i="1"/>
  <c r="I163" i="1"/>
  <c r="G164" i="1"/>
  <c r="F164" i="1"/>
  <c r="I164" i="1"/>
  <c r="G165" i="1"/>
  <c r="F165" i="1"/>
  <c r="I165" i="1"/>
  <c r="G166" i="1"/>
  <c r="F166" i="1"/>
  <c r="I166" i="1"/>
  <c r="G167" i="1"/>
  <c r="F167" i="1"/>
  <c r="I167" i="1"/>
  <c r="G168" i="1"/>
  <c r="F168" i="1"/>
  <c r="I168" i="1"/>
  <c r="G169" i="1"/>
  <c r="F169" i="1"/>
  <c r="I169" i="1"/>
  <c r="G170" i="1"/>
  <c r="F170" i="1"/>
  <c r="I170" i="1"/>
  <c r="G171" i="1"/>
  <c r="F171" i="1"/>
  <c r="I171" i="1"/>
  <c r="G172" i="1"/>
  <c r="F172" i="1"/>
  <c r="I172" i="1"/>
  <c r="G173" i="1"/>
  <c r="F173" i="1"/>
  <c r="I173" i="1"/>
  <c r="G174" i="1"/>
  <c r="F174" i="1"/>
  <c r="I174" i="1"/>
  <c r="G175" i="1"/>
  <c r="F175" i="1"/>
  <c r="I175" i="1"/>
  <c r="G176" i="1"/>
  <c r="F176" i="1"/>
  <c r="I176" i="1"/>
  <c r="G177" i="1"/>
  <c r="F177" i="1"/>
  <c r="I177" i="1"/>
  <c r="G178" i="1"/>
  <c r="F178" i="1"/>
  <c r="I178" i="1"/>
  <c r="G179" i="1"/>
  <c r="F179" i="1"/>
  <c r="I179" i="1"/>
  <c r="G180" i="1"/>
  <c r="F180" i="1"/>
  <c r="I180" i="1"/>
  <c r="G181" i="1"/>
  <c r="F181" i="1"/>
  <c r="I181" i="1"/>
  <c r="G182" i="1"/>
  <c r="F182" i="1"/>
  <c r="I182" i="1"/>
  <c r="G183" i="1"/>
  <c r="F183" i="1"/>
  <c r="I183" i="1"/>
  <c r="G184" i="1"/>
  <c r="F184" i="1"/>
  <c r="I184" i="1"/>
  <c r="G185" i="1"/>
  <c r="F185" i="1"/>
  <c r="I185" i="1"/>
  <c r="G186" i="1"/>
  <c r="F186" i="1"/>
  <c r="I186" i="1"/>
  <c r="G187" i="1"/>
  <c r="F187" i="1"/>
  <c r="I187" i="1"/>
  <c r="G188" i="1"/>
  <c r="F188" i="1"/>
  <c r="I188" i="1"/>
  <c r="G189" i="1"/>
  <c r="F189" i="1"/>
  <c r="I189" i="1"/>
  <c r="G190" i="1"/>
  <c r="F190" i="1"/>
  <c r="I190" i="1"/>
  <c r="G191" i="1"/>
  <c r="F191" i="1"/>
  <c r="I191" i="1"/>
  <c r="G192" i="1"/>
  <c r="F192" i="1"/>
  <c r="I192" i="1"/>
  <c r="G193" i="1"/>
  <c r="F193" i="1"/>
  <c r="I193" i="1"/>
  <c r="G194" i="1"/>
  <c r="F194" i="1"/>
  <c r="I194" i="1"/>
  <c r="G195" i="1"/>
  <c r="F195" i="1"/>
  <c r="I195" i="1"/>
  <c r="G196" i="1"/>
  <c r="F196" i="1"/>
  <c r="I196" i="1"/>
  <c r="G197" i="1"/>
  <c r="F197" i="1"/>
  <c r="I197" i="1"/>
  <c r="G198" i="1"/>
  <c r="F198" i="1"/>
  <c r="I198" i="1"/>
  <c r="G199" i="1"/>
  <c r="F199" i="1"/>
  <c r="I199" i="1"/>
  <c r="G200" i="1"/>
  <c r="F200" i="1"/>
  <c r="I200" i="1"/>
  <c r="G201" i="1"/>
  <c r="F201" i="1"/>
  <c r="I201" i="1"/>
  <c r="G202" i="1"/>
  <c r="F202" i="1"/>
  <c r="I202" i="1"/>
  <c r="G203" i="1"/>
  <c r="F203" i="1"/>
  <c r="I203" i="1"/>
  <c r="G204" i="1"/>
  <c r="F204" i="1"/>
  <c r="I204" i="1"/>
  <c r="G205" i="1"/>
  <c r="F205" i="1"/>
  <c r="I205" i="1"/>
  <c r="G206" i="1"/>
  <c r="F206" i="1"/>
  <c r="I206" i="1"/>
  <c r="G207" i="1"/>
  <c r="F207" i="1"/>
  <c r="I207" i="1"/>
  <c r="G208" i="1"/>
  <c r="F208" i="1"/>
  <c r="I208" i="1"/>
  <c r="G209" i="1"/>
  <c r="F209" i="1"/>
  <c r="I209" i="1"/>
  <c r="G210" i="1"/>
  <c r="F210" i="1"/>
  <c r="I210" i="1"/>
  <c r="G211" i="1"/>
  <c r="F211" i="1"/>
  <c r="I211" i="1"/>
  <c r="G212" i="1"/>
  <c r="F212" i="1"/>
  <c r="I212" i="1"/>
  <c r="G213" i="1"/>
  <c r="F213" i="1"/>
  <c r="I213" i="1"/>
  <c r="G214" i="1"/>
  <c r="F214" i="1"/>
  <c r="I214" i="1"/>
  <c r="G215" i="1"/>
  <c r="F215" i="1"/>
  <c r="I215" i="1"/>
  <c r="G216" i="1"/>
  <c r="F216" i="1"/>
  <c r="I216" i="1"/>
  <c r="G217" i="1"/>
  <c r="F217" i="1"/>
  <c r="I217" i="1"/>
  <c r="G218" i="1"/>
  <c r="F218" i="1"/>
  <c r="I218" i="1"/>
  <c r="G219" i="1"/>
  <c r="F219" i="1"/>
  <c r="I219" i="1"/>
  <c r="G220" i="1"/>
  <c r="F220" i="1"/>
  <c r="I220" i="1"/>
  <c r="G221" i="1"/>
  <c r="F221" i="1"/>
  <c r="I221" i="1"/>
  <c r="G222" i="1"/>
  <c r="F222" i="1"/>
  <c r="I222" i="1"/>
  <c r="G223" i="1"/>
  <c r="F223" i="1"/>
  <c r="I223" i="1"/>
  <c r="G224" i="1"/>
  <c r="F224" i="1"/>
  <c r="I224" i="1"/>
  <c r="G225" i="1"/>
  <c r="F225" i="1"/>
  <c r="I225" i="1"/>
  <c r="G226" i="1"/>
  <c r="F226" i="1"/>
  <c r="I226" i="1"/>
  <c r="G227" i="1"/>
  <c r="F227" i="1"/>
  <c r="I227" i="1"/>
  <c r="G228" i="1"/>
  <c r="F228" i="1"/>
  <c r="I228" i="1"/>
  <c r="G229" i="1"/>
  <c r="F229" i="1"/>
  <c r="I229" i="1"/>
  <c r="G230" i="1"/>
  <c r="F230" i="1"/>
  <c r="I230" i="1"/>
  <c r="G231" i="1"/>
  <c r="F231" i="1"/>
  <c r="I231" i="1"/>
  <c r="G232" i="1"/>
  <c r="F232" i="1"/>
  <c r="I232" i="1"/>
  <c r="G233" i="1"/>
  <c r="F233" i="1"/>
  <c r="I233" i="1"/>
  <c r="G234" i="1"/>
  <c r="F234" i="1"/>
  <c r="I234" i="1"/>
  <c r="G235" i="1"/>
  <c r="F235" i="1"/>
  <c r="I235" i="1"/>
  <c r="G236" i="1"/>
  <c r="F236" i="1"/>
  <c r="I236" i="1"/>
  <c r="G237" i="1"/>
  <c r="F237" i="1"/>
  <c r="I237" i="1"/>
  <c r="G238" i="1"/>
  <c r="F238" i="1"/>
  <c r="I238" i="1"/>
  <c r="G239" i="1"/>
  <c r="F239" i="1"/>
  <c r="I239" i="1"/>
  <c r="G240" i="1"/>
  <c r="F240" i="1"/>
  <c r="I240" i="1"/>
  <c r="G241" i="1"/>
  <c r="F241" i="1"/>
  <c r="I241" i="1"/>
  <c r="G242" i="1"/>
  <c r="F242" i="1"/>
  <c r="I242" i="1"/>
  <c r="G243" i="1"/>
  <c r="F243" i="1"/>
  <c r="I243" i="1"/>
  <c r="G244" i="1"/>
  <c r="F244" i="1"/>
  <c r="I244" i="1"/>
  <c r="G245" i="1"/>
  <c r="F245" i="1"/>
  <c r="I245" i="1"/>
  <c r="G246" i="1"/>
  <c r="F246" i="1"/>
  <c r="I246" i="1"/>
  <c r="G247" i="1"/>
  <c r="F247" i="1"/>
  <c r="I247" i="1"/>
  <c r="G248" i="1"/>
  <c r="F248" i="1"/>
  <c r="I248" i="1"/>
  <c r="G249" i="1"/>
  <c r="F249" i="1"/>
  <c r="I249" i="1"/>
  <c r="G250" i="1"/>
  <c r="F250" i="1"/>
  <c r="I250" i="1"/>
  <c r="G251" i="1"/>
  <c r="F251" i="1"/>
  <c r="I251" i="1"/>
  <c r="G252" i="1"/>
  <c r="F252" i="1"/>
  <c r="I252" i="1"/>
  <c r="G253" i="1"/>
  <c r="F253" i="1"/>
  <c r="I253" i="1"/>
  <c r="G254" i="1"/>
  <c r="F254" i="1"/>
  <c r="I254" i="1"/>
  <c r="G255" i="1"/>
  <c r="F255" i="1"/>
  <c r="I255" i="1"/>
  <c r="G256" i="1"/>
  <c r="F256" i="1"/>
  <c r="I256" i="1"/>
  <c r="G257" i="1"/>
  <c r="F257" i="1"/>
  <c r="I257" i="1"/>
  <c r="G258" i="1"/>
  <c r="F258" i="1"/>
  <c r="I258" i="1"/>
  <c r="G259" i="1"/>
  <c r="F259" i="1"/>
  <c r="I259" i="1"/>
  <c r="G260" i="1"/>
  <c r="F260" i="1"/>
  <c r="I260" i="1"/>
  <c r="G261" i="1"/>
  <c r="F261" i="1"/>
  <c r="I261" i="1"/>
  <c r="G262" i="1"/>
  <c r="F262" i="1"/>
  <c r="I262" i="1"/>
  <c r="G263" i="1"/>
  <c r="F263" i="1"/>
  <c r="I263" i="1"/>
  <c r="G264" i="1"/>
  <c r="F264" i="1"/>
  <c r="I264" i="1"/>
  <c r="G265" i="1"/>
  <c r="F265" i="1"/>
  <c r="I265" i="1"/>
  <c r="G266" i="1"/>
  <c r="F266" i="1"/>
  <c r="I266" i="1"/>
  <c r="G267" i="1"/>
  <c r="F267" i="1"/>
  <c r="I267" i="1"/>
  <c r="G268" i="1"/>
  <c r="F268" i="1"/>
  <c r="I268" i="1"/>
  <c r="G269" i="1"/>
  <c r="F269" i="1"/>
  <c r="I269" i="1"/>
  <c r="G270" i="1"/>
  <c r="F270" i="1"/>
  <c r="I270" i="1"/>
  <c r="G271" i="1"/>
  <c r="F271" i="1"/>
  <c r="I271" i="1"/>
  <c r="G272" i="1"/>
  <c r="F272" i="1"/>
  <c r="I272" i="1"/>
  <c r="G273" i="1"/>
  <c r="F273" i="1"/>
  <c r="I273" i="1"/>
  <c r="G274" i="1"/>
  <c r="F274" i="1"/>
  <c r="I274" i="1"/>
  <c r="G275" i="1"/>
  <c r="F275" i="1"/>
  <c r="I275" i="1"/>
  <c r="G276" i="1"/>
  <c r="F276" i="1"/>
  <c r="I276" i="1"/>
  <c r="G277" i="1"/>
  <c r="F277" i="1"/>
  <c r="I277" i="1"/>
  <c r="G278" i="1"/>
  <c r="F278" i="1"/>
  <c r="I278" i="1"/>
  <c r="G279" i="1"/>
  <c r="F279" i="1"/>
  <c r="I279" i="1"/>
  <c r="G280" i="1"/>
  <c r="F280" i="1"/>
  <c r="I280" i="1"/>
  <c r="G281" i="1"/>
  <c r="F281" i="1"/>
  <c r="I281" i="1"/>
  <c r="G282" i="1"/>
  <c r="F282" i="1"/>
  <c r="I282" i="1"/>
  <c r="G283" i="1"/>
  <c r="F283" i="1"/>
  <c r="I283" i="1"/>
  <c r="G284" i="1"/>
  <c r="F284" i="1"/>
  <c r="I284" i="1"/>
  <c r="G285" i="1"/>
  <c r="F285" i="1"/>
  <c r="I285" i="1"/>
  <c r="G286" i="1"/>
  <c r="F286" i="1"/>
  <c r="I286" i="1"/>
  <c r="G287" i="1"/>
  <c r="F287" i="1"/>
  <c r="I287" i="1"/>
  <c r="G288" i="1"/>
  <c r="F288" i="1"/>
  <c r="I288" i="1"/>
  <c r="G289" i="1"/>
  <c r="F289" i="1"/>
  <c r="I289" i="1"/>
  <c r="G290" i="1"/>
  <c r="F290" i="1"/>
  <c r="I290" i="1"/>
  <c r="G291" i="1"/>
  <c r="F291" i="1"/>
  <c r="I291" i="1"/>
  <c r="G292" i="1"/>
  <c r="F292" i="1"/>
  <c r="I292" i="1"/>
  <c r="G293" i="1"/>
  <c r="F293" i="1"/>
  <c r="I293" i="1"/>
  <c r="G294" i="1"/>
  <c r="F294" i="1"/>
  <c r="I294" i="1"/>
  <c r="G295" i="1"/>
  <c r="F295" i="1"/>
  <c r="I295" i="1"/>
  <c r="G296" i="1"/>
  <c r="F296" i="1"/>
  <c r="I296" i="1"/>
  <c r="G297" i="1"/>
  <c r="F297" i="1"/>
  <c r="I297" i="1"/>
  <c r="G298" i="1"/>
  <c r="F298" i="1"/>
  <c r="I298" i="1"/>
  <c r="G299" i="1"/>
  <c r="F299" i="1"/>
  <c r="I299" i="1"/>
  <c r="G300" i="1"/>
  <c r="F300" i="1"/>
  <c r="I300" i="1"/>
  <c r="G301" i="1"/>
  <c r="F301" i="1"/>
  <c r="I301" i="1"/>
  <c r="G302" i="1"/>
  <c r="F302" i="1"/>
  <c r="I302" i="1"/>
  <c r="G303" i="1"/>
  <c r="F303" i="1"/>
  <c r="I303" i="1"/>
  <c r="G304" i="1"/>
  <c r="F304" i="1"/>
  <c r="I304" i="1"/>
  <c r="G305" i="1"/>
  <c r="F305" i="1"/>
  <c r="I305" i="1"/>
  <c r="G306" i="1"/>
  <c r="F306" i="1"/>
  <c r="I306" i="1"/>
  <c r="G307" i="1"/>
  <c r="F307" i="1"/>
  <c r="I307" i="1"/>
  <c r="G308" i="1"/>
  <c r="F308" i="1"/>
  <c r="I308" i="1"/>
  <c r="G309" i="1"/>
  <c r="F309" i="1"/>
  <c r="I309" i="1"/>
  <c r="G310" i="1"/>
  <c r="F310" i="1"/>
  <c r="I310" i="1"/>
  <c r="G311" i="1"/>
  <c r="F311" i="1"/>
  <c r="I311" i="1"/>
  <c r="G312" i="1"/>
  <c r="F312" i="1"/>
  <c r="I312" i="1"/>
  <c r="G313" i="1"/>
  <c r="F313" i="1"/>
  <c r="I313" i="1"/>
  <c r="G314" i="1"/>
  <c r="F314" i="1"/>
  <c r="I314" i="1"/>
  <c r="G315" i="1"/>
  <c r="F315" i="1"/>
  <c r="I315" i="1"/>
  <c r="G316" i="1"/>
  <c r="F316" i="1"/>
  <c r="I316" i="1"/>
  <c r="G317" i="1"/>
  <c r="F317" i="1"/>
  <c r="I317" i="1"/>
  <c r="G318" i="1"/>
  <c r="F318" i="1"/>
  <c r="I318" i="1"/>
  <c r="G319" i="1"/>
  <c r="F319" i="1"/>
  <c r="I319" i="1"/>
  <c r="G320" i="1"/>
  <c r="F320" i="1"/>
  <c r="I320" i="1"/>
  <c r="G321" i="1"/>
  <c r="F321" i="1"/>
  <c r="I321" i="1"/>
  <c r="G322" i="1"/>
  <c r="F322" i="1"/>
  <c r="I322" i="1"/>
  <c r="G323" i="1"/>
  <c r="F323" i="1"/>
  <c r="I323" i="1"/>
  <c r="G324" i="1"/>
  <c r="F324" i="1"/>
  <c r="I324" i="1"/>
  <c r="G325" i="1"/>
  <c r="F325" i="1"/>
  <c r="I325" i="1"/>
  <c r="G326" i="1"/>
  <c r="F326" i="1"/>
  <c r="I326" i="1"/>
  <c r="G327" i="1"/>
  <c r="F327" i="1"/>
  <c r="I327" i="1"/>
  <c r="G328" i="1"/>
  <c r="F328" i="1"/>
  <c r="I328" i="1"/>
  <c r="G329" i="1"/>
  <c r="F329" i="1"/>
  <c r="I329" i="1"/>
  <c r="G330" i="1"/>
  <c r="F330" i="1"/>
  <c r="I330" i="1"/>
  <c r="G331" i="1"/>
  <c r="F331" i="1"/>
  <c r="I331" i="1"/>
  <c r="G332" i="1"/>
  <c r="F332" i="1"/>
  <c r="I332" i="1"/>
  <c r="G333" i="1"/>
  <c r="F333" i="1"/>
  <c r="I333" i="1"/>
  <c r="G334" i="1"/>
  <c r="F334" i="1"/>
  <c r="I334" i="1"/>
  <c r="G335" i="1"/>
  <c r="F335" i="1"/>
  <c r="I335" i="1"/>
  <c r="G336" i="1"/>
  <c r="F336" i="1"/>
  <c r="I336" i="1"/>
  <c r="G337" i="1"/>
  <c r="F337" i="1"/>
  <c r="I337" i="1"/>
  <c r="G338" i="1"/>
  <c r="F338" i="1"/>
  <c r="I338" i="1"/>
  <c r="G339" i="1"/>
  <c r="F339" i="1"/>
  <c r="I339" i="1"/>
  <c r="G340" i="1"/>
  <c r="F340" i="1"/>
  <c r="I340" i="1"/>
  <c r="G341" i="1"/>
  <c r="F341" i="1"/>
  <c r="I341" i="1"/>
  <c r="G342" i="1"/>
  <c r="F342" i="1"/>
  <c r="I342" i="1"/>
  <c r="G343" i="1"/>
  <c r="F343" i="1"/>
  <c r="I343" i="1"/>
  <c r="G344" i="1"/>
  <c r="F344" i="1"/>
  <c r="I344" i="1"/>
  <c r="G345" i="1"/>
  <c r="F345" i="1"/>
  <c r="I345" i="1"/>
  <c r="G346" i="1"/>
  <c r="F346" i="1"/>
  <c r="I346" i="1"/>
  <c r="G347" i="1"/>
  <c r="F347" i="1"/>
  <c r="I347" i="1"/>
  <c r="G348" i="1"/>
  <c r="F348" i="1"/>
  <c r="I348" i="1"/>
  <c r="G349" i="1"/>
  <c r="F349" i="1"/>
  <c r="I349" i="1"/>
  <c r="G350" i="1"/>
  <c r="F350" i="1"/>
  <c r="I350" i="1"/>
  <c r="G351" i="1"/>
  <c r="F351" i="1"/>
  <c r="I351" i="1"/>
  <c r="G352" i="1"/>
  <c r="F352" i="1"/>
  <c r="I352" i="1"/>
  <c r="G353" i="1"/>
  <c r="F353" i="1"/>
  <c r="I353" i="1"/>
  <c r="G354" i="1"/>
  <c r="F354" i="1"/>
  <c r="I354" i="1"/>
  <c r="G355" i="1"/>
  <c r="F355" i="1"/>
  <c r="I355" i="1"/>
  <c r="G356" i="1"/>
  <c r="F356" i="1"/>
  <c r="I356" i="1"/>
  <c r="G357" i="1"/>
  <c r="F357" i="1"/>
  <c r="I357" i="1"/>
  <c r="G358" i="1"/>
  <c r="F358" i="1"/>
  <c r="I358" i="1"/>
  <c r="G359" i="1"/>
  <c r="F359" i="1"/>
  <c r="I359" i="1"/>
  <c r="G360" i="1"/>
  <c r="F360" i="1"/>
  <c r="I360" i="1"/>
  <c r="G361" i="1"/>
  <c r="F361" i="1"/>
  <c r="I361" i="1"/>
  <c r="G362" i="1"/>
  <c r="F362" i="1"/>
  <c r="I362" i="1"/>
  <c r="G363" i="1"/>
  <c r="F363" i="1"/>
  <c r="I363" i="1"/>
  <c r="G364" i="1"/>
  <c r="F364" i="1"/>
  <c r="I364" i="1"/>
  <c r="G365" i="1"/>
  <c r="F365" i="1"/>
  <c r="I365" i="1"/>
  <c r="G366" i="1"/>
  <c r="F366" i="1"/>
  <c r="I366" i="1"/>
  <c r="G367" i="1"/>
  <c r="F367" i="1"/>
  <c r="I367" i="1"/>
  <c r="G368" i="1"/>
  <c r="F368" i="1"/>
  <c r="I368" i="1"/>
  <c r="G369" i="1"/>
  <c r="F369" i="1"/>
  <c r="I369" i="1"/>
  <c r="G370" i="1"/>
  <c r="F370" i="1"/>
  <c r="I370" i="1"/>
  <c r="G371" i="1"/>
  <c r="F371" i="1"/>
  <c r="I371" i="1"/>
  <c r="G372" i="1"/>
  <c r="F372" i="1"/>
  <c r="I372" i="1"/>
  <c r="G373" i="1"/>
  <c r="F373" i="1"/>
  <c r="I373" i="1"/>
  <c r="G374" i="1"/>
  <c r="F374" i="1"/>
  <c r="I374" i="1"/>
  <c r="G375" i="1"/>
  <c r="F375" i="1"/>
  <c r="I375" i="1"/>
  <c r="G376" i="1"/>
  <c r="F376" i="1"/>
  <c r="I376" i="1"/>
  <c r="G377" i="1"/>
  <c r="F377" i="1"/>
  <c r="I377" i="1"/>
  <c r="G378" i="1"/>
  <c r="F378" i="1"/>
  <c r="I378" i="1"/>
  <c r="G379" i="1"/>
  <c r="F379" i="1"/>
  <c r="I379" i="1"/>
  <c r="G380" i="1"/>
  <c r="F380" i="1"/>
  <c r="I380" i="1"/>
  <c r="G381" i="1"/>
  <c r="F381" i="1"/>
  <c r="I381" i="1"/>
  <c r="G382" i="1"/>
  <c r="F382" i="1"/>
  <c r="I382" i="1"/>
  <c r="G383" i="1"/>
  <c r="F383" i="1"/>
  <c r="I383" i="1"/>
  <c r="G384" i="1"/>
  <c r="F384" i="1"/>
  <c r="I384" i="1"/>
  <c r="G385" i="1"/>
  <c r="F385" i="1"/>
  <c r="I385" i="1"/>
  <c r="G386" i="1"/>
  <c r="F386" i="1"/>
  <c r="I386" i="1"/>
  <c r="G387" i="1"/>
  <c r="F387" i="1"/>
  <c r="I387" i="1"/>
  <c r="G388" i="1"/>
  <c r="F388" i="1"/>
  <c r="I388" i="1"/>
  <c r="G389" i="1"/>
  <c r="F389" i="1"/>
  <c r="I389" i="1"/>
  <c r="G390" i="1"/>
  <c r="F390" i="1"/>
  <c r="I390" i="1"/>
  <c r="G391" i="1"/>
  <c r="F391" i="1"/>
  <c r="I391" i="1"/>
  <c r="G392" i="1"/>
  <c r="F392" i="1"/>
  <c r="I392" i="1"/>
  <c r="G393" i="1"/>
  <c r="F393" i="1"/>
  <c r="I393" i="1"/>
  <c r="G394" i="1"/>
  <c r="F394" i="1"/>
  <c r="I394" i="1"/>
  <c r="G395" i="1"/>
  <c r="F395" i="1"/>
  <c r="I395" i="1"/>
  <c r="G396" i="1"/>
  <c r="F396" i="1"/>
  <c r="I396" i="1"/>
  <c r="G397" i="1"/>
  <c r="F397" i="1"/>
  <c r="I397" i="1"/>
  <c r="G398" i="1"/>
  <c r="F398" i="1"/>
  <c r="I398" i="1"/>
  <c r="G399" i="1"/>
  <c r="F399" i="1"/>
  <c r="I399" i="1"/>
  <c r="G400" i="1"/>
  <c r="F400" i="1"/>
  <c r="I400" i="1"/>
  <c r="G401" i="1"/>
  <c r="F401" i="1"/>
  <c r="I401" i="1"/>
  <c r="G402" i="1"/>
  <c r="F402" i="1"/>
  <c r="I402" i="1"/>
  <c r="G403" i="1"/>
  <c r="F403" i="1"/>
  <c r="I403" i="1"/>
  <c r="G404" i="1"/>
  <c r="F404" i="1"/>
  <c r="I404" i="1"/>
  <c r="G405" i="1"/>
  <c r="F405" i="1"/>
  <c r="I405" i="1"/>
  <c r="G406" i="1"/>
  <c r="F406" i="1"/>
  <c r="I406" i="1"/>
  <c r="G407" i="1"/>
  <c r="F407" i="1"/>
  <c r="I407" i="1"/>
  <c r="G408" i="1"/>
  <c r="F408" i="1"/>
  <c r="I408" i="1"/>
  <c r="G409" i="1"/>
  <c r="F409" i="1"/>
  <c r="I409" i="1"/>
  <c r="G410" i="1"/>
  <c r="F410" i="1"/>
  <c r="I410" i="1"/>
  <c r="G411" i="1"/>
  <c r="F411" i="1"/>
  <c r="I411" i="1"/>
  <c r="G412" i="1"/>
  <c r="F412" i="1"/>
  <c r="I412" i="1"/>
  <c r="G413" i="1"/>
  <c r="F413" i="1"/>
  <c r="I413" i="1"/>
  <c r="G414" i="1"/>
  <c r="F414" i="1"/>
  <c r="I414" i="1"/>
  <c r="G415" i="1"/>
  <c r="F415" i="1"/>
  <c r="I415" i="1"/>
  <c r="G416" i="1"/>
  <c r="F416" i="1"/>
  <c r="I416" i="1"/>
  <c r="G417" i="1"/>
  <c r="F417" i="1"/>
  <c r="I417" i="1"/>
  <c r="G418" i="1"/>
  <c r="F418" i="1"/>
  <c r="I418" i="1"/>
  <c r="G419" i="1"/>
  <c r="F419" i="1"/>
  <c r="I419" i="1"/>
  <c r="G420" i="1"/>
  <c r="F420" i="1"/>
  <c r="I420" i="1"/>
  <c r="G421" i="1"/>
  <c r="F421" i="1"/>
  <c r="I421" i="1"/>
  <c r="G422" i="1"/>
  <c r="F422" i="1"/>
  <c r="I422" i="1"/>
  <c r="G423" i="1"/>
  <c r="F423" i="1"/>
  <c r="I423" i="1"/>
  <c r="G424" i="1"/>
  <c r="F424" i="1"/>
  <c r="I424" i="1"/>
  <c r="G425" i="1"/>
  <c r="F425" i="1"/>
  <c r="I425" i="1"/>
  <c r="G426" i="1"/>
  <c r="F426" i="1"/>
  <c r="I426" i="1"/>
  <c r="G427" i="1"/>
  <c r="F427" i="1"/>
  <c r="I427" i="1"/>
  <c r="G428" i="1"/>
  <c r="F428" i="1"/>
  <c r="I428" i="1"/>
  <c r="G429" i="1"/>
  <c r="F429" i="1"/>
  <c r="I429" i="1"/>
  <c r="G430" i="1"/>
  <c r="F430" i="1"/>
  <c r="I430" i="1"/>
  <c r="G431" i="1"/>
  <c r="F431" i="1"/>
  <c r="I431" i="1"/>
  <c r="G432" i="1"/>
  <c r="F432" i="1"/>
  <c r="I432" i="1"/>
  <c r="G433" i="1"/>
  <c r="F433" i="1"/>
  <c r="I433" i="1"/>
  <c r="G434" i="1"/>
  <c r="F434" i="1"/>
  <c r="I434" i="1"/>
  <c r="G435" i="1"/>
  <c r="F435" i="1"/>
  <c r="I435" i="1"/>
  <c r="G436" i="1"/>
  <c r="F436" i="1"/>
  <c r="I436" i="1"/>
  <c r="G437" i="1"/>
  <c r="F437" i="1"/>
  <c r="I437" i="1"/>
  <c r="G438" i="1"/>
  <c r="F438" i="1"/>
  <c r="I438" i="1"/>
  <c r="G439" i="1"/>
  <c r="F439" i="1"/>
  <c r="I439" i="1"/>
  <c r="G440" i="1"/>
  <c r="F440" i="1"/>
  <c r="I440" i="1"/>
  <c r="G441" i="1"/>
  <c r="F441" i="1"/>
  <c r="I441" i="1"/>
  <c r="G442" i="1"/>
  <c r="F442" i="1"/>
  <c r="I442" i="1"/>
  <c r="G443" i="1"/>
  <c r="F443" i="1"/>
  <c r="I443" i="1"/>
  <c r="G444" i="1"/>
  <c r="F444" i="1"/>
  <c r="I444" i="1"/>
  <c r="G445" i="1"/>
  <c r="F445" i="1"/>
  <c r="I445" i="1"/>
  <c r="G446" i="1"/>
  <c r="F446" i="1"/>
  <c r="I446" i="1"/>
  <c r="G447" i="1"/>
  <c r="F447" i="1"/>
  <c r="I447" i="1"/>
  <c r="G448" i="1"/>
  <c r="F448" i="1"/>
  <c r="I448" i="1"/>
  <c r="G449" i="1"/>
  <c r="F449" i="1"/>
  <c r="I449" i="1"/>
  <c r="G450" i="1"/>
  <c r="F450" i="1"/>
  <c r="I450" i="1"/>
  <c r="G451" i="1"/>
  <c r="F451" i="1"/>
  <c r="I451" i="1"/>
  <c r="G452" i="1"/>
  <c r="F452" i="1"/>
  <c r="I452" i="1"/>
  <c r="G453" i="1"/>
  <c r="F453" i="1"/>
  <c r="I453" i="1"/>
  <c r="G454" i="1"/>
  <c r="F454" i="1"/>
  <c r="I454" i="1"/>
  <c r="G455" i="1"/>
  <c r="F455" i="1"/>
  <c r="I455" i="1"/>
  <c r="G456" i="1"/>
  <c r="F456" i="1"/>
  <c r="I456" i="1"/>
  <c r="G457" i="1"/>
  <c r="F457" i="1"/>
  <c r="I457" i="1"/>
  <c r="G458" i="1"/>
  <c r="F458" i="1"/>
  <c r="I458" i="1"/>
  <c r="G459" i="1"/>
  <c r="F459" i="1"/>
  <c r="I459" i="1"/>
  <c r="G460" i="1"/>
  <c r="F460" i="1"/>
  <c r="I460" i="1"/>
  <c r="G461" i="1"/>
  <c r="F461" i="1"/>
  <c r="I461" i="1"/>
  <c r="G462" i="1"/>
  <c r="F462" i="1"/>
  <c r="I462" i="1"/>
  <c r="G463" i="1"/>
  <c r="F463" i="1"/>
  <c r="I463" i="1"/>
  <c r="G464" i="1"/>
  <c r="F464" i="1"/>
  <c r="I464" i="1"/>
  <c r="G465" i="1"/>
  <c r="F465" i="1"/>
  <c r="I465" i="1"/>
  <c r="G466" i="1"/>
  <c r="F466" i="1"/>
  <c r="I466" i="1"/>
  <c r="G467" i="1"/>
  <c r="F467" i="1"/>
  <c r="I467" i="1"/>
  <c r="G468" i="1"/>
  <c r="F468" i="1"/>
  <c r="I468" i="1"/>
  <c r="G469" i="1"/>
  <c r="F469" i="1"/>
  <c r="I469" i="1"/>
  <c r="G470" i="1"/>
  <c r="F470" i="1"/>
  <c r="I470" i="1"/>
  <c r="G471" i="1"/>
  <c r="F471" i="1"/>
  <c r="I471" i="1"/>
  <c r="G472" i="1"/>
  <c r="F472" i="1"/>
  <c r="I472" i="1"/>
  <c r="G473" i="1"/>
  <c r="F473" i="1"/>
  <c r="I473" i="1"/>
  <c r="G474" i="1"/>
  <c r="F474" i="1"/>
  <c r="I474" i="1"/>
  <c r="G475" i="1"/>
  <c r="F475" i="1"/>
  <c r="I475" i="1"/>
  <c r="G476" i="1"/>
  <c r="F476" i="1"/>
  <c r="I476" i="1"/>
  <c r="G477" i="1"/>
  <c r="F477" i="1"/>
  <c r="I477" i="1"/>
  <c r="G478" i="1"/>
  <c r="F478" i="1"/>
  <c r="I478" i="1"/>
  <c r="G479" i="1"/>
  <c r="F479" i="1"/>
  <c r="I479" i="1"/>
  <c r="G480" i="1"/>
  <c r="F480" i="1"/>
  <c r="I480" i="1"/>
  <c r="G481" i="1"/>
  <c r="F481" i="1"/>
  <c r="I481" i="1"/>
  <c r="G482" i="1"/>
  <c r="F482" i="1"/>
  <c r="I482" i="1"/>
  <c r="G483" i="1"/>
  <c r="F483" i="1"/>
  <c r="I483" i="1"/>
  <c r="G484" i="1"/>
  <c r="F484" i="1"/>
  <c r="I484" i="1"/>
  <c r="G485" i="1"/>
  <c r="F485" i="1"/>
  <c r="I485" i="1"/>
  <c r="G486" i="1"/>
  <c r="F486" i="1"/>
  <c r="I486" i="1"/>
  <c r="G487" i="1"/>
  <c r="F487" i="1"/>
  <c r="I487" i="1"/>
  <c r="G488" i="1"/>
  <c r="F488" i="1"/>
  <c r="I488" i="1"/>
  <c r="G489" i="1"/>
  <c r="F489" i="1"/>
  <c r="I489" i="1"/>
  <c r="G490" i="1"/>
  <c r="F490" i="1"/>
  <c r="I490" i="1"/>
  <c r="G491" i="1"/>
  <c r="F491" i="1"/>
  <c r="I491" i="1"/>
  <c r="G492" i="1"/>
  <c r="F492" i="1"/>
  <c r="I492" i="1"/>
  <c r="G493" i="1"/>
  <c r="F493" i="1"/>
  <c r="I493" i="1"/>
  <c r="G494" i="1"/>
  <c r="F494" i="1"/>
  <c r="I494" i="1"/>
  <c r="G495" i="1"/>
  <c r="F495" i="1"/>
  <c r="I495" i="1"/>
  <c r="G496" i="1"/>
  <c r="F496" i="1"/>
  <c r="I496" i="1"/>
  <c r="G497" i="1"/>
  <c r="F497" i="1"/>
  <c r="I497" i="1"/>
  <c r="G498" i="1"/>
  <c r="F498" i="1"/>
  <c r="I498" i="1"/>
  <c r="G499" i="1"/>
  <c r="F499" i="1"/>
  <c r="I499" i="1"/>
  <c r="G500" i="1"/>
  <c r="F500" i="1"/>
  <c r="I500" i="1"/>
  <c r="G501" i="1"/>
  <c r="F501" i="1"/>
  <c r="I501" i="1"/>
  <c r="G502" i="1"/>
  <c r="F502" i="1"/>
  <c r="I502" i="1"/>
  <c r="G503" i="1"/>
  <c r="F503" i="1"/>
  <c r="I503" i="1"/>
  <c r="G504" i="1"/>
  <c r="F504" i="1"/>
  <c r="I504" i="1"/>
  <c r="G505" i="1"/>
  <c r="F505" i="1"/>
  <c r="I505" i="1"/>
  <c r="G506" i="1"/>
  <c r="F506" i="1"/>
  <c r="I506" i="1"/>
  <c r="G507" i="1"/>
  <c r="F507" i="1"/>
  <c r="I507" i="1"/>
  <c r="G508" i="1"/>
  <c r="F508" i="1"/>
  <c r="I508" i="1"/>
  <c r="G509" i="1"/>
  <c r="F509" i="1"/>
  <c r="I509" i="1"/>
  <c r="G510" i="1"/>
  <c r="F510" i="1"/>
  <c r="I510" i="1"/>
  <c r="G511" i="1"/>
  <c r="F511" i="1"/>
  <c r="I511" i="1"/>
  <c r="G512" i="1"/>
  <c r="F512" i="1"/>
  <c r="I512" i="1"/>
  <c r="G513" i="1"/>
  <c r="F513" i="1"/>
  <c r="I513" i="1"/>
  <c r="G514" i="1"/>
  <c r="F514" i="1"/>
  <c r="I514" i="1"/>
  <c r="G515" i="1"/>
  <c r="F515" i="1"/>
  <c r="I515" i="1"/>
  <c r="G516" i="1"/>
  <c r="F516" i="1"/>
  <c r="I516" i="1"/>
  <c r="G517" i="1"/>
  <c r="F517" i="1"/>
  <c r="I517" i="1"/>
  <c r="G518" i="1"/>
  <c r="F518" i="1"/>
  <c r="I518" i="1"/>
  <c r="G519" i="1"/>
  <c r="F519" i="1"/>
  <c r="I519" i="1"/>
  <c r="G520" i="1"/>
  <c r="F520" i="1"/>
  <c r="I520" i="1"/>
  <c r="G521" i="1"/>
  <c r="F521" i="1"/>
  <c r="I521" i="1"/>
  <c r="G522" i="1"/>
  <c r="F522" i="1"/>
  <c r="I522" i="1"/>
  <c r="G523" i="1"/>
  <c r="F523" i="1"/>
  <c r="I523" i="1"/>
  <c r="G524" i="1"/>
  <c r="F524" i="1"/>
  <c r="I524" i="1"/>
  <c r="G525" i="1"/>
  <c r="F525" i="1"/>
  <c r="I525" i="1"/>
  <c r="G526" i="1"/>
  <c r="F526" i="1"/>
  <c r="I526" i="1"/>
  <c r="G527" i="1"/>
  <c r="F527" i="1"/>
  <c r="I527" i="1"/>
  <c r="G528" i="1"/>
  <c r="F528" i="1"/>
  <c r="I528" i="1"/>
  <c r="G529" i="1"/>
  <c r="F529" i="1"/>
  <c r="I529" i="1"/>
  <c r="G530" i="1"/>
  <c r="F530" i="1"/>
  <c r="I530" i="1"/>
  <c r="G531" i="1"/>
  <c r="F531" i="1"/>
  <c r="I531" i="1"/>
  <c r="G532" i="1"/>
  <c r="F532" i="1"/>
  <c r="I532" i="1"/>
  <c r="G533" i="1"/>
  <c r="F533" i="1"/>
  <c r="I533" i="1"/>
  <c r="G534" i="1"/>
  <c r="F534" i="1"/>
  <c r="I534" i="1"/>
  <c r="G535" i="1"/>
  <c r="F535" i="1"/>
  <c r="I535" i="1"/>
  <c r="G536" i="1"/>
  <c r="F536" i="1"/>
  <c r="I536" i="1"/>
  <c r="G537" i="1"/>
  <c r="F537" i="1"/>
  <c r="I537" i="1"/>
  <c r="G538" i="1"/>
  <c r="F538" i="1"/>
  <c r="I538" i="1"/>
  <c r="G539" i="1"/>
  <c r="F539" i="1"/>
  <c r="I539" i="1"/>
  <c r="G540" i="1"/>
  <c r="F540" i="1"/>
  <c r="I540" i="1"/>
  <c r="G541" i="1"/>
  <c r="F541" i="1"/>
  <c r="I541" i="1"/>
  <c r="G542" i="1"/>
  <c r="F542" i="1"/>
  <c r="I542" i="1"/>
  <c r="G543" i="1"/>
  <c r="F543" i="1"/>
  <c r="I543" i="1"/>
  <c r="G544" i="1"/>
  <c r="F544" i="1"/>
  <c r="I544" i="1"/>
  <c r="G545" i="1"/>
  <c r="F545" i="1"/>
  <c r="I545" i="1"/>
  <c r="G546" i="1"/>
  <c r="F546" i="1"/>
  <c r="I546" i="1"/>
  <c r="G547" i="1"/>
  <c r="F547" i="1"/>
  <c r="I547" i="1"/>
  <c r="G548" i="1"/>
  <c r="F548" i="1"/>
  <c r="I548" i="1"/>
  <c r="G549" i="1"/>
  <c r="F549" i="1"/>
  <c r="I549" i="1"/>
  <c r="G550" i="1"/>
  <c r="F550" i="1"/>
  <c r="I550" i="1"/>
  <c r="G551" i="1"/>
  <c r="F551" i="1"/>
  <c r="I551" i="1"/>
  <c r="G552" i="1"/>
  <c r="F552" i="1"/>
  <c r="I552" i="1"/>
  <c r="G553" i="1"/>
  <c r="F553" i="1"/>
  <c r="I553" i="1"/>
  <c r="G554" i="1"/>
  <c r="F554" i="1"/>
  <c r="I554" i="1"/>
  <c r="G555" i="1"/>
  <c r="F555" i="1"/>
  <c r="I555" i="1"/>
  <c r="G556" i="1"/>
  <c r="F556" i="1"/>
  <c r="I556" i="1"/>
  <c r="G557" i="1"/>
  <c r="F557" i="1"/>
  <c r="I557" i="1"/>
  <c r="G558" i="1"/>
  <c r="F558" i="1"/>
  <c r="I558" i="1"/>
  <c r="G559" i="1"/>
  <c r="F559" i="1"/>
  <c r="I559" i="1"/>
  <c r="G560" i="1"/>
  <c r="F560" i="1"/>
  <c r="I560" i="1"/>
  <c r="G561" i="1"/>
  <c r="F561" i="1"/>
  <c r="I561" i="1"/>
  <c r="G562" i="1"/>
  <c r="F562" i="1"/>
  <c r="I562" i="1"/>
  <c r="G563" i="1"/>
  <c r="F563" i="1"/>
  <c r="I563" i="1"/>
  <c r="G564" i="1"/>
  <c r="F564" i="1"/>
  <c r="I564" i="1"/>
  <c r="G565" i="1"/>
  <c r="F565" i="1"/>
  <c r="I565" i="1"/>
  <c r="G566" i="1"/>
  <c r="F566" i="1"/>
  <c r="I566" i="1"/>
  <c r="G567" i="1"/>
  <c r="F567" i="1"/>
  <c r="I567" i="1"/>
  <c r="G568" i="1"/>
  <c r="F568" i="1"/>
  <c r="I568" i="1"/>
  <c r="G569" i="1"/>
  <c r="F569" i="1"/>
  <c r="I569" i="1"/>
  <c r="G570" i="1"/>
  <c r="F570" i="1"/>
  <c r="I570" i="1"/>
  <c r="G571" i="1"/>
  <c r="F571" i="1"/>
  <c r="I571" i="1"/>
  <c r="G572" i="1"/>
  <c r="F572" i="1"/>
  <c r="I572" i="1"/>
  <c r="G573" i="1"/>
  <c r="F573" i="1"/>
  <c r="I573" i="1"/>
  <c r="G574" i="1"/>
  <c r="F574" i="1"/>
  <c r="I574" i="1"/>
  <c r="G575" i="1"/>
  <c r="F575" i="1"/>
  <c r="I575" i="1"/>
  <c r="G576" i="1"/>
  <c r="F576" i="1"/>
  <c r="I576" i="1"/>
  <c r="G577" i="1"/>
  <c r="F577" i="1"/>
  <c r="I577" i="1"/>
  <c r="G578" i="1"/>
  <c r="F578" i="1"/>
  <c r="I578" i="1"/>
  <c r="G579" i="1"/>
  <c r="F579" i="1"/>
  <c r="I579" i="1"/>
  <c r="G580" i="1"/>
  <c r="F580" i="1"/>
  <c r="I580" i="1"/>
  <c r="G581" i="1"/>
  <c r="F581" i="1"/>
  <c r="I581" i="1"/>
  <c r="G582" i="1"/>
  <c r="F582" i="1"/>
  <c r="I582" i="1"/>
  <c r="G583" i="1"/>
  <c r="F583" i="1"/>
  <c r="I583" i="1"/>
  <c r="G584" i="1"/>
  <c r="F584" i="1"/>
  <c r="I584" i="1"/>
  <c r="G585" i="1"/>
  <c r="F585" i="1"/>
  <c r="I585" i="1"/>
  <c r="G586" i="1"/>
  <c r="F586" i="1"/>
  <c r="I586" i="1"/>
  <c r="G587" i="1"/>
  <c r="F587" i="1"/>
  <c r="I587" i="1"/>
  <c r="G588" i="1"/>
  <c r="F588" i="1"/>
  <c r="I588" i="1"/>
  <c r="G589" i="1"/>
  <c r="F589" i="1"/>
  <c r="I589" i="1"/>
  <c r="G590" i="1"/>
  <c r="F590" i="1"/>
  <c r="I590" i="1"/>
  <c r="G591" i="1"/>
  <c r="F591" i="1"/>
  <c r="I591" i="1"/>
  <c r="G592" i="1"/>
  <c r="F592" i="1"/>
  <c r="I592" i="1"/>
  <c r="G593" i="1"/>
  <c r="F593" i="1"/>
  <c r="I593" i="1"/>
  <c r="G594" i="1"/>
  <c r="F594" i="1"/>
  <c r="I594" i="1"/>
  <c r="G595" i="1"/>
  <c r="F595" i="1"/>
  <c r="I595" i="1"/>
  <c r="G596" i="1"/>
  <c r="F596" i="1"/>
  <c r="I596" i="1"/>
  <c r="G597" i="1"/>
  <c r="F597" i="1"/>
  <c r="I597" i="1"/>
  <c r="G598" i="1"/>
  <c r="F598" i="1"/>
  <c r="I598" i="1"/>
  <c r="G599" i="1"/>
  <c r="F599" i="1"/>
  <c r="I599" i="1"/>
  <c r="G600" i="1"/>
  <c r="F600" i="1"/>
  <c r="I600" i="1"/>
  <c r="G601" i="1"/>
  <c r="F601" i="1"/>
  <c r="I601" i="1"/>
  <c r="G602" i="1"/>
  <c r="F602" i="1"/>
  <c r="I602" i="1"/>
  <c r="G603" i="1"/>
  <c r="F603" i="1"/>
  <c r="I603" i="1"/>
  <c r="G604" i="1"/>
  <c r="F604" i="1"/>
  <c r="I604" i="1"/>
  <c r="G605" i="1"/>
  <c r="F605" i="1"/>
  <c r="I605" i="1"/>
  <c r="G606" i="1"/>
  <c r="F606" i="1"/>
  <c r="I606" i="1"/>
  <c r="G607" i="1"/>
  <c r="F607" i="1"/>
  <c r="I607" i="1"/>
  <c r="G608" i="1"/>
  <c r="F608" i="1"/>
  <c r="I608" i="1"/>
  <c r="G609" i="1"/>
  <c r="F609" i="1"/>
  <c r="I609" i="1"/>
  <c r="G610" i="1"/>
  <c r="F610" i="1"/>
  <c r="I610" i="1"/>
  <c r="G611" i="1"/>
  <c r="F611" i="1"/>
  <c r="I611" i="1"/>
  <c r="G612" i="1"/>
  <c r="F612" i="1"/>
  <c r="I612" i="1"/>
  <c r="G613" i="1"/>
  <c r="F613" i="1"/>
  <c r="I613" i="1"/>
  <c r="G614" i="1"/>
  <c r="F614" i="1"/>
  <c r="I614" i="1"/>
  <c r="G615" i="1"/>
  <c r="F615" i="1"/>
  <c r="I615" i="1"/>
  <c r="G616" i="1"/>
  <c r="F616" i="1"/>
  <c r="I616" i="1"/>
  <c r="G617" i="1"/>
  <c r="F617" i="1"/>
  <c r="I617" i="1"/>
  <c r="G618" i="1"/>
  <c r="F618" i="1"/>
  <c r="I618" i="1"/>
  <c r="G619" i="1"/>
  <c r="F619" i="1"/>
  <c r="I619" i="1"/>
  <c r="G620" i="1"/>
  <c r="F620" i="1"/>
  <c r="I620" i="1"/>
  <c r="G621" i="1"/>
  <c r="F621" i="1"/>
  <c r="I621" i="1"/>
  <c r="G622" i="1"/>
  <c r="F622" i="1"/>
  <c r="I622" i="1"/>
  <c r="G623" i="1"/>
  <c r="F623" i="1"/>
  <c r="I623" i="1"/>
  <c r="G624" i="1"/>
  <c r="F624" i="1"/>
  <c r="I624" i="1"/>
  <c r="G625" i="1"/>
  <c r="F625" i="1"/>
  <c r="I625" i="1"/>
  <c r="G626" i="1"/>
  <c r="F626" i="1"/>
  <c r="I626" i="1"/>
  <c r="G627" i="1"/>
  <c r="F627" i="1"/>
  <c r="I627" i="1"/>
  <c r="G628" i="1"/>
  <c r="F628" i="1"/>
  <c r="I628" i="1"/>
  <c r="G629" i="1"/>
  <c r="F629" i="1"/>
  <c r="I629" i="1"/>
  <c r="G630" i="1"/>
  <c r="F630" i="1"/>
  <c r="I630" i="1"/>
  <c r="G631" i="1"/>
  <c r="F631" i="1"/>
  <c r="I631" i="1"/>
  <c r="G632" i="1"/>
  <c r="F632" i="1"/>
  <c r="I632" i="1"/>
  <c r="G633" i="1"/>
  <c r="F633" i="1"/>
  <c r="I633" i="1"/>
  <c r="G634" i="1"/>
  <c r="F634" i="1"/>
  <c r="I634" i="1"/>
  <c r="G635" i="1"/>
  <c r="F635" i="1"/>
  <c r="I635" i="1"/>
  <c r="G636" i="1"/>
  <c r="F636" i="1"/>
  <c r="I636" i="1"/>
  <c r="G637" i="1"/>
  <c r="F637" i="1"/>
  <c r="I637" i="1"/>
  <c r="G638" i="1"/>
  <c r="F638" i="1"/>
  <c r="I638" i="1"/>
  <c r="G639" i="1"/>
  <c r="F639" i="1"/>
  <c r="I639" i="1"/>
  <c r="G640" i="1"/>
  <c r="F640" i="1"/>
  <c r="I640" i="1"/>
  <c r="G641" i="1"/>
  <c r="F641" i="1"/>
  <c r="I641" i="1"/>
  <c r="G642" i="1"/>
  <c r="F642" i="1"/>
  <c r="I642" i="1"/>
  <c r="G643" i="1"/>
  <c r="F643" i="1"/>
  <c r="I643" i="1"/>
  <c r="G644" i="1"/>
  <c r="F644" i="1"/>
  <c r="I644" i="1"/>
  <c r="G645" i="1"/>
  <c r="F645" i="1"/>
  <c r="I645" i="1"/>
  <c r="G646" i="1"/>
  <c r="F646" i="1"/>
  <c r="I646" i="1"/>
  <c r="G647" i="1"/>
  <c r="F647" i="1"/>
  <c r="I647" i="1"/>
  <c r="G648" i="1"/>
  <c r="F648" i="1"/>
  <c r="I648" i="1"/>
  <c r="G649" i="1"/>
  <c r="F649" i="1"/>
  <c r="I649" i="1"/>
  <c r="G650" i="1"/>
  <c r="F650" i="1"/>
  <c r="I650" i="1"/>
  <c r="G651" i="1"/>
  <c r="F651" i="1"/>
  <c r="I651" i="1"/>
  <c r="G652" i="1"/>
  <c r="F652" i="1"/>
  <c r="I652" i="1"/>
  <c r="G653" i="1"/>
  <c r="F653" i="1"/>
  <c r="I653" i="1"/>
  <c r="G654" i="1"/>
  <c r="F654" i="1"/>
  <c r="I654" i="1"/>
  <c r="G655" i="1"/>
  <c r="F655" i="1"/>
  <c r="I655" i="1"/>
  <c r="G656" i="1"/>
  <c r="F656" i="1"/>
  <c r="I656" i="1"/>
  <c r="G657" i="1"/>
  <c r="F657" i="1"/>
  <c r="I657" i="1"/>
  <c r="G658" i="1"/>
  <c r="F658" i="1"/>
  <c r="I658" i="1"/>
  <c r="G659" i="1"/>
  <c r="F659" i="1"/>
  <c r="I659" i="1"/>
  <c r="G660" i="1"/>
  <c r="F660" i="1"/>
  <c r="I660" i="1"/>
  <c r="G661" i="1"/>
  <c r="F661" i="1"/>
  <c r="I661" i="1"/>
  <c r="G662" i="1"/>
  <c r="F662" i="1"/>
  <c r="I662" i="1"/>
  <c r="G663" i="1"/>
  <c r="F663" i="1"/>
  <c r="I663" i="1"/>
  <c r="G664" i="1"/>
  <c r="F664" i="1"/>
  <c r="I664" i="1"/>
  <c r="G665" i="1"/>
  <c r="F665" i="1"/>
  <c r="I665" i="1"/>
  <c r="G666" i="1"/>
  <c r="F666" i="1"/>
  <c r="I666" i="1"/>
  <c r="G667" i="1"/>
  <c r="F667" i="1"/>
  <c r="I667" i="1"/>
  <c r="G668" i="1"/>
  <c r="F668" i="1"/>
  <c r="I668" i="1"/>
  <c r="G669" i="1"/>
  <c r="F669" i="1"/>
  <c r="I669" i="1"/>
  <c r="G670" i="1"/>
  <c r="F670" i="1"/>
  <c r="I670" i="1"/>
  <c r="G671" i="1"/>
  <c r="F671" i="1"/>
  <c r="I671" i="1"/>
  <c r="G672" i="1"/>
  <c r="F672" i="1"/>
  <c r="I672" i="1"/>
  <c r="G673" i="1"/>
  <c r="F673" i="1"/>
  <c r="I673" i="1"/>
  <c r="G674" i="1"/>
  <c r="F674" i="1"/>
  <c r="I674" i="1"/>
  <c r="G675" i="1"/>
  <c r="F675" i="1"/>
  <c r="I675" i="1"/>
  <c r="G676" i="1"/>
  <c r="F676" i="1"/>
  <c r="I676" i="1"/>
  <c r="G677" i="1"/>
  <c r="F677" i="1"/>
  <c r="I677" i="1"/>
  <c r="G678" i="1"/>
  <c r="F678" i="1"/>
  <c r="I678" i="1"/>
  <c r="G679" i="1"/>
  <c r="F679" i="1"/>
  <c r="I679" i="1"/>
  <c r="G680" i="1"/>
  <c r="F680" i="1"/>
  <c r="I680" i="1"/>
  <c r="G681" i="1"/>
  <c r="F681" i="1"/>
  <c r="I681" i="1"/>
  <c r="G682" i="1"/>
  <c r="F682" i="1"/>
  <c r="I682" i="1"/>
  <c r="G683" i="1"/>
  <c r="F683" i="1"/>
  <c r="I683" i="1"/>
  <c r="G684" i="1"/>
  <c r="F684" i="1"/>
  <c r="I684" i="1"/>
  <c r="G685" i="1"/>
  <c r="F685" i="1"/>
  <c r="I685" i="1"/>
  <c r="G686" i="1"/>
  <c r="F686" i="1"/>
  <c r="I686" i="1"/>
  <c r="G687" i="1"/>
  <c r="F687" i="1"/>
  <c r="I687" i="1"/>
  <c r="G688" i="1"/>
  <c r="F688" i="1"/>
  <c r="I688" i="1"/>
  <c r="G689" i="1"/>
  <c r="F689" i="1"/>
  <c r="I689" i="1"/>
  <c r="G690" i="1"/>
  <c r="F690" i="1"/>
  <c r="I690" i="1"/>
  <c r="G691" i="1"/>
  <c r="F691" i="1"/>
  <c r="I691" i="1"/>
  <c r="G692" i="1"/>
  <c r="F692" i="1"/>
  <c r="I692" i="1"/>
  <c r="G693" i="1"/>
  <c r="F693" i="1"/>
  <c r="I693" i="1"/>
  <c r="G694" i="1"/>
  <c r="F694" i="1"/>
  <c r="I694" i="1"/>
  <c r="G695" i="1"/>
  <c r="F695" i="1"/>
  <c r="I695" i="1"/>
  <c r="G696" i="1"/>
  <c r="F696" i="1"/>
  <c r="I696" i="1"/>
  <c r="G697" i="1"/>
  <c r="F697" i="1"/>
  <c r="I697" i="1"/>
  <c r="G698" i="1"/>
  <c r="F698" i="1"/>
  <c r="I698" i="1"/>
  <c r="G699" i="1"/>
  <c r="F699" i="1"/>
  <c r="I699" i="1"/>
  <c r="G700" i="1"/>
  <c r="F700" i="1"/>
  <c r="I700" i="1"/>
  <c r="G701" i="1"/>
  <c r="F701" i="1"/>
  <c r="I701" i="1"/>
  <c r="G702" i="1"/>
  <c r="F702" i="1"/>
  <c r="I702" i="1"/>
  <c r="G703" i="1"/>
  <c r="F703" i="1"/>
  <c r="I703" i="1"/>
  <c r="G704" i="1"/>
  <c r="F704" i="1"/>
  <c r="I704" i="1"/>
  <c r="G705" i="1"/>
  <c r="F705" i="1"/>
  <c r="I705" i="1"/>
  <c r="G706" i="1"/>
  <c r="F706" i="1"/>
  <c r="I706" i="1"/>
  <c r="G707" i="1"/>
  <c r="F707" i="1"/>
  <c r="I707" i="1"/>
  <c r="G708" i="1"/>
  <c r="F708" i="1"/>
  <c r="I708" i="1"/>
  <c r="G709" i="1"/>
  <c r="F709" i="1"/>
  <c r="I709" i="1"/>
  <c r="G710" i="1"/>
  <c r="F710" i="1"/>
  <c r="I710" i="1"/>
  <c r="G711" i="1"/>
  <c r="F711" i="1"/>
  <c r="I711" i="1"/>
  <c r="G712" i="1"/>
  <c r="F712" i="1"/>
  <c r="I712" i="1"/>
  <c r="G713" i="1"/>
  <c r="F713" i="1"/>
  <c r="I713" i="1"/>
  <c r="G714" i="1"/>
  <c r="F714" i="1"/>
  <c r="I714" i="1"/>
  <c r="G715" i="1"/>
  <c r="F715" i="1"/>
  <c r="I715" i="1"/>
  <c r="G716" i="1"/>
  <c r="F716" i="1"/>
  <c r="I716" i="1"/>
  <c r="G717" i="1"/>
  <c r="F717" i="1"/>
  <c r="I717" i="1"/>
  <c r="G718" i="1"/>
  <c r="F718" i="1"/>
  <c r="I718" i="1"/>
  <c r="G719" i="1"/>
  <c r="F719" i="1"/>
  <c r="I719" i="1"/>
  <c r="G720" i="1"/>
  <c r="F720" i="1"/>
  <c r="I720" i="1"/>
  <c r="G721" i="1"/>
  <c r="F721" i="1"/>
  <c r="I721" i="1"/>
  <c r="G722" i="1"/>
  <c r="F722" i="1"/>
  <c r="I722" i="1"/>
  <c r="G723" i="1"/>
  <c r="F723" i="1"/>
  <c r="I723" i="1"/>
  <c r="G724" i="1"/>
  <c r="F724" i="1"/>
  <c r="I724" i="1"/>
  <c r="G725" i="1"/>
  <c r="F725" i="1"/>
  <c r="I725" i="1"/>
  <c r="G726" i="1"/>
  <c r="F726" i="1"/>
  <c r="I726" i="1"/>
  <c r="G727" i="1"/>
  <c r="F727" i="1"/>
  <c r="I727" i="1"/>
  <c r="G728" i="1"/>
  <c r="F728" i="1"/>
  <c r="I728" i="1"/>
  <c r="G729" i="1"/>
  <c r="F729" i="1"/>
  <c r="I729" i="1"/>
  <c r="G730" i="1"/>
  <c r="F730" i="1"/>
  <c r="I730" i="1"/>
  <c r="G731" i="1"/>
  <c r="F731" i="1"/>
  <c r="I731" i="1"/>
  <c r="G732" i="1"/>
  <c r="F732" i="1"/>
  <c r="I732" i="1"/>
  <c r="G733" i="1"/>
  <c r="F733" i="1"/>
  <c r="I733" i="1"/>
  <c r="G734" i="1"/>
  <c r="F734" i="1"/>
  <c r="I734" i="1"/>
  <c r="G735" i="1"/>
  <c r="F735" i="1"/>
  <c r="I735" i="1"/>
  <c r="G736" i="1"/>
  <c r="F736" i="1"/>
  <c r="I736" i="1"/>
  <c r="G737" i="1"/>
  <c r="F737" i="1"/>
  <c r="I737" i="1"/>
  <c r="G738" i="1"/>
  <c r="F738" i="1"/>
  <c r="I738" i="1"/>
  <c r="G739" i="1"/>
  <c r="F739" i="1"/>
  <c r="I739" i="1"/>
  <c r="G740" i="1"/>
  <c r="F740" i="1"/>
  <c r="I740" i="1"/>
  <c r="G741" i="1"/>
  <c r="F741" i="1"/>
  <c r="I741" i="1"/>
  <c r="G742" i="1"/>
  <c r="F742" i="1"/>
  <c r="I742" i="1"/>
  <c r="G743" i="1"/>
  <c r="F743" i="1"/>
  <c r="I743" i="1"/>
  <c r="G744" i="1"/>
  <c r="F744" i="1"/>
  <c r="I744" i="1"/>
  <c r="G745" i="1"/>
  <c r="F745" i="1"/>
  <c r="I745" i="1"/>
  <c r="G746" i="1"/>
  <c r="F746" i="1"/>
  <c r="I746" i="1"/>
  <c r="G747" i="1"/>
  <c r="F747" i="1"/>
  <c r="I747" i="1"/>
  <c r="G748" i="1"/>
  <c r="F748" i="1"/>
  <c r="I748" i="1"/>
  <c r="G749" i="1"/>
  <c r="F749" i="1"/>
  <c r="I749" i="1"/>
  <c r="G750" i="1"/>
  <c r="F750" i="1"/>
  <c r="I750" i="1"/>
  <c r="G751" i="1"/>
  <c r="F751" i="1"/>
  <c r="I751" i="1"/>
  <c r="G752" i="1"/>
  <c r="F752" i="1"/>
  <c r="I752" i="1"/>
  <c r="G753" i="1"/>
  <c r="F753" i="1"/>
  <c r="I753" i="1"/>
  <c r="G754" i="1"/>
  <c r="F754" i="1"/>
  <c r="I754" i="1"/>
  <c r="G755" i="1"/>
  <c r="F755" i="1"/>
  <c r="I755" i="1"/>
  <c r="G756" i="1"/>
  <c r="F756" i="1"/>
  <c r="I756" i="1"/>
  <c r="G757" i="1"/>
  <c r="F757" i="1"/>
  <c r="I757" i="1"/>
  <c r="G758" i="1"/>
  <c r="F758" i="1"/>
  <c r="I758" i="1"/>
  <c r="G759" i="1"/>
  <c r="F759" i="1"/>
  <c r="I759" i="1"/>
  <c r="G760" i="1"/>
  <c r="F760" i="1"/>
  <c r="I760" i="1"/>
  <c r="G761" i="1"/>
  <c r="F761" i="1"/>
  <c r="I761" i="1"/>
  <c r="G762" i="1"/>
  <c r="F762" i="1"/>
  <c r="I762" i="1"/>
  <c r="G763" i="1"/>
  <c r="F763" i="1"/>
  <c r="I763" i="1"/>
  <c r="G764" i="1"/>
  <c r="F764" i="1"/>
  <c r="I764" i="1"/>
  <c r="G765" i="1"/>
  <c r="F765" i="1"/>
  <c r="I765" i="1"/>
  <c r="G766" i="1"/>
  <c r="F766" i="1"/>
  <c r="I766" i="1"/>
  <c r="G767" i="1"/>
  <c r="F767" i="1"/>
  <c r="I767" i="1"/>
  <c r="G768" i="1"/>
  <c r="F768" i="1"/>
  <c r="I768" i="1"/>
  <c r="G769" i="1"/>
  <c r="F769" i="1"/>
  <c r="I769" i="1"/>
  <c r="G770" i="1"/>
  <c r="F770" i="1"/>
  <c r="I770" i="1"/>
  <c r="G771" i="1"/>
  <c r="F771" i="1"/>
  <c r="I771" i="1"/>
  <c r="G772" i="1"/>
  <c r="F772" i="1"/>
  <c r="I772" i="1"/>
  <c r="G773" i="1"/>
  <c r="F773" i="1"/>
  <c r="I773" i="1"/>
  <c r="G774" i="1"/>
  <c r="F774" i="1"/>
  <c r="I774" i="1"/>
  <c r="G775" i="1"/>
  <c r="F775" i="1"/>
  <c r="I775" i="1"/>
  <c r="G776" i="1"/>
  <c r="F776" i="1"/>
  <c r="I776" i="1"/>
  <c r="G777" i="1"/>
  <c r="F777" i="1"/>
  <c r="I777" i="1"/>
  <c r="G778" i="1"/>
  <c r="F778" i="1"/>
  <c r="I778" i="1"/>
  <c r="G779" i="1"/>
  <c r="F779" i="1"/>
  <c r="I779" i="1"/>
  <c r="G780" i="1"/>
  <c r="F780" i="1"/>
  <c r="I780" i="1"/>
  <c r="G781" i="1"/>
  <c r="F781" i="1"/>
  <c r="I781" i="1"/>
  <c r="G782" i="1"/>
  <c r="F782" i="1"/>
  <c r="I782" i="1"/>
  <c r="G783" i="1"/>
  <c r="F783" i="1"/>
  <c r="I783" i="1"/>
  <c r="G784" i="1"/>
  <c r="F784" i="1"/>
  <c r="I784" i="1"/>
  <c r="G785" i="1"/>
  <c r="F785" i="1"/>
  <c r="I785" i="1"/>
  <c r="G786" i="1"/>
  <c r="F786" i="1"/>
  <c r="I786" i="1"/>
  <c r="G787" i="1"/>
  <c r="F787" i="1"/>
  <c r="I787" i="1"/>
  <c r="G788" i="1"/>
  <c r="F788" i="1"/>
  <c r="I788" i="1"/>
  <c r="G789" i="1"/>
  <c r="F789" i="1"/>
  <c r="I789" i="1"/>
  <c r="G790" i="1"/>
  <c r="F790" i="1"/>
  <c r="I790" i="1"/>
  <c r="G791" i="1"/>
  <c r="F791" i="1"/>
  <c r="I791" i="1"/>
  <c r="G792" i="1"/>
  <c r="F792" i="1"/>
  <c r="I792" i="1"/>
  <c r="G793" i="1"/>
  <c r="F793" i="1"/>
  <c r="I793" i="1"/>
  <c r="G794" i="1"/>
  <c r="F794" i="1"/>
  <c r="I794" i="1"/>
  <c r="G795" i="1"/>
  <c r="F795" i="1"/>
  <c r="I795" i="1"/>
  <c r="G796" i="1"/>
  <c r="F796" i="1"/>
  <c r="I796" i="1"/>
  <c r="G797" i="1"/>
  <c r="F797" i="1"/>
  <c r="I797" i="1"/>
  <c r="G798" i="1"/>
  <c r="F798" i="1"/>
  <c r="I798" i="1"/>
  <c r="G799" i="1"/>
  <c r="F799" i="1"/>
  <c r="I799" i="1"/>
  <c r="G800" i="1"/>
  <c r="F800" i="1"/>
  <c r="I800" i="1"/>
  <c r="G801" i="1"/>
  <c r="F801" i="1"/>
  <c r="I801" i="1"/>
  <c r="G802" i="1"/>
  <c r="F802" i="1"/>
  <c r="I802" i="1"/>
  <c r="G803" i="1"/>
  <c r="F803" i="1"/>
  <c r="I803" i="1"/>
  <c r="G804" i="1"/>
  <c r="F804" i="1"/>
  <c r="I804" i="1"/>
  <c r="G805" i="1"/>
  <c r="F805" i="1"/>
  <c r="I805" i="1"/>
  <c r="G806" i="1"/>
  <c r="F806" i="1"/>
  <c r="I806" i="1"/>
  <c r="G807" i="1"/>
  <c r="F807" i="1"/>
  <c r="I807" i="1"/>
  <c r="G808" i="1"/>
  <c r="F808" i="1"/>
  <c r="I808" i="1"/>
  <c r="G809" i="1"/>
  <c r="F809" i="1"/>
  <c r="I809" i="1"/>
  <c r="G810" i="1"/>
  <c r="F810" i="1"/>
  <c r="I810" i="1"/>
  <c r="G811" i="1"/>
  <c r="F811" i="1"/>
  <c r="I811" i="1"/>
  <c r="G812" i="1"/>
  <c r="F812" i="1"/>
  <c r="I812" i="1"/>
  <c r="G813" i="1"/>
  <c r="F813" i="1"/>
  <c r="I813" i="1"/>
  <c r="G814" i="1"/>
  <c r="F814" i="1"/>
  <c r="I814" i="1"/>
  <c r="G815" i="1"/>
  <c r="F815" i="1"/>
  <c r="I815" i="1"/>
  <c r="G816" i="1"/>
  <c r="F816" i="1"/>
  <c r="I816" i="1"/>
  <c r="G817" i="1"/>
  <c r="F817" i="1"/>
  <c r="I817" i="1"/>
  <c r="G818" i="1"/>
  <c r="F818" i="1"/>
  <c r="I818" i="1"/>
  <c r="G819" i="1"/>
  <c r="F819" i="1"/>
  <c r="I819" i="1"/>
  <c r="G820" i="1"/>
  <c r="F820" i="1"/>
  <c r="I820" i="1"/>
  <c r="G821" i="1"/>
  <c r="F821" i="1"/>
  <c r="I821" i="1"/>
  <c r="G822" i="1"/>
  <c r="F822" i="1"/>
  <c r="I822" i="1"/>
  <c r="G823" i="1"/>
  <c r="F823" i="1"/>
  <c r="I823" i="1"/>
  <c r="G824" i="1"/>
  <c r="F824" i="1"/>
  <c r="I824" i="1"/>
  <c r="G825" i="1"/>
  <c r="F825" i="1"/>
  <c r="I825" i="1"/>
  <c r="G826" i="1"/>
  <c r="F826" i="1"/>
  <c r="I826" i="1"/>
  <c r="G827" i="1"/>
  <c r="F827" i="1"/>
  <c r="I827" i="1"/>
  <c r="G828" i="1"/>
  <c r="F828" i="1"/>
  <c r="I828" i="1"/>
  <c r="G829" i="1"/>
  <c r="F829" i="1"/>
  <c r="I829" i="1"/>
  <c r="G830" i="1"/>
  <c r="F830" i="1"/>
  <c r="I830" i="1"/>
  <c r="G831" i="1"/>
  <c r="F831" i="1"/>
  <c r="I831" i="1"/>
  <c r="G832" i="1"/>
  <c r="F832" i="1"/>
  <c r="I832" i="1"/>
  <c r="G833" i="1"/>
  <c r="F833" i="1"/>
  <c r="I833" i="1"/>
  <c r="G834" i="1"/>
  <c r="F834" i="1"/>
  <c r="I834" i="1"/>
  <c r="G835" i="1"/>
  <c r="F835" i="1"/>
  <c r="I835" i="1"/>
  <c r="G836" i="1"/>
  <c r="F836" i="1"/>
  <c r="I836" i="1"/>
  <c r="G837" i="1"/>
  <c r="F837" i="1"/>
  <c r="I837" i="1"/>
  <c r="G838" i="1"/>
  <c r="F838" i="1"/>
  <c r="I838" i="1"/>
  <c r="G839" i="1"/>
  <c r="F839" i="1"/>
  <c r="I839" i="1"/>
  <c r="G840" i="1"/>
  <c r="F840" i="1"/>
  <c r="I840" i="1"/>
  <c r="G841" i="1"/>
  <c r="F841" i="1"/>
  <c r="I841" i="1"/>
  <c r="G842" i="1"/>
  <c r="F842" i="1"/>
  <c r="I842" i="1"/>
  <c r="G843" i="1"/>
  <c r="F843" i="1"/>
  <c r="I843" i="1"/>
  <c r="G844" i="1"/>
  <c r="F844" i="1"/>
  <c r="I844" i="1"/>
  <c r="G845" i="1"/>
  <c r="F845" i="1"/>
  <c r="I845" i="1"/>
  <c r="G846" i="1"/>
  <c r="F846" i="1"/>
  <c r="I846" i="1"/>
  <c r="G847" i="1"/>
  <c r="F847" i="1"/>
  <c r="I847" i="1"/>
  <c r="G848" i="1"/>
  <c r="F848" i="1"/>
  <c r="I848" i="1"/>
  <c r="G849" i="1"/>
  <c r="F849" i="1"/>
  <c r="I849" i="1"/>
  <c r="G850" i="1"/>
  <c r="F850" i="1"/>
  <c r="I850" i="1"/>
  <c r="G851" i="1"/>
  <c r="F851" i="1"/>
  <c r="I851" i="1"/>
  <c r="G852" i="1"/>
  <c r="F852" i="1"/>
  <c r="I852" i="1"/>
  <c r="G853" i="1"/>
  <c r="F853" i="1"/>
  <c r="I853" i="1"/>
  <c r="G854" i="1"/>
  <c r="F854" i="1"/>
  <c r="I854" i="1"/>
  <c r="G855" i="1"/>
  <c r="F855" i="1"/>
  <c r="I855" i="1"/>
  <c r="G856" i="1"/>
  <c r="F856" i="1"/>
  <c r="I856" i="1"/>
  <c r="G857" i="1"/>
  <c r="F857" i="1"/>
  <c r="I857" i="1"/>
  <c r="G858" i="1"/>
  <c r="F858" i="1"/>
  <c r="I858" i="1"/>
  <c r="G859" i="1"/>
  <c r="F859" i="1"/>
  <c r="I859" i="1"/>
  <c r="G860" i="1"/>
  <c r="F860" i="1"/>
  <c r="I860" i="1"/>
  <c r="G861" i="1"/>
  <c r="F861" i="1"/>
  <c r="I861" i="1"/>
  <c r="G862" i="1"/>
  <c r="F862" i="1"/>
  <c r="I862" i="1"/>
  <c r="G863" i="1"/>
  <c r="F863" i="1"/>
  <c r="I863" i="1"/>
  <c r="G864" i="1"/>
  <c r="F864" i="1"/>
  <c r="I864" i="1"/>
  <c r="G865" i="1"/>
  <c r="F865" i="1"/>
  <c r="I865" i="1"/>
  <c r="G866" i="1"/>
  <c r="F866" i="1"/>
  <c r="I866" i="1"/>
  <c r="G867" i="1"/>
  <c r="F867" i="1"/>
  <c r="I867" i="1"/>
  <c r="G868" i="1"/>
  <c r="F868" i="1"/>
  <c r="I868" i="1"/>
  <c r="G869" i="1"/>
  <c r="F869" i="1"/>
  <c r="I869" i="1"/>
  <c r="G870" i="1"/>
  <c r="F870" i="1"/>
  <c r="I870" i="1"/>
  <c r="G871" i="1"/>
  <c r="F871" i="1"/>
  <c r="I871" i="1"/>
  <c r="G872" i="1"/>
  <c r="F872" i="1"/>
  <c r="I872" i="1"/>
  <c r="G873" i="1"/>
  <c r="F873" i="1"/>
  <c r="I873" i="1"/>
  <c r="G874" i="1"/>
  <c r="F874" i="1"/>
  <c r="I874" i="1"/>
  <c r="G875" i="1"/>
  <c r="F875" i="1"/>
  <c r="I875" i="1"/>
  <c r="G876" i="1"/>
  <c r="F876" i="1"/>
  <c r="I876" i="1"/>
  <c r="G877" i="1"/>
  <c r="F877" i="1"/>
  <c r="I877" i="1"/>
  <c r="G878" i="1"/>
  <c r="F878" i="1"/>
  <c r="I878" i="1"/>
  <c r="G879" i="1"/>
  <c r="F879" i="1"/>
  <c r="I879" i="1"/>
  <c r="G880" i="1"/>
  <c r="F880" i="1"/>
  <c r="I880" i="1"/>
  <c r="G881" i="1"/>
  <c r="F881" i="1"/>
  <c r="I881" i="1"/>
  <c r="G882" i="1"/>
  <c r="F882" i="1"/>
  <c r="I882" i="1"/>
  <c r="G883" i="1"/>
  <c r="F883" i="1"/>
  <c r="I883" i="1"/>
  <c r="G884" i="1"/>
  <c r="F884" i="1"/>
  <c r="I884" i="1"/>
  <c r="G885" i="1"/>
  <c r="F885" i="1"/>
  <c r="I885" i="1"/>
  <c r="G886" i="1"/>
  <c r="F886" i="1"/>
  <c r="I886" i="1"/>
  <c r="G887" i="1"/>
  <c r="F887" i="1"/>
  <c r="I887" i="1"/>
  <c r="G888" i="1"/>
  <c r="F888" i="1"/>
  <c r="I888" i="1"/>
  <c r="G889" i="1"/>
  <c r="F889" i="1"/>
  <c r="I889" i="1"/>
  <c r="G890" i="1"/>
  <c r="F890" i="1"/>
  <c r="I890" i="1"/>
  <c r="G891" i="1"/>
  <c r="F891" i="1"/>
  <c r="I891" i="1"/>
  <c r="G892" i="1"/>
  <c r="F892" i="1"/>
  <c r="I892" i="1"/>
  <c r="G893" i="1"/>
  <c r="F893" i="1"/>
  <c r="I893" i="1"/>
  <c r="G894" i="1"/>
  <c r="F894" i="1"/>
  <c r="I894" i="1"/>
  <c r="G895" i="1"/>
  <c r="F895" i="1"/>
  <c r="I895" i="1"/>
  <c r="G896" i="1"/>
  <c r="F896" i="1"/>
  <c r="I896" i="1"/>
  <c r="G897" i="1"/>
  <c r="F897" i="1"/>
  <c r="I897" i="1"/>
  <c r="G898" i="1"/>
  <c r="F898" i="1"/>
  <c r="I898" i="1"/>
  <c r="G899" i="1"/>
  <c r="F899" i="1"/>
  <c r="I899" i="1"/>
  <c r="G900" i="1"/>
  <c r="F900" i="1"/>
  <c r="I900" i="1"/>
  <c r="G901" i="1"/>
  <c r="F901" i="1"/>
  <c r="I901" i="1"/>
  <c r="G902" i="1"/>
  <c r="F902" i="1"/>
  <c r="I902" i="1"/>
  <c r="G903" i="1"/>
  <c r="F903" i="1"/>
  <c r="I903" i="1"/>
  <c r="G904" i="1"/>
  <c r="F904" i="1"/>
  <c r="I904" i="1"/>
  <c r="G905" i="1"/>
  <c r="F905" i="1"/>
  <c r="I905" i="1"/>
  <c r="G906" i="1"/>
  <c r="F906" i="1"/>
  <c r="I906" i="1"/>
  <c r="G907" i="1"/>
  <c r="F907" i="1"/>
  <c r="I907" i="1"/>
  <c r="G908" i="1"/>
  <c r="F908" i="1"/>
  <c r="I908" i="1"/>
  <c r="G909" i="1"/>
  <c r="F909" i="1"/>
  <c r="I909" i="1"/>
  <c r="G910" i="1"/>
  <c r="F910" i="1"/>
  <c r="I910" i="1"/>
  <c r="G911" i="1"/>
  <c r="F911" i="1"/>
  <c r="I911" i="1"/>
  <c r="G912" i="1"/>
  <c r="F912" i="1"/>
  <c r="I912" i="1"/>
  <c r="G913" i="1"/>
  <c r="F913" i="1"/>
  <c r="I913" i="1"/>
  <c r="G914" i="1"/>
  <c r="F914" i="1"/>
  <c r="I914" i="1"/>
  <c r="G915" i="1"/>
  <c r="F915" i="1"/>
  <c r="I915" i="1"/>
  <c r="G916" i="1"/>
  <c r="F916" i="1"/>
  <c r="I916" i="1"/>
  <c r="G917" i="1"/>
  <c r="F917" i="1"/>
  <c r="I917" i="1"/>
  <c r="G918" i="1"/>
  <c r="F918" i="1"/>
  <c r="I918" i="1"/>
  <c r="G919" i="1"/>
  <c r="F919" i="1"/>
  <c r="I919" i="1"/>
  <c r="G920" i="1"/>
  <c r="F920" i="1"/>
  <c r="I920" i="1"/>
  <c r="G921" i="1"/>
  <c r="F921" i="1"/>
  <c r="I921" i="1"/>
  <c r="G922" i="1"/>
  <c r="F922" i="1"/>
  <c r="I922" i="1"/>
  <c r="G923" i="1"/>
  <c r="F923" i="1"/>
  <c r="I923" i="1"/>
  <c r="G924" i="1"/>
  <c r="F924" i="1"/>
  <c r="I924" i="1"/>
  <c r="G925" i="1"/>
  <c r="F925" i="1"/>
  <c r="I925" i="1"/>
  <c r="G926" i="1"/>
  <c r="F926" i="1"/>
  <c r="I926" i="1"/>
  <c r="G927" i="1"/>
  <c r="F927" i="1"/>
  <c r="I927" i="1"/>
  <c r="G928" i="1"/>
  <c r="F928" i="1"/>
  <c r="I928" i="1"/>
  <c r="G929" i="1"/>
  <c r="F929" i="1"/>
  <c r="I929" i="1"/>
  <c r="G930" i="1"/>
  <c r="F930" i="1"/>
  <c r="I930" i="1"/>
  <c r="G931" i="1"/>
  <c r="F931" i="1"/>
  <c r="I931" i="1"/>
  <c r="G932" i="1"/>
  <c r="F932" i="1"/>
  <c r="I932" i="1"/>
  <c r="G933" i="1"/>
  <c r="F933" i="1"/>
  <c r="I933" i="1"/>
  <c r="G934" i="1"/>
  <c r="F934" i="1"/>
  <c r="I934" i="1"/>
  <c r="G935" i="1"/>
  <c r="F935" i="1"/>
  <c r="I935" i="1"/>
  <c r="G936" i="1"/>
  <c r="F936" i="1"/>
  <c r="I936" i="1"/>
  <c r="G937" i="1"/>
  <c r="F937" i="1"/>
  <c r="I937" i="1"/>
  <c r="G938" i="1"/>
  <c r="F938" i="1"/>
  <c r="I938" i="1"/>
  <c r="G939" i="1"/>
  <c r="F939" i="1"/>
  <c r="I939" i="1"/>
  <c r="G940" i="1"/>
  <c r="F940" i="1"/>
  <c r="I940" i="1"/>
  <c r="G941" i="1"/>
  <c r="F941" i="1"/>
  <c r="I941" i="1"/>
  <c r="G942" i="1"/>
  <c r="F942" i="1"/>
  <c r="I942" i="1"/>
  <c r="G943" i="1"/>
  <c r="F943" i="1"/>
  <c r="I943" i="1"/>
  <c r="G944" i="1"/>
  <c r="F944" i="1"/>
  <c r="I944" i="1"/>
  <c r="G945" i="1"/>
  <c r="F945" i="1"/>
  <c r="I945" i="1"/>
  <c r="G946" i="1"/>
  <c r="F946" i="1"/>
  <c r="I946" i="1"/>
  <c r="G947" i="1"/>
  <c r="F947" i="1"/>
  <c r="I947" i="1"/>
  <c r="G948" i="1"/>
  <c r="F948" i="1"/>
  <c r="I948" i="1"/>
  <c r="G949" i="1"/>
  <c r="F949" i="1"/>
  <c r="I949" i="1"/>
  <c r="G950" i="1"/>
  <c r="F950" i="1"/>
  <c r="I950" i="1"/>
  <c r="G951" i="1"/>
  <c r="F951" i="1"/>
  <c r="I951" i="1"/>
  <c r="G952" i="1"/>
  <c r="F952" i="1"/>
  <c r="I952" i="1"/>
  <c r="G953" i="1"/>
  <c r="F953" i="1"/>
  <c r="I953" i="1"/>
  <c r="G954" i="1"/>
  <c r="F954" i="1"/>
  <c r="I954" i="1"/>
  <c r="G955" i="1"/>
  <c r="F955" i="1"/>
  <c r="I955" i="1"/>
  <c r="G956" i="1"/>
  <c r="F956" i="1"/>
  <c r="I956" i="1"/>
  <c r="G957" i="1"/>
  <c r="F957" i="1"/>
  <c r="I957" i="1"/>
  <c r="G958" i="1"/>
  <c r="F958" i="1"/>
  <c r="I958" i="1"/>
  <c r="G959" i="1"/>
  <c r="F959" i="1"/>
  <c r="I959" i="1"/>
  <c r="G960" i="1"/>
  <c r="F960" i="1"/>
  <c r="I960" i="1"/>
  <c r="G961" i="1"/>
  <c r="F961" i="1"/>
  <c r="I961" i="1"/>
  <c r="G962" i="1"/>
  <c r="F962" i="1"/>
  <c r="I962" i="1"/>
  <c r="G963" i="1"/>
  <c r="F963" i="1"/>
  <c r="I963" i="1"/>
  <c r="G964" i="1"/>
  <c r="F964" i="1"/>
  <c r="I964" i="1"/>
  <c r="G965" i="1"/>
  <c r="F965" i="1"/>
  <c r="I965" i="1"/>
  <c r="G966" i="1"/>
  <c r="F966" i="1"/>
  <c r="I966" i="1"/>
  <c r="G967" i="1"/>
  <c r="F967" i="1"/>
  <c r="I967" i="1"/>
  <c r="G968" i="1"/>
  <c r="F968" i="1"/>
  <c r="I968" i="1"/>
  <c r="G969" i="1"/>
  <c r="F969" i="1"/>
  <c r="I969" i="1"/>
  <c r="G970" i="1"/>
  <c r="F970" i="1"/>
  <c r="I970" i="1"/>
  <c r="G971" i="1"/>
  <c r="F971" i="1"/>
  <c r="I971" i="1"/>
  <c r="G972" i="1"/>
  <c r="F972" i="1"/>
  <c r="I972" i="1"/>
  <c r="G973" i="1"/>
  <c r="F973" i="1"/>
  <c r="I973" i="1"/>
  <c r="G974" i="1"/>
  <c r="F974" i="1"/>
  <c r="I974" i="1"/>
  <c r="G975" i="1"/>
  <c r="F975" i="1"/>
  <c r="I975" i="1"/>
  <c r="G976" i="1"/>
  <c r="F976" i="1"/>
  <c r="I976" i="1"/>
  <c r="G977" i="1"/>
  <c r="F977" i="1"/>
  <c r="I977" i="1"/>
  <c r="G978" i="1"/>
  <c r="F978" i="1"/>
  <c r="I978" i="1"/>
  <c r="G979" i="1"/>
  <c r="F979" i="1"/>
  <c r="I979" i="1"/>
  <c r="G980" i="1"/>
  <c r="F980" i="1"/>
  <c r="I980" i="1"/>
  <c r="G981" i="1"/>
  <c r="F981" i="1"/>
  <c r="I981" i="1"/>
  <c r="G982" i="1"/>
  <c r="F982" i="1"/>
  <c r="I982" i="1"/>
  <c r="G983" i="1"/>
  <c r="F983" i="1"/>
  <c r="I983" i="1"/>
  <c r="G984" i="1"/>
  <c r="F984" i="1"/>
  <c r="I984" i="1"/>
  <c r="G985" i="1"/>
  <c r="F985" i="1"/>
  <c r="I985" i="1"/>
  <c r="G986" i="1"/>
  <c r="F986" i="1"/>
  <c r="I986" i="1"/>
  <c r="G987" i="1"/>
  <c r="F987" i="1"/>
  <c r="I987" i="1"/>
  <c r="G988" i="1"/>
  <c r="F988" i="1"/>
  <c r="I988" i="1"/>
  <c r="G989" i="1"/>
  <c r="F989" i="1"/>
  <c r="I989" i="1"/>
  <c r="G990" i="1"/>
  <c r="F990" i="1"/>
  <c r="I990" i="1"/>
  <c r="G991" i="1"/>
  <c r="F991" i="1"/>
  <c r="I991" i="1"/>
  <c r="G992" i="1"/>
  <c r="F992" i="1"/>
  <c r="I992" i="1"/>
  <c r="G993" i="1"/>
  <c r="F993" i="1"/>
  <c r="I993" i="1"/>
  <c r="G994" i="1"/>
  <c r="F994" i="1"/>
  <c r="I994" i="1"/>
  <c r="G995" i="1"/>
  <c r="F995" i="1"/>
  <c r="I995" i="1"/>
  <c r="G996" i="1"/>
  <c r="F996" i="1"/>
  <c r="I996" i="1"/>
  <c r="G997" i="1"/>
  <c r="F997" i="1"/>
  <c r="I997" i="1"/>
  <c r="G998" i="1"/>
  <c r="F998" i="1"/>
  <c r="I998" i="1"/>
  <c r="G999" i="1"/>
  <c r="F999" i="1"/>
  <c r="I999" i="1"/>
  <c r="G1000" i="1"/>
  <c r="F1000" i="1"/>
  <c r="I1000" i="1"/>
  <c r="G1001" i="1"/>
  <c r="F1001" i="1"/>
  <c r="I1001" i="1"/>
  <c r="G1002" i="1"/>
  <c r="F1002" i="1"/>
  <c r="I1002" i="1"/>
  <c r="G1003" i="1"/>
  <c r="F1003" i="1"/>
  <c r="I1003" i="1"/>
  <c r="G1004" i="1"/>
  <c r="F1004" i="1"/>
  <c r="I1004" i="1"/>
  <c r="G1005" i="1"/>
  <c r="F1005" i="1"/>
  <c r="I1005" i="1"/>
  <c r="G1006" i="1"/>
  <c r="F1006" i="1"/>
  <c r="I1006" i="1"/>
  <c r="G1007" i="1"/>
  <c r="F1007" i="1"/>
  <c r="I1007" i="1"/>
  <c r="G1008" i="1"/>
  <c r="F1008" i="1"/>
  <c r="I1008" i="1"/>
  <c r="G1009" i="1"/>
  <c r="F1009" i="1"/>
  <c r="I1009" i="1"/>
  <c r="G1010" i="1"/>
  <c r="F1010" i="1"/>
  <c r="I1010" i="1"/>
  <c r="G1011" i="1"/>
  <c r="F1011" i="1"/>
  <c r="I1011" i="1"/>
  <c r="G1012" i="1"/>
  <c r="F1012" i="1"/>
  <c r="I1012" i="1"/>
  <c r="G1013" i="1"/>
  <c r="F1013" i="1"/>
  <c r="I1013" i="1"/>
  <c r="G1014" i="1"/>
  <c r="F1014" i="1"/>
  <c r="I1014" i="1"/>
  <c r="G1015" i="1"/>
  <c r="F1015" i="1"/>
  <c r="I1015" i="1"/>
  <c r="G1016" i="1"/>
  <c r="F1016" i="1"/>
  <c r="I1016" i="1"/>
  <c r="G1017" i="1"/>
  <c r="F1017" i="1"/>
  <c r="I1017" i="1"/>
  <c r="G1018" i="1"/>
  <c r="F1018" i="1"/>
  <c r="I1018" i="1"/>
  <c r="G1019" i="1"/>
  <c r="F1019" i="1"/>
  <c r="I1019" i="1"/>
  <c r="G1020" i="1"/>
  <c r="F1020" i="1"/>
  <c r="I1020" i="1"/>
  <c r="G1021" i="1"/>
  <c r="F1021" i="1"/>
  <c r="I1021" i="1"/>
  <c r="G1022" i="1"/>
  <c r="F1022" i="1"/>
  <c r="I1022" i="1"/>
  <c r="G1023" i="1"/>
  <c r="F1023" i="1"/>
  <c r="I1023" i="1"/>
  <c r="G1024" i="1"/>
  <c r="F1024" i="1"/>
  <c r="I1024" i="1"/>
  <c r="G1025" i="1"/>
  <c r="F1025" i="1"/>
  <c r="I1025" i="1"/>
  <c r="G1026" i="1"/>
  <c r="F1026" i="1"/>
  <c r="I1026" i="1"/>
  <c r="G1027" i="1"/>
  <c r="F1027" i="1"/>
  <c r="I1027" i="1"/>
  <c r="G1028" i="1"/>
  <c r="F1028" i="1"/>
  <c r="I1028" i="1"/>
  <c r="G1029" i="1"/>
  <c r="F1029" i="1"/>
  <c r="I1029" i="1"/>
  <c r="G1030" i="1"/>
  <c r="F1030" i="1"/>
  <c r="I1030" i="1"/>
  <c r="G1031" i="1"/>
  <c r="F1031" i="1"/>
  <c r="I1031" i="1"/>
  <c r="G1032" i="1"/>
  <c r="F1032" i="1"/>
  <c r="I1032" i="1"/>
  <c r="G1033" i="1"/>
  <c r="F1033" i="1"/>
  <c r="I1033" i="1"/>
  <c r="G1034" i="1"/>
  <c r="F1034" i="1"/>
  <c r="I1034" i="1"/>
  <c r="G1035" i="1"/>
  <c r="F1035" i="1"/>
  <c r="I1035" i="1"/>
  <c r="G1036" i="1"/>
  <c r="F1036" i="1"/>
  <c r="I1036" i="1"/>
  <c r="G1037" i="1"/>
  <c r="F1037" i="1"/>
  <c r="I1037" i="1"/>
  <c r="G1038" i="1"/>
  <c r="F1038" i="1"/>
  <c r="I1038" i="1"/>
  <c r="G1039" i="1"/>
  <c r="F1039" i="1"/>
  <c r="I1039" i="1"/>
  <c r="G1040" i="1"/>
  <c r="F1040" i="1"/>
  <c r="I1040" i="1"/>
  <c r="G1041" i="1"/>
  <c r="F1041" i="1"/>
  <c r="I1041" i="1"/>
  <c r="G1042" i="1"/>
  <c r="F1042" i="1"/>
  <c r="I1042" i="1"/>
  <c r="G1043" i="1"/>
  <c r="F1043" i="1"/>
  <c r="I1043" i="1"/>
  <c r="G1044" i="1"/>
  <c r="F1044" i="1"/>
  <c r="I1044" i="1"/>
  <c r="G1045" i="1"/>
  <c r="F1045" i="1"/>
  <c r="I1045" i="1"/>
  <c r="G1046" i="1"/>
  <c r="F1046" i="1"/>
  <c r="I1046" i="1"/>
  <c r="G1047" i="1"/>
  <c r="F1047" i="1"/>
  <c r="I1047" i="1"/>
  <c r="G1048" i="1"/>
  <c r="F1048" i="1"/>
  <c r="I1048" i="1"/>
  <c r="G1049" i="1"/>
  <c r="F1049" i="1"/>
  <c r="I1049" i="1"/>
  <c r="G1050" i="1"/>
  <c r="F1050" i="1"/>
  <c r="I1050" i="1"/>
  <c r="G1051" i="1"/>
  <c r="F1051" i="1"/>
  <c r="I1051" i="1"/>
  <c r="G1052" i="1"/>
  <c r="F1052" i="1"/>
  <c r="I1052" i="1"/>
  <c r="G1053" i="1"/>
  <c r="F1053" i="1"/>
  <c r="I1053" i="1"/>
  <c r="G1054" i="1"/>
  <c r="F1054" i="1"/>
  <c r="I1054" i="1"/>
  <c r="G1055" i="1"/>
  <c r="F1055" i="1"/>
  <c r="I1055" i="1"/>
  <c r="G1056" i="1"/>
  <c r="F1056" i="1"/>
  <c r="I1056" i="1"/>
  <c r="G1057" i="1"/>
  <c r="F1057" i="1"/>
  <c r="I1057" i="1"/>
  <c r="G1058" i="1"/>
  <c r="F1058" i="1"/>
  <c r="I1058" i="1"/>
  <c r="G1059" i="1"/>
  <c r="F1059" i="1"/>
  <c r="I1059" i="1"/>
  <c r="G1060" i="1"/>
  <c r="F1060" i="1"/>
  <c r="I1060" i="1"/>
  <c r="G1061" i="1"/>
  <c r="F1061" i="1"/>
  <c r="I1061" i="1"/>
  <c r="G1062" i="1"/>
  <c r="F1062" i="1"/>
  <c r="I1062" i="1"/>
  <c r="G1063" i="1"/>
  <c r="F1063" i="1"/>
  <c r="I1063" i="1"/>
  <c r="G1064" i="1"/>
  <c r="F1064" i="1"/>
  <c r="I1064" i="1"/>
  <c r="G1065" i="1"/>
  <c r="F1065" i="1"/>
  <c r="I1065" i="1"/>
  <c r="G1066" i="1"/>
  <c r="F1066" i="1"/>
  <c r="I1066" i="1"/>
  <c r="G1067" i="1"/>
  <c r="F1067" i="1"/>
  <c r="I1067" i="1"/>
  <c r="G1068" i="1"/>
  <c r="F1068" i="1"/>
  <c r="I1068" i="1"/>
  <c r="G1069" i="1"/>
  <c r="F1069" i="1"/>
  <c r="I1069" i="1"/>
  <c r="G1070" i="1"/>
  <c r="F1070" i="1"/>
  <c r="I1070" i="1"/>
  <c r="G1071" i="1"/>
  <c r="F1071" i="1"/>
  <c r="I1071" i="1"/>
  <c r="G1072" i="1"/>
  <c r="F1072" i="1"/>
  <c r="I1072" i="1"/>
  <c r="G1073" i="1"/>
  <c r="F1073" i="1"/>
  <c r="I1073" i="1"/>
  <c r="G1074" i="1"/>
  <c r="F1074" i="1"/>
  <c r="I1074" i="1"/>
  <c r="G1075" i="1"/>
  <c r="F1075" i="1"/>
  <c r="I1075" i="1"/>
  <c r="G1076" i="1"/>
  <c r="F1076" i="1"/>
  <c r="I1076" i="1"/>
  <c r="G1077" i="1"/>
  <c r="F1077" i="1"/>
  <c r="I1077" i="1"/>
  <c r="G1078" i="1"/>
  <c r="F1078" i="1"/>
  <c r="I1078" i="1"/>
  <c r="G1079" i="1"/>
  <c r="F1079" i="1"/>
  <c r="I1079" i="1"/>
  <c r="G1080" i="1"/>
  <c r="F1080" i="1"/>
  <c r="I1080" i="1"/>
  <c r="G1081" i="1"/>
  <c r="F1081" i="1"/>
  <c r="I1081" i="1"/>
  <c r="G1082" i="1"/>
  <c r="F1082" i="1"/>
  <c r="I1082" i="1"/>
  <c r="G1083" i="1"/>
  <c r="F1083" i="1"/>
  <c r="I1083" i="1"/>
  <c r="G1084" i="1"/>
  <c r="F1084" i="1"/>
  <c r="I1084" i="1"/>
  <c r="G1085" i="1"/>
  <c r="F1085" i="1"/>
  <c r="I1085" i="1"/>
  <c r="G1086" i="1"/>
  <c r="F1086" i="1"/>
  <c r="I1086" i="1"/>
  <c r="G1087" i="1"/>
  <c r="F1087" i="1"/>
  <c r="I1087" i="1"/>
  <c r="G1088" i="1"/>
  <c r="F1088" i="1"/>
  <c r="I1088" i="1"/>
  <c r="G1089" i="1"/>
  <c r="F1089" i="1"/>
  <c r="I1089" i="1"/>
  <c r="G1090" i="1"/>
  <c r="F1090" i="1"/>
  <c r="I1090" i="1"/>
  <c r="G1091" i="1"/>
  <c r="F1091" i="1"/>
  <c r="I1091" i="1"/>
  <c r="G1092" i="1"/>
  <c r="F1092" i="1"/>
  <c r="I1092" i="1"/>
  <c r="G1093" i="1"/>
  <c r="F1093" i="1"/>
  <c r="I1093" i="1"/>
  <c r="G1094" i="1"/>
  <c r="F1094" i="1"/>
  <c r="I1094" i="1"/>
  <c r="G1095" i="1"/>
  <c r="F1095" i="1"/>
  <c r="I1095" i="1"/>
  <c r="G1096" i="1"/>
  <c r="F1096" i="1"/>
  <c r="I1096" i="1"/>
  <c r="G1097" i="1"/>
  <c r="F1097" i="1"/>
  <c r="I1097" i="1"/>
  <c r="G1098" i="1"/>
  <c r="F1098" i="1"/>
  <c r="I1098" i="1"/>
  <c r="G1099" i="1"/>
  <c r="F1099" i="1"/>
  <c r="I1099" i="1"/>
  <c r="G1100" i="1"/>
  <c r="F1100" i="1"/>
  <c r="I1100" i="1"/>
  <c r="G1101" i="1"/>
  <c r="F1101" i="1"/>
  <c r="I1101" i="1"/>
  <c r="G1102" i="1"/>
  <c r="F1102" i="1"/>
  <c r="I1102" i="1"/>
  <c r="G1103" i="1"/>
  <c r="F1103" i="1"/>
  <c r="I1103" i="1"/>
  <c r="G1104" i="1"/>
  <c r="F1104" i="1"/>
  <c r="I1104" i="1"/>
  <c r="G1105" i="1"/>
  <c r="F1105" i="1"/>
  <c r="I1105" i="1"/>
  <c r="G1106" i="1"/>
  <c r="F1106" i="1"/>
  <c r="I1106" i="1"/>
  <c r="G1107" i="1"/>
  <c r="F1107" i="1"/>
  <c r="I1107" i="1"/>
  <c r="G1108" i="1"/>
  <c r="F1108" i="1"/>
  <c r="I1108" i="1"/>
  <c r="G1109" i="1"/>
  <c r="F1109" i="1"/>
  <c r="I1109" i="1"/>
  <c r="G1110" i="1"/>
  <c r="F1110" i="1"/>
  <c r="I1110" i="1"/>
  <c r="G1111" i="1"/>
  <c r="F1111" i="1"/>
  <c r="I1111" i="1"/>
  <c r="G1112" i="1"/>
  <c r="F1112" i="1"/>
  <c r="I1112" i="1"/>
  <c r="G1113" i="1"/>
  <c r="F1113" i="1"/>
  <c r="I1113" i="1"/>
  <c r="G1114" i="1"/>
  <c r="F1114" i="1"/>
  <c r="I1114" i="1"/>
  <c r="G1115" i="1"/>
  <c r="F1115" i="1"/>
  <c r="I1115" i="1"/>
  <c r="G1116" i="1"/>
  <c r="F1116" i="1"/>
  <c r="I1116" i="1"/>
  <c r="G1117" i="1"/>
  <c r="F1117" i="1"/>
  <c r="I1117" i="1"/>
  <c r="G1118" i="1"/>
  <c r="F1118" i="1"/>
  <c r="I1118" i="1"/>
  <c r="G1119" i="1"/>
  <c r="F1119" i="1"/>
  <c r="I1119" i="1"/>
  <c r="G1120" i="1"/>
  <c r="F1120" i="1"/>
  <c r="I1120" i="1"/>
  <c r="G1121" i="1"/>
  <c r="F1121" i="1"/>
  <c r="I1121" i="1"/>
  <c r="G1122" i="1"/>
  <c r="F1122" i="1"/>
  <c r="I1122" i="1"/>
  <c r="G1123" i="1"/>
  <c r="F1123" i="1"/>
  <c r="I1123" i="1"/>
  <c r="G1124" i="1"/>
  <c r="F1124" i="1"/>
  <c r="I1124" i="1"/>
  <c r="G1125" i="1"/>
  <c r="F1125" i="1"/>
  <c r="I1125" i="1"/>
  <c r="G1126" i="1"/>
  <c r="F1126" i="1"/>
  <c r="I1126" i="1"/>
  <c r="G1127" i="1"/>
  <c r="F1127" i="1"/>
  <c r="I1127" i="1"/>
  <c r="G1128" i="1"/>
  <c r="F1128" i="1"/>
  <c r="I1128" i="1"/>
  <c r="G1129" i="1"/>
  <c r="F1129" i="1"/>
  <c r="I1129" i="1"/>
  <c r="G1130" i="1"/>
  <c r="F1130" i="1"/>
  <c r="I1130" i="1"/>
  <c r="G1131" i="1"/>
  <c r="F1131" i="1"/>
  <c r="I1131" i="1"/>
  <c r="G1132" i="1"/>
  <c r="F1132" i="1"/>
  <c r="I1132" i="1"/>
  <c r="G1133" i="1"/>
  <c r="F1133" i="1"/>
  <c r="I1133" i="1"/>
  <c r="G1134" i="1"/>
  <c r="F1134" i="1"/>
  <c r="I1134" i="1"/>
  <c r="G1135" i="1"/>
  <c r="F1135" i="1"/>
  <c r="I1135" i="1"/>
  <c r="G1136" i="1"/>
  <c r="F1136" i="1"/>
  <c r="I1136" i="1"/>
  <c r="G1137" i="1"/>
  <c r="F1137" i="1"/>
  <c r="I1137" i="1"/>
  <c r="G1138" i="1"/>
  <c r="F1138" i="1"/>
  <c r="I1138" i="1"/>
  <c r="G1139" i="1"/>
  <c r="F1139" i="1"/>
  <c r="I1139" i="1"/>
  <c r="G1140" i="1"/>
  <c r="F1140" i="1"/>
  <c r="I1140" i="1"/>
  <c r="G1141" i="1"/>
  <c r="F1141" i="1"/>
  <c r="I1141" i="1"/>
  <c r="G1142" i="1"/>
  <c r="F1142" i="1"/>
  <c r="I1142" i="1"/>
  <c r="G1143" i="1"/>
  <c r="F1143" i="1"/>
  <c r="I1143" i="1"/>
  <c r="G1144" i="1"/>
  <c r="F1144" i="1"/>
  <c r="I1144" i="1"/>
  <c r="G1145" i="1"/>
  <c r="F1145" i="1"/>
  <c r="I1145" i="1"/>
  <c r="G1146" i="1"/>
  <c r="F1146" i="1"/>
  <c r="I1146" i="1"/>
  <c r="G1147" i="1"/>
  <c r="F1147" i="1"/>
  <c r="I1147" i="1"/>
  <c r="G1148" i="1"/>
  <c r="F1148" i="1"/>
  <c r="I1148" i="1"/>
  <c r="G1149" i="1"/>
  <c r="F1149" i="1"/>
  <c r="I1149" i="1"/>
  <c r="G1150" i="1"/>
  <c r="F1150" i="1"/>
  <c r="I1150" i="1"/>
  <c r="G1151" i="1"/>
  <c r="F1151" i="1"/>
  <c r="I1151" i="1"/>
  <c r="G1152" i="1"/>
  <c r="F1152" i="1"/>
  <c r="I1152" i="1"/>
  <c r="G1153" i="1"/>
  <c r="F1153" i="1"/>
  <c r="I1153" i="1"/>
  <c r="G1154" i="1"/>
  <c r="F1154" i="1"/>
  <c r="I1154" i="1"/>
  <c r="G1155" i="1"/>
  <c r="F1155" i="1"/>
  <c r="I1155" i="1"/>
  <c r="G1156" i="1"/>
  <c r="F1156" i="1"/>
  <c r="I1156" i="1"/>
  <c r="G1157" i="1"/>
  <c r="F1157" i="1"/>
  <c r="I1157" i="1"/>
  <c r="G1158" i="1"/>
  <c r="F1158" i="1"/>
  <c r="I1158" i="1"/>
  <c r="G1159" i="1"/>
  <c r="F1159" i="1"/>
  <c r="I1159" i="1"/>
  <c r="G1160" i="1"/>
  <c r="F1160" i="1"/>
  <c r="I1160" i="1"/>
  <c r="G1161" i="1"/>
  <c r="F1161" i="1"/>
  <c r="I1161" i="1"/>
  <c r="G1162" i="1"/>
  <c r="F1162" i="1"/>
  <c r="I1162" i="1"/>
  <c r="G1163" i="1"/>
  <c r="F1163" i="1"/>
  <c r="I1163" i="1"/>
  <c r="G1164" i="1"/>
  <c r="F1164" i="1"/>
  <c r="I1164" i="1"/>
  <c r="G1165" i="1"/>
  <c r="F1165" i="1"/>
  <c r="I1165" i="1"/>
  <c r="G1166" i="1"/>
  <c r="F1166" i="1"/>
  <c r="I1166" i="1"/>
  <c r="G1167" i="1"/>
  <c r="F1167" i="1"/>
  <c r="I1167" i="1"/>
  <c r="G1168" i="1"/>
  <c r="F1168" i="1"/>
  <c r="I1168" i="1"/>
  <c r="G1169" i="1"/>
  <c r="F1169" i="1"/>
  <c r="I1169" i="1"/>
  <c r="G1170" i="1"/>
  <c r="F1170" i="1"/>
  <c r="I1170" i="1"/>
  <c r="G1171" i="1"/>
  <c r="F1171" i="1"/>
  <c r="I1171" i="1"/>
  <c r="G1172" i="1"/>
  <c r="F1172" i="1"/>
  <c r="I1172" i="1"/>
  <c r="G1173" i="1"/>
  <c r="F1173" i="1"/>
  <c r="I1173" i="1"/>
  <c r="G1174" i="1"/>
  <c r="F1174" i="1"/>
  <c r="I1174" i="1"/>
  <c r="G1175" i="1"/>
  <c r="F1175" i="1"/>
  <c r="I1175" i="1"/>
  <c r="G1176" i="1"/>
  <c r="F1176" i="1"/>
  <c r="I1176" i="1"/>
  <c r="G1177" i="1"/>
  <c r="F1177" i="1"/>
  <c r="I1177" i="1"/>
  <c r="G1178" i="1"/>
  <c r="F1178" i="1"/>
  <c r="I1178" i="1"/>
  <c r="G1179" i="1"/>
  <c r="F1179" i="1"/>
  <c r="I1179" i="1"/>
  <c r="G1180" i="1"/>
  <c r="F1180" i="1"/>
  <c r="I1180" i="1"/>
  <c r="G1181" i="1"/>
  <c r="F1181" i="1"/>
  <c r="I1181" i="1"/>
  <c r="G1182" i="1"/>
  <c r="F1182" i="1"/>
  <c r="I1182" i="1"/>
  <c r="G1183" i="1"/>
  <c r="F1183" i="1"/>
  <c r="I1183" i="1"/>
  <c r="G1184" i="1"/>
  <c r="F1184" i="1"/>
  <c r="I1184" i="1"/>
  <c r="G1185" i="1"/>
  <c r="F1185" i="1"/>
  <c r="I1185" i="1"/>
  <c r="G1186" i="1"/>
  <c r="F1186" i="1"/>
  <c r="I1186" i="1"/>
  <c r="G1187" i="1"/>
  <c r="F1187" i="1"/>
  <c r="I1187" i="1"/>
  <c r="G1188" i="1"/>
  <c r="F1188" i="1"/>
  <c r="I1188" i="1"/>
  <c r="G1189" i="1"/>
  <c r="F1189" i="1"/>
  <c r="I1189" i="1"/>
  <c r="G1190" i="1"/>
  <c r="F1190" i="1"/>
  <c r="I1190" i="1"/>
  <c r="G1191" i="1"/>
  <c r="F1191" i="1"/>
  <c r="I1191" i="1"/>
  <c r="G1192" i="1"/>
  <c r="F1192" i="1"/>
  <c r="I1192" i="1"/>
  <c r="G1193" i="1"/>
  <c r="F1193" i="1"/>
  <c r="I1193" i="1"/>
  <c r="G1194" i="1"/>
  <c r="F1194" i="1"/>
  <c r="I1194" i="1"/>
  <c r="G1195" i="1"/>
  <c r="F1195" i="1"/>
  <c r="I1195" i="1"/>
  <c r="G1196" i="1"/>
  <c r="F1196" i="1"/>
  <c r="I1196" i="1"/>
  <c r="G1197" i="1"/>
  <c r="F1197" i="1"/>
  <c r="I1197" i="1"/>
  <c r="G1198" i="1"/>
  <c r="F1198" i="1"/>
  <c r="I1198" i="1"/>
  <c r="G1199" i="1"/>
  <c r="F1199" i="1"/>
  <c r="I1199" i="1"/>
  <c r="G1200" i="1"/>
  <c r="F1200" i="1"/>
  <c r="I1200" i="1"/>
  <c r="G1201" i="1"/>
  <c r="F1201" i="1"/>
  <c r="I1201" i="1"/>
  <c r="G1202" i="1"/>
  <c r="F1202" i="1"/>
  <c r="I1202" i="1"/>
  <c r="G1203" i="1"/>
  <c r="F1203" i="1"/>
  <c r="I1203" i="1"/>
  <c r="G1204" i="1"/>
  <c r="F1204" i="1"/>
  <c r="I1204" i="1"/>
  <c r="G1205" i="1"/>
  <c r="F1205" i="1"/>
  <c r="I1205" i="1"/>
  <c r="G1206" i="1"/>
  <c r="F1206" i="1"/>
  <c r="I1206" i="1"/>
  <c r="G1207" i="1"/>
  <c r="F1207" i="1"/>
  <c r="I1207" i="1"/>
  <c r="G1208" i="1"/>
  <c r="F1208" i="1"/>
  <c r="I1208" i="1"/>
  <c r="G1209" i="1"/>
  <c r="F1209" i="1"/>
  <c r="I1209" i="1"/>
  <c r="G1210" i="1"/>
  <c r="F1210" i="1"/>
  <c r="I1210" i="1"/>
  <c r="G1211" i="1"/>
  <c r="F1211" i="1"/>
  <c r="I1211" i="1"/>
  <c r="G1212" i="1"/>
  <c r="F1212" i="1"/>
  <c r="I1212" i="1"/>
  <c r="G1213" i="1"/>
  <c r="F1213" i="1"/>
  <c r="I1213" i="1"/>
  <c r="G1214" i="1"/>
  <c r="F1214" i="1"/>
  <c r="I1214" i="1"/>
  <c r="G1215" i="1"/>
  <c r="F1215" i="1"/>
  <c r="I1215" i="1"/>
  <c r="G1216" i="1"/>
  <c r="F1216" i="1"/>
  <c r="I1216" i="1"/>
  <c r="G1217" i="1"/>
  <c r="F1217" i="1"/>
  <c r="I1217" i="1"/>
  <c r="G1218" i="1"/>
  <c r="F1218" i="1"/>
  <c r="I1218" i="1"/>
  <c r="G1219" i="1"/>
  <c r="F1219" i="1"/>
  <c r="I1219" i="1"/>
  <c r="G1220" i="1"/>
  <c r="F1220" i="1"/>
  <c r="I1220" i="1"/>
  <c r="G1221" i="1"/>
  <c r="F1221" i="1"/>
  <c r="I1221" i="1"/>
  <c r="G1222" i="1"/>
  <c r="F1222" i="1"/>
  <c r="I1222" i="1"/>
  <c r="G1223" i="1"/>
  <c r="F1223" i="1"/>
  <c r="I1223" i="1"/>
  <c r="G1224" i="1"/>
  <c r="F1224" i="1"/>
  <c r="I1224" i="1"/>
  <c r="G1225" i="1"/>
  <c r="F1225" i="1"/>
  <c r="I1225" i="1"/>
  <c r="G1226" i="1"/>
  <c r="F1226" i="1"/>
  <c r="I1226" i="1"/>
  <c r="G1227" i="1"/>
  <c r="F1227" i="1"/>
  <c r="I1227" i="1"/>
  <c r="G1228" i="1"/>
  <c r="F1228" i="1"/>
  <c r="I1228" i="1"/>
  <c r="G1229" i="1"/>
  <c r="F1229" i="1"/>
  <c r="I1229" i="1"/>
  <c r="G1230" i="1"/>
  <c r="F1230" i="1"/>
  <c r="I1230" i="1"/>
  <c r="G1231" i="1"/>
  <c r="F1231" i="1"/>
  <c r="I1231" i="1"/>
  <c r="G1232" i="1"/>
  <c r="F1232" i="1"/>
  <c r="I1232" i="1"/>
  <c r="G1233" i="1"/>
  <c r="F1233" i="1"/>
  <c r="I1233" i="1"/>
  <c r="G1234" i="1"/>
  <c r="F1234" i="1"/>
  <c r="I1234" i="1"/>
  <c r="G1235" i="1"/>
  <c r="F1235" i="1"/>
  <c r="I1235" i="1"/>
  <c r="G1236" i="1"/>
  <c r="F1236" i="1"/>
  <c r="I1236" i="1"/>
  <c r="G1237" i="1"/>
  <c r="F1237" i="1"/>
  <c r="I1237" i="1"/>
  <c r="G1238" i="1"/>
  <c r="F1238" i="1"/>
  <c r="I1238" i="1"/>
  <c r="G1239" i="1"/>
  <c r="F1239" i="1"/>
  <c r="I1239" i="1"/>
  <c r="G1240" i="1"/>
  <c r="F1240" i="1"/>
  <c r="I1240" i="1"/>
  <c r="G1241" i="1"/>
  <c r="F1241" i="1"/>
  <c r="I1241" i="1"/>
  <c r="G1242" i="1"/>
  <c r="F1242" i="1"/>
  <c r="I1242" i="1"/>
  <c r="G1243" i="1"/>
  <c r="F1243" i="1"/>
  <c r="I1243" i="1"/>
  <c r="G1244" i="1"/>
  <c r="F1244" i="1"/>
  <c r="I1244" i="1"/>
  <c r="G1245" i="1"/>
  <c r="F1245" i="1"/>
  <c r="I1245" i="1"/>
  <c r="G1246" i="1"/>
  <c r="F1246" i="1"/>
  <c r="I1246" i="1"/>
  <c r="G1247" i="1"/>
  <c r="F1247" i="1"/>
  <c r="I1247" i="1"/>
  <c r="G1248" i="1"/>
  <c r="F1248" i="1"/>
  <c r="I1248" i="1"/>
  <c r="G1249" i="1"/>
  <c r="F1249" i="1"/>
  <c r="I1249" i="1"/>
  <c r="G1250" i="1"/>
  <c r="F1250" i="1"/>
  <c r="I1250" i="1"/>
  <c r="G1251" i="1"/>
  <c r="F1251" i="1"/>
  <c r="I1251" i="1"/>
  <c r="G1252" i="1"/>
  <c r="F1252" i="1"/>
  <c r="I1252" i="1"/>
  <c r="G1253" i="1"/>
  <c r="F1253" i="1"/>
  <c r="I1253" i="1"/>
  <c r="G1254" i="1"/>
  <c r="F1254" i="1"/>
  <c r="I1254" i="1"/>
  <c r="G1255" i="1"/>
  <c r="F1255" i="1"/>
  <c r="I1255" i="1"/>
  <c r="G1256" i="1"/>
  <c r="F1256" i="1"/>
  <c r="I1256" i="1"/>
  <c r="G1257" i="1"/>
  <c r="F1257" i="1"/>
  <c r="I1257" i="1"/>
  <c r="G1258" i="1"/>
  <c r="F1258" i="1"/>
  <c r="I1258" i="1"/>
  <c r="G1259" i="1"/>
  <c r="F1259" i="1"/>
  <c r="I1259" i="1"/>
  <c r="G1260" i="1"/>
  <c r="F1260" i="1"/>
  <c r="I1260" i="1"/>
  <c r="G1261" i="1"/>
  <c r="F1261" i="1"/>
  <c r="I1261" i="1"/>
  <c r="G1262" i="1"/>
  <c r="F1262" i="1"/>
  <c r="I1262" i="1"/>
  <c r="G1263" i="1"/>
  <c r="F1263" i="1"/>
  <c r="I1263" i="1"/>
  <c r="G1264" i="1"/>
  <c r="F1264" i="1"/>
  <c r="I1264" i="1"/>
  <c r="G1265" i="1"/>
  <c r="F1265" i="1"/>
  <c r="I1265" i="1"/>
  <c r="G1266" i="1"/>
  <c r="F1266" i="1"/>
  <c r="I1266" i="1"/>
  <c r="G1267" i="1"/>
  <c r="F1267" i="1"/>
  <c r="I1267" i="1"/>
  <c r="G1268" i="1"/>
  <c r="F1268" i="1"/>
  <c r="I1268" i="1"/>
  <c r="G1269" i="1"/>
  <c r="F1269" i="1"/>
  <c r="I1269" i="1"/>
  <c r="G1270" i="1"/>
  <c r="F1270" i="1"/>
  <c r="I1270" i="1"/>
  <c r="G1271" i="1"/>
  <c r="F1271" i="1"/>
  <c r="I1271" i="1"/>
  <c r="G1272" i="1"/>
  <c r="F1272" i="1"/>
  <c r="I1272" i="1"/>
  <c r="G1273" i="1"/>
  <c r="F1273" i="1"/>
  <c r="I1273" i="1"/>
  <c r="G1274" i="1"/>
  <c r="F1274" i="1"/>
  <c r="I1274" i="1"/>
  <c r="G1275" i="1"/>
  <c r="F1275" i="1"/>
  <c r="I1275" i="1"/>
  <c r="G1276" i="1"/>
  <c r="F1276" i="1"/>
  <c r="I1276" i="1"/>
  <c r="G1277" i="1"/>
  <c r="F1277" i="1"/>
  <c r="I1277" i="1"/>
  <c r="G1278" i="1"/>
  <c r="F1278" i="1"/>
  <c r="I1278" i="1"/>
  <c r="G1279" i="1"/>
  <c r="F1279" i="1"/>
  <c r="I1279" i="1"/>
  <c r="G1280" i="1"/>
  <c r="F1280" i="1"/>
  <c r="I1280" i="1"/>
  <c r="G1281" i="1"/>
  <c r="F1281" i="1"/>
  <c r="I1281" i="1"/>
  <c r="G1282" i="1"/>
  <c r="F1282" i="1"/>
  <c r="I1282" i="1"/>
  <c r="G1283" i="1"/>
  <c r="F1283" i="1"/>
  <c r="I1283" i="1"/>
  <c r="G1284" i="1"/>
  <c r="F1284" i="1"/>
  <c r="I1284" i="1"/>
  <c r="G1285" i="1"/>
  <c r="F1285" i="1"/>
  <c r="I1285" i="1"/>
  <c r="G1286" i="1"/>
  <c r="F1286" i="1"/>
  <c r="I1286" i="1"/>
  <c r="G1287" i="1"/>
  <c r="F1287" i="1"/>
  <c r="I1287" i="1"/>
  <c r="G1288" i="1"/>
  <c r="F1288" i="1"/>
  <c r="I1288" i="1"/>
  <c r="G1289" i="1"/>
  <c r="F1289" i="1"/>
  <c r="I1289" i="1"/>
  <c r="G1290" i="1"/>
  <c r="F1290" i="1"/>
  <c r="I1290" i="1"/>
  <c r="G1291" i="1"/>
  <c r="F1291" i="1"/>
  <c r="I1291" i="1"/>
  <c r="G1292" i="1"/>
  <c r="F1292" i="1"/>
  <c r="I1292" i="1"/>
  <c r="G1293" i="1"/>
  <c r="F1293" i="1"/>
  <c r="I1293" i="1"/>
  <c r="G1294" i="1"/>
  <c r="F1294" i="1"/>
  <c r="I1294" i="1"/>
  <c r="G1295" i="1"/>
  <c r="F1295" i="1"/>
  <c r="I1295" i="1"/>
  <c r="G1296" i="1"/>
  <c r="F1296" i="1"/>
  <c r="I1296" i="1"/>
  <c r="G1297" i="1"/>
  <c r="F1297" i="1"/>
  <c r="I1297" i="1"/>
  <c r="G1298" i="1"/>
  <c r="F1298" i="1"/>
  <c r="I1298" i="1"/>
  <c r="G1299" i="1"/>
  <c r="F1299" i="1"/>
  <c r="I1299" i="1"/>
  <c r="G1300" i="1"/>
  <c r="F1300" i="1"/>
  <c r="I1300" i="1"/>
  <c r="G1301" i="1"/>
  <c r="F1301" i="1"/>
  <c r="I1301" i="1"/>
  <c r="G1302" i="1"/>
  <c r="F1302" i="1"/>
  <c r="I1302" i="1"/>
  <c r="G1303" i="1"/>
  <c r="F1303" i="1"/>
  <c r="I1303" i="1"/>
  <c r="G1304" i="1"/>
  <c r="F1304" i="1"/>
  <c r="I1304" i="1"/>
  <c r="G1305" i="1"/>
  <c r="F1305" i="1"/>
  <c r="I1305" i="1"/>
  <c r="G1306" i="1"/>
  <c r="F1306" i="1"/>
  <c r="I1306" i="1"/>
  <c r="G1307" i="1"/>
  <c r="F1307" i="1"/>
  <c r="I1307" i="1"/>
  <c r="G1308" i="1"/>
  <c r="F1308" i="1"/>
  <c r="I1308" i="1"/>
  <c r="G1309" i="1"/>
  <c r="F1309" i="1"/>
  <c r="I1309" i="1"/>
  <c r="G1310" i="1"/>
  <c r="F1310" i="1"/>
  <c r="I1310" i="1"/>
  <c r="G1311" i="1"/>
  <c r="F1311" i="1"/>
  <c r="I1311" i="1"/>
  <c r="G1312" i="1"/>
  <c r="F1312" i="1"/>
  <c r="I1312" i="1"/>
  <c r="G1313" i="1"/>
  <c r="F1313" i="1"/>
  <c r="I1313" i="1"/>
  <c r="G1314" i="1"/>
  <c r="F1314" i="1"/>
  <c r="I1314" i="1"/>
  <c r="G1315" i="1"/>
  <c r="F1315" i="1"/>
  <c r="I1315" i="1"/>
  <c r="G1316" i="1"/>
  <c r="F1316" i="1"/>
  <c r="I1316" i="1"/>
  <c r="G1317" i="1"/>
  <c r="F1317" i="1"/>
  <c r="I1317" i="1"/>
  <c r="G1318" i="1"/>
  <c r="F1318" i="1"/>
  <c r="I1318" i="1"/>
  <c r="G1319" i="1"/>
  <c r="F1319" i="1"/>
  <c r="I1319" i="1"/>
  <c r="G1320" i="1"/>
  <c r="F1320" i="1"/>
  <c r="I1320" i="1"/>
  <c r="G1321" i="1"/>
  <c r="F1321" i="1"/>
  <c r="I1321" i="1"/>
  <c r="G1322" i="1"/>
  <c r="F1322" i="1"/>
  <c r="I1322" i="1"/>
  <c r="G1323" i="1"/>
  <c r="F1323" i="1"/>
  <c r="I1323" i="1"/>
  <c r="G1324" i="1"/>
  <c r="F1324" i="1"/>
  <c r="I1324" i="1"/>
  <c r="G1325" i="1"/>
  <c r="F1325" i="1"/>
  <c r="I1325" i="1"/>
  <c r="G1326" i="1"/>
  <c r="F1326" i="1"/>
  <c r="I1326" i="1"/>
  <c r="G1327" i="1"/>
  <c r="F1327" i="1"/>
  <c r="I1327" i="1"/>
  <c r="G1328" i="1"/>
  <c r="F1328" i="1"/>
  <c r="I1328" i="1"/>
  <c r="G1329" i="1"/>
  <c r="F1329" i="1"/>
  <c r="I1329" i="1"/>
  <c r="G1330" i="1"/>
  <c r="F1330" i="1"/>
  <c r="I1330" i="1"/>
  <c r="G1331" i="1"/>
  <c r="F1331" i="1"/>
  <c r="I1331" i="1"/>
  <c r="G1332" i="1"/>
  <c r="F1332" i="1"/>
  <c r="I1332" i="1"/>
  <c r="G1333" i="1"/>
  <c r="F1333" i="1"/>
  <c r="I1333" i="1"/>
  <c r="G1334" i="1"/>
  <c r="F1334" i="1"/>
  <c r="I1334" i="1"/>
  <c r="G1335" i="1"/>
  <c r="F1335" i="1"/>
  <c r="I1335" i="1"/>
  <c r="G1336" i="1"/>
  <c r="F1336" i="1"/>
  <c r="I1336" i="1"/>
  <c r="G1337" i="1"/>
  <c r="F1337" i="1"/>
  <c r="I1337" i="1"/>
  <c r="G1338" i="1"/>
  <c r="F1338" i="1"/>
  <c r="I1338" i="1"/>
  <c r="G1339" i="1"/>
  <c r="F1339" i="1"/>
  <c r="I1339" i="1"/>
  <c r="G1340" i="1"/>
  <c r="F1340" i="1"/>
  <c r="I1340" i="1"/>
  <c r="G1341" i="1"/>
  <c r="F1341" i="1"/>
  <c r="I1341" i="1"/>
  <c r="G1342" i="1"/>
  <c r="F1342" i="1"/>
  <c r="I1342" i="1"/>
  <c r="G1343" i="1"/>
  <c r="F1343" i="1"/>
  <c r="I1343" i="1"/>
  <c r="G1344" i="1"/>
  <c r="F1344" i="1"/>
  <c r="I1344" i="1"/>
  <c r="G1345" i="1"/>
  <c r="F1345" i="1"/>
  <c r="I1345" i="1"/>
  <c r="G1346" i="1"/>
  <c r="F1346" i="1"/>
  <c r="I1346" i="1"/>
  <c r="G1347" i="1"/>
  <c r="F1347" i="1"/>
  <c r="I1347" i="1"/>
  <c r="G1348" i="1"/>
  <c r="F1348" i="1"/>
  <c r="I1348" i="1"/>
  <c r="G1349" i="1"/>
  <c r="F1349" i="1"/>
  <c r="I1349" i="1"/>
  <c r="G1350" i="1"/>
  <c r="F1350" i="1"/>
  <c r="I1350" i="1"/>
  <c r="G1351" i="1"/>
  <c r="F1351" i="1"/>
  <c r="I1351" i="1"/>
  <c r="G1352" i="1"/>
  <c r="F1352" i="1"/>
  <c r="I1352" i="1"/>
  <c r="G1353" i="1"/>
  <c r="F1353" i="1"/>
  <c r="I1353" i="1"/>
  <c r="G1354" i="1"/>
  <c r="F1354" i="1"/>
  <c r="I1354" i="1"/>
  <c r="G1355" i="1"/>
  <c r="F1355" i="1"/>
  <c r="I1355" i="1"/>
  <c r="G1356" i="1"/>
  <c r="F1356" i="1"/>
  <c r="I1356" i="1"/>
  <c r="G1357" i="1"/>
  <c r="F1357" i="1"/>
  <c r="I1357" i="1"/>
  <c r="G1358" i="1"/>
  <c r="F1358" i="1"/>
  <c r="I1358" i="1"/>
  <c r="G1359" i="1"/>
  <c r="F1359" i="1"/>
  <c r="I1359" i="1"/>
  <c r="G1360" i="1"/>
  <c r="F1360" i="1"/>
  <c r="I1360" i="1"/>
  <c r="G1361" i="1"/>
  <c r="F1361" i="1"/>
  <c r="I1361" i="1"/>
  <c r="G1362" i="1"/>
  <c r="F1362" i="1"/>
  <c r="I1362" i="1"/>
  <c r="G1363" i="1"/>
  <c r="F1363" i="1"/>
  <c r="I1363" i="1"/>
  <c r="G1364" i="1"/>
  <c r="F1364" i="1"/>
  <c r="I1364" i="1"/>
  <c r="G1365" i="1"/>
  <c r="F1365" i="1"/>
  <c r="I1365" i="1"/>
  <c r="G1366" i="1"/>
  <c r="F1366" i="1"/>
  <c r="I1366" i="1"/>
  <c r="G1367" i="1"/>
  <c r="F1367" i="1"/>
  <c r="I1367" i="1"/>
  <c r="G1368" i="1"/>
  <c r="F1368" i="1"/>
  <c r="I1368" i="1"/>
  <c r="G1369" i="1"/>
  <c r="F1369" i="1"/>
  <c r="I1369" i="1"/>
  <c r="G1370" i="1"/>
  <c r="F1370" i="1"/>
  <c r="I1370" i="1"/>
  <c r="G1371" i="1"/>
  <c r="F1371" i="1"/>
  <c r="I1371" i="1"/>
  <c r="G1372" i="1"/>
  <c r="F1372" i="1"/>
  <c r="I1372" i="1"/>
  <c r="G1373" i="1"/>
  <c r="F1373" i="1"/>
  <c r="I1373" i="1"/>
  <c r="G1374" i="1"/>
  <c r="F1374" i="1"/>
  <c r="I1374" i="1"/>
  <c r="G1375" i="1"/>
  <c r="F1375" i="1"/>
  <c r="I1375" i="1"/>
  <c r="G1376" i="1"/>
  <c r="F1376" i="1"/>
  <c r="I1376" i="1"/>
  <c r="G1377" i="1"/>
  <c r="F1377" i="1"/>
  <c r="I1377" i="1"/>
  <c r="G1378" i="1"/>
  <c r="F1378" i="1"/>
  <c r="I1378" i="1"/>
  <c r="G1379" i="1"/>
  <c r="F1379" i="1"/>
  <c r="I1379" i="1"/>
  <c r="G1380" i="1"/>
  <c r="F1380" i="1"/>
  <c r="I1380" i="1"/>
  <c r="G1381" i="1"/>
  <c r="F1381" i="1"/>
  <c r="I1381" i="1"/>
  <c r="G1382" i="1"/>
  <c r="F1382" i="1"/>
  <c r="I1382" i="1"/>
  <c r="G1383" i="1"/>
  <c r="F1383" i="1"/>
  <c r="I1383" i="1"/>
  <c r="G1384" i="1"/>
  <c r="F1384" i="1"/>
  <c r="I1384" i="1"/>
  <c r="G1385" i="1"/>
  <c r="F1385" i="1"/>
  <c r="I1385" i="1"/>
  <c r="G1386" i="1"/>
  <c r="F1386" i="1"/>
  <c r="I1386" i="1"/>
  <c r="G1387" i="1"/>
  <c r="F1387" i="1"/>
  <c r="I1387" i="1"/>
  <c r="G1388" i="1"/>
  <c r="F1388" i="1"/>
  <c r="I1388" i="1"/>
  <c r="G1389" i="1"/>
  <c r="F1389" i="1"/>
  <c r="I1389" i="1"/>
  <c r="G1390" i="1"/>
  <c r="F1390" i="1"/>
  <c r="I1390" i="1"/>
  <c r="G1391" i="1"/>
  <c r="F1391" i="1"/>
  <c r="I1391" i="1"/>
  <c r="G1392" i="1"/>
  <c r="F1392" i="1"/>
  <c r="I1392" i="1"/>
  <c r="G1393" i="1"/>
  <c r="F1393" i="1"/>
  <c r="I1393" i="1"/>
  <c r="G1394" i="1"/>
  <c r="F1394" i="1"/>
  <c r="I1394" i="1"/>
  <c r="G1395" i="1"/>
  <c r="F1395" i="1"/>
  <c r="I1395" i="1"/>
  <c r="G1396" i="1"/>
  <c r="F1396" i="1"/>
  <c r="I1396" i="1"/>
  <c r="G1397" i="1"/>
  <c r="F1397" i="1"/>
  <c r="I1397" i="1"/>
  <c r="G1398" i="1"/>
  <c r="F1398" i="1"/>
  <c r="I1398" i="1"/>
  <c r="G1399" i="1"/>
  <c r="F1399" i="1"/>
  <c r="I1399" i="1"/>
  <c r="G1400" i="1"/>
  <c r="F1400" i="1"/>
  <c r="I1400" i="1"/>
  <c r="G1401" i="1"/>
  <c r="F1401" i="1"/>
  <c r="I1401" i="1"/>
  <c r="G1402" i="1"/>
  <c r="F1402" i="1"/>
  <c r="I1402" i="1"/>
  <c r="G1403" i="1"/>
  <c r="F1403" i="1"/>
  <c r="I1403" i="1"/>
  <c r="G1404" i="1"/>
  <c r="F1404" i="1"/>
  <c r="I1404" i="1"/>
  <c r="G1405" i="1"/>
  <c r="F1405" i="1"/>
  <c r="I1405" i="1"/>
  <c r="G1406" i="1"/>
  <c r="F1406" i="1"/>
  <c r="I1406" i="1"/>
  <c r="G1407" i="1"/>
  <c r="F1407" i="1"/>
  <c r="I1407" i="1"/>
  <c r="G1408" i="1"/>
  <c r="F1408" i="1"/>
  <c r="I1408" i="1"/>
  <c r="G1409" i="1"/>
  <c r="F1409" i="1"/>
  <c r="I1409" i="1"/>
  <c r="G1410" i="1"/>
  <c r="F1410" i="1"/>
  <c r="I1410" i="1"/>
  <c r="G1411" i="1"/>
  <c r="F1411" i="1"/>
  <c r="I1411" i="1"/>
  <c r="G1412" i="1"/>
  <c r="F1412" i="1"/>
  <c r="I1412" i="1"/>
  <c r="G1413" i="1"/>
  <c r="F1413" i="1"/>
  <c r="I1413" i="1"/>
  <c r="G1414" i="1"/>
  <c r="F1414" i="1"/>
  <c r="I1414" i="1"/>
  <c r="G1415" i="1"/>
  <c r="F1415" i="1"/>
  <c r="I1415" i="1"/>
  <c r="G1416" i="1"/>
  <c r="F1416" i="1"/>
  <c r="I1416" i="1"/>
  <c r="G1417" i="1"/>
  <c r="F1417" i="1"/>
  <c r="I1417" i="1"/>
  <c r="G1418" i="1"/>
  <c r="F1418" i="1"/>
  <c r="I1418" i="1"/>
  <c r="G1419" i="1"/>
  <c r="F1419" i="1"/>
  <c r="I1419" i="1"/>
  <c r="G1420" i="1"/>
  <c r="F1420" i="1"/>
  <c r="I1420" i="1"/>
  <c r="G1421" i="1"/>
  <c r="F1421" i="1"/>
  <c r="I1421" i="1"/>
  <c r="G1422" i="1"/>
  <c r="F1422" i="1"/>
  <c r="I1422" i="1"/>
  <c r="G1423" i="1"/>
  <c r="F1423" i="1"/>
  <c r="I1423" i="1"/>
  <c r="G1424" i="1"/>
  <c r="F1424" i="1"/>
  <c r="I1424" i="1"/>
  <c r="G1425" i="1"/>
  <c r="F1425" i="1"/>
  <c r="I1425" i="1"/>
  <c r="G1426" i="1"/>
  <c r="F1426" i="1"/>
  <c r="I1426" i="1"/>
  <c r="G1427" i="1"/>
  <c r="F1427" i="1"/>
  <c r="I1427" i="1"/>
  <c r="G1428" i="1"/>
  <c r="F1428" i="1"/>
  <c r="I1428" i="1"/>
  <c r="G1429" i="1"/>
  <c r="F1429" i="1"/>
  <c r="I1429" i="1"/>
  <c r="G1430" i="1"/>
  <c r="F1430" i="1"/>
  <c r="I1430" i="1"/>
  <c r="G1431" i="1"/>
  <c r="F1431" i="1"/>
  <c r="I1431" i="1"/>
  <c r="G1432" i="1"/>
  <c r="F1432" i="1"/>
  <c r="I1432" i="1"/>
  <c r="G1433" i="1"/>
  <c r="F1433" i="1"/>
  <c r="I1433" i="1"/>
  <c r="G1434" i="1"/>
  <c r="F1434" i="1"/>
  <c r="I1434" i="1"/>
  <c r="G1435" i="1"/>
  <c r="F1435" i="1"/>
  <c r="I1435" i="1"/>
  <c r="G1436" i="1"/>
  <c r="F1436" i="1"/>
  <c r="I1436" i="1"/>
  <c r="G1437" i="1"/>
  <c r="F1437" i="1"/>
  <c r="I1437" i="1"/>
  <c r="G1438" i="1"/>
  <c r="F1438" i="1"/>
  <c r="I1438" i="1"/>
  <c r="G1439" i="1"/>
  <c r="F1439" i="1"/>
  <c r="I1439" i="1"/>
  <c r="G1440" i="1"/>
  <c r="F1440" i="1"/>
  <c r="I1440" i="1"/>
  <c r="G1441" i="1"/>
  <c r="F1441" i="1"/>
  <c r="I1441" i="1"/>
  <c r="G1442" i="1"/>
  <c r="F1442" i="1"/>
  <c r="I1442" i="1"/>
  <c r="G1443" i="1"/>
  <c r="F1443" i="1"/>
  <c r="I1443" i="1"/>
  <c r="G1444" i="1"/>
  <c r="F1444" i="1"/>
  <c r="I1444" i="1"/>
  <c r="G1445" i="1"/>
  <c r="F1445" i="1"/>
  <c r="I1445" i="1"/>
  <c r="G1446" i="1"/>
  <c r="F1446" i="1"/>
  <c r="I1446" i="1"/>
  <c r="G1447" i="1"/>
  <c r="F1447" i="1"/>
  <c r="I1447" i="1"/>
  <c r="G1448" i="1"/>
  <c r="F1448" i="1"/>
  <c r="I1448" i="1"/>
  <c r="G1449" i="1"/>
  <c r="F1449" i="1"/>
  <c r="I1449" i="1"/>
  <c r="G1450" i="1"/>
  <c r="F1450" i="1"/>
  <c r="I1450" i="1"/>
  <c r="G1451" i="1"/>
  <c r="F1451" i="1"/>
  <c r="I1451" i="1"/>
  <c r="G1452" i="1"/>
  <c r="F1452" i="1"/>
  <c r="I1452" i="1"/>
  <c r="G1453" i="1"/>
  <c r="F1453" i="1"/>
  <c r="I1453" i="1"/>
  <c r="G1454" i="1"/>
  <c r="F1454" i="1"/>
  <c r="I1454" i="1"/>
  <c r="G1455" i="1"/>
  <c r="F1455" i="1"/>
  <c r="I1455" i="1"/>
  <c r="G1456" i="1"/>
  <c r="F1456" i="1"/>
  <c r="I1456" i="1"/>
  <c r="G1457" i="1"/>
  <c r="F1457" i="1"/>
  <c r="I1457" i="1"/>
  <c r="G1458" i="1"/>
  <c r="F1458" i="1"/>
  <c r="I1458" i="1"/>
  <c r="G1459" i="1"/>
  <c r="F1459" i="1"/>
  <c r="I1459" i="1"/>
  <c r="G1460" i="1"/>
  <c r="F1460" i="1"/>
  <c r="I1460" i="1"/>
  <c r="G1461" i="1"/>
  <c r="F1461" i="1"/>
  <c r="I1461" i="1"/>
  <c r="G1462" i="1"/>
  <c r="F1462" i="1"/>
  <c r="I1462" i="1"/>
  <c r="G1463" i="1"/>
  <c r="F1463" i="1"/>
  <c r="I1463" i="1"/>
  <c r="G1464" i="1"/>
  <c r="F1464" i="1"/>
  <c r="I1464" i="1"/>
  <c r="G1465" i="1"/>
  <c r="F1465" i="1"/>
  <c r="I1465" i="1"/>
  <c r="G1466" i="1"/>
  <c r="F1466" i="1"/>
  <c r="I1466" i="1"/>
  <c r="G1467" i="1"/>
  <c r="F1467" i="1"/>
  <c r="I1467" i="1"/>
  <c r="G1468" i="1"/>
  <c r="F1468" i="1"/>
  <c r="I1468" i="1"/>
  <c r="G1469" i="1"/>
  <c r="F1469" i="1"/>
  <c r="I1469" i="1"/>
  <c r="G1470" i="1"/>
  <c r="F1470" i="1"/>
  <c r="I1470" i="1"/>
  <c r="G1471" i="1"/>
  <c r="F1471" i="1"/>
  <c r="I1471" i="1"/>
  <c r="G1472" i="1"/>
  <c r="F1472" i="1"/>
  <c r="I1472" i="1"/>
  <c r="G1473" i="1"/>
  <c r="F1473" i="1"/>
  <c r="I1473" i="1"/>
  <c r="G1474" i="1"/>
  <c r="F1474" i="1"/>
  <c r="I1474" i="1"/>
  <c r="G1475" i="1"/>
  <c r="F1475" i="1"/>
  <c r="I1475" i="1"/>
  <c r="G1476" i="1"/>
  <c r="F1476" i="1"/>
  <c r="I1476" i="1"/>
  <c r="G1477" i="1"/>
  <c r="F1477" i="1"/>
  <c r="I1477" i="1"/>
  <c r="G1478" i="1"/>
  <c r="F1478" i="1"/>
  <c r="I1478" i="1"/>
  <c r="G1479" i="1"/>
  <c r="F1479" i="1"/>
  <c r="I1479" i="1"/>
  <c r="G1480" i="1"/>
  <c r="F1480" i="1"/>
  <c r="I1480" i="1"/>
  <c r="G1481" i="1"/>
  <c r="F1481" i="1"/>
  <c r="I1481" i="1"/>
  <c r="G1482" i="1"/>
  <c r="F1482" i="1"/>
  <c r="I1482" i="1"/>
  <c r="G1483" i="1"/>
  <c r="F1483" i="1"/>
  <c r="I1483" i="1"/>
  <c r="G1484" i="1"/>
  <c r="F1484" i="1"/>
  <c r="I1484" i="1"/>
  <c r="G1485" i="1"/>
  <c r="F1485" i="1"/>
  <c r="I1485" i="1"/>
  <c r="G1486" i="1"/>
  <c r="F1486" i="1"/>
  <c r="I1486" i="1"/>
  <c r="I6" i="1"/>
</calcChain>
</file>

<file path=xl/sharedStrings.xml><?xml version="1.0" encoding="utf-8"?>
<sst xmlns="http://schemas.openxmlformats.org/spreadsheetml/2006/main" count="52" uniqueCount="52">
  <si>
    <t>Date</t>
  </si>
  <si>
    <t>Rates</t>
  </si>
  <si>
    <t>Price</t>
  </si>
  <si>
    <t>Vol</t>
  </si>
  <si>
    <t>DivYield</t>
  </si>
  <si>
    <t>T</t>
    <phoneticPr fontId="2" type="noConversion"/>
  </si>
  <si>
    <t>BSM_ouput</t>
    <phoneticPr fontId="2" type="noConversion"/>
  </si>
  <si>
    <t>px</t>
    <phoneticPr fontId="2" type="noConversion"/>
  </si>
  <si>
    <t>delta</t>
    <phoneticPr fontId="2" type="noConversion"/>
  </si>
  <si>
    <t>Interest</t>
    <phoneticPr fontId="2" type="noConversion"/>
  </si>
  <si>
    <t>Vol</t>
    <phoneticPr fontId="2" type="noConversion"/>
  </si>
  <si>
    <t>DivYield</t>
    <phoneticPr fontId="2" type="noConversion"/>
  </si>
  <si>
    <t>Rates</t>
    <phoneticPr fontId="2" type="noConversion"/>
  </si>
  <si>
    <t>ATM Put Price</t>
    <phoneticPr fontId="2" type="noConversion"/>
  </si>
  <si>
    <t>Rebalancing Flag</t>
    <phoneticPr fontId="2" type="noConversion"/>
  </si>
  <si>
    <t>Cash Remaining</t>
    <phoneticPr fontId="2" type="noConversion"/>
  </si>
  <si>
    <t>Position Net Worth</t>
    <phoneticPr fontId="2" type="noConversion"/>
  </si>
  <si>
    <t>Pnl</t>
    <phoneticPr fontId="2" type="noConversion"/>
  </si>
  <si>
    <t>Original Strike</t>
    <phoneticPr fontId="2" type="noConversion"/>
  </si>
  <si>
    <t>Oringinal Price</t>
    <phoneticPr fontId="2" type="noConversion"/>
  </si>
  <si>
    <t>Actual Strike</t>
    <phoneticPr fontId="2" type="noConversion"/>
  </si>
  <si>
    <t>Quantity</t>
    <phoneticPr fontId="2" type="noConversion"/>
  </si>
  <si>
    <t>Actual Price</t>
    <phoneticPr fontId="2" type="noConversion"/>
  </si>
  <si>
    <t>CumPnl</t>
    <phoneticPr fontId="2" type="noConversion"/>
  </si>
  <si>
    <t>Initial Cash</t>
    <phoneticPr fontId="2" type="noConversion"/>
  </si>
  <si>
    <t>Delta limit</t>
    <phoneticPr fontId="2" type="noConversion"/>
  </si>
  <si>
    <t>Cash Position t-1</t>
    <phoneticPr fontId="2" type="noConversion"/>
  </si>
  <si>
    <t>Original Time to Expiration</t>
    <phoneticPr fontId="2" type="noConversion"/>
  </si>
  <si>
    <t>Oringinal Delta</t>
    <phoneticPr fontId="2" type="noConversion"/>
  </si>
  <si>
    <t>Actual Time to Expiration</t>
    <phoneticPr fontId="2" type="noConversion"/>
  </si>
  <si>
    <t>Actual Delta</t>
    <phoneticPr fontId="2" type="noConversion"/>
  </si>
  <si>
    <t>Parameters</t>
    <phoneticPr fontId="2" type="noConversion"/>
  </si>
  <si>
    <t>CumPnl Ratio</t>
    <phoneticPr fontId="2" type="noConversion"/>
  </si>
  <si>
    <t>SPX Increasing Ratio</t>
    <phoneticPr fontId="2" type="noConversion"/>
  </si>
  <si>
    <t>By shorting SPX puts, we are indeed trying to long the correspondoing index in a different way.</t>
    <phoneticPr fontId="2" type="noConversion"/>
  </si>
  <si>
    <t>sharpe</t>
    <phoneticPr fontId="2" type="noConversion"/>
  </si>
  <si>
    <t>rf</t>
    <phoneticPr fontId="2" type="noConversion"/>
  </si>
  <si>
    <t>Porfolio daily return</t>
    <phoneticPr fontId="2" type="noConversion"/>
  </si>
  <si>
    <t>SPX daily return</t>
    <phoneticPr fontId="2" type="noConversion"/>
  </si>
  <si>
    <t>annualized mean</t>
    <phoneticPr fontId="2" type="noConversion"/>
  </si>
  <si>
    <t>annualized std</t>
    <phoneticPr fontId="2" type="noConversion"/>
  </si>
  <si>
    <t>We can see that the strategy is generating profit along the way.</t>
    <phoneticPr fontId="2" type="noConversion"/>
  </si>
  <si>
    <t>This is to compare our strategy with the naïve way: long a SPX.</t>
    <phoneticPr fontId="2" type="noConversion"/>
  </si>
  <si>
    <t>These two lines tend to share a similar pattern. The blue one has a better return but more volatile.</t>
    <phoneticPr fontId="2" type="noConversion"/>
  </si>
  <si>
    <t>To further evaluate these two strategies, we should look at sharpe ratio.</t>
    <phoneticPr fontId="2" type="noConversion"/>
  </si>
  <si>
    <t>Long SPX</t>
    <phoneticPr fontId="2" type="noConversion"/>
  </si>
  <si>
    <t>Current Strategy</t>
    <phoneticPr fontId="2" type="noConversion"/>
  </si>
  <si>
    <t>This table is to calculate sharpe ratio.</t>
    <phoneticPr fontId="2" type="noConversion"/>
  </si>
  <si>
    <t>It can be found that our strategy has a better sharpe ratio.</t>
    <phoneticPr fontId="2" type="noConversion"/>
  </si>
  <si>
    <t>I recommend this strategy because it has a higher excess return over the risk we are taking.</t>
    <phoneticPr fontId="2" type="noConversion"/>
  </si>
  <si>
    <t>In this graph, the blue line is the SPX cumulative PnL ratio and the orange line is sell put strategy cumulative PnL ratio.</t>
    <phoneticPr fontId="2" type="noConversion"/>
  </si>
  <si>
    <t>This is the cumulative PnL plot of our strategy given 1,000,000 initial cash.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</si>
</sst>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0.00_ "/>
    <numFmt numFmtId="178" formatCode="0.000000_ "/>
    <numFmt numFmtId="179" formatCode="0.00000"/>
    <numFmt numFmtId="180" formatCode="0.00000000_);[Red]\(0.00000000\)"/>
  </numFmts>
  <fonts count="6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u/>
      <sz val="11"/>
      <color theme="1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2" fontId="0" fillId="3" borderId="0" xfId="0" applyNumberFormat="1" applyFill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2" borderId="5" xfId="0" applyFont="1" applyFill="1" applyBorder="1" applyAlignment="1">
      <alignment horizontal="center"/>
    </xf>
    <xf numFmtId="178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179" fontId="0" fillId="0" borderId="0" xfId="0" applyNumberFormat="1" applyBorder="1" applyAlignment="1">
      <alignment horizontal="center"/>
    </xf>
    <xf numFmtId="18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</cellXfs>
  <cellStyles count="6">
    <cellStyle name="百分比" xfId="1" builtinId="5"/>
    <cellStyle name="常规" xfId="0" builtinId="0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Sheet1!$Y$5</c:f>
              <c:strCache>
                <c:ptCount val="1"/>
                <c:pt idx="0">
                  <c:v>CumPnl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Sheet1!$A$6:$A$1486</c:f>
              <c:numCache>
                <c:formatCode>m/d/yy</c:formatCode>
                <c:ptCount val="1481"/>
                <c:pt idx="0">
                  <c:v>40911.0</c:v>
                </c:pt>
                <c:pt idx="1">
                  <c:v>40912.0</c:v>
                </c:pt>
                <c:pt idx="2">
                  <c:v>40913.0</c:v>
                </c:pt>
                <c:pt idx="3">
                  <c:v>40914.0</c:v>
                </c:pt>
                <c:pt idx="4">
                  <c:v>40917.0</c:v>
                </c:pt>
                <c:pt idx="5">
                  <c:v>40918.0</c:v>
                </c:pt>
                <c:pt idx="6">
                  <c:v>40919.0</c:v>
                </c:pt>
                <c:pt idx="7">
                  <c:v>40920.0</c:v>
                </c:pt>
                <c:pt idx="8">
                  <c:v>40921.0</c:v>
                </c:pt>
                <c:pt idx="9">
                  <c:v>40925.0</c:v>
                </c:pt>
                <c:pt idx="10">
                  <c:v>40926.0</c:v>
                </c:pt>
                <c:pt idx="11">
                  <c:v>40927.0</c:v>
                </c:pt>
                <c:pt idx="12">
                  <c:v>40928.0</c:v>
                </c:pt>
                <c:pt idx="13">
                  <c:v>40931.0</c:v>
                </c:pt>
                <c:pt idx="14">
                  <c:v>40932.0</c:v>
                </c:pt>
                <c:pt idx="15">
                  <c:v>40933.0</c:v>
                </c:pt>
                <c:pt idx="16">
                  <c:v>40934.0</c:v>
                </c:pt>
                <c:pt idx="17">
                  <c:v>40935.0</c:v>
                </c:pt>
                <c:pt idx="18">
                  <c:v>40938.0</c:v>
                </c:pt>
                <c:pt idx="19">
                  <c:v>40939.0</c:v>
                </c:pt>
                <c:pt idx="20">
                  <c:v>40940.0</c:v>
                </c:pt>
                <c:pt idx="21">
                  <c:v>40941.0</c:v>
                </c:pt>
                <c:pt idx="22">
                  <c:v>40942.0</c:v>
                </c:pt>
                <c:pt idx="23">
                  <c:v>40945.0</c:v>
                </c:pt>
                <c:pt idx="24">
                  <c:v>40946.0</c:v>
                </c:pt>
                <c:pt idx="25">
                  <c:v>40947.0</c:v>
                </c:pt>
                <c:pt idx="26">
                  <c:v>40948.0</c:v>
                </c:pt>
                <c:pt idx="27">
                  <c:v>40949.0</c:v>
                </c:pt>
                <c:pt idx="28">
                  <c:v>40952.0</c:v>
                </c:pt>
                <c:pt idx="29">
                  <c:v>40953.0</c:v>
                </c:pt>
                <c:pt idx="30">
                  <c:v>40954.0</c:v>
                </c:pt>
                <c:pt idx="31">
                  <c:v>40955.0</c:v>
                </c:pt>
                <c:pt idx="32">
                  <c:v>40956.0</c:v>
                </c:pt>
                <c:pt idx="33">
                  <c:v>40960.0</c:v>
                </c:pt>
                <c:pt idx="34">
                  <c:v>40961.0</c:v>
                </c:pt>
                <c:pt idx="35">
                  <c:v>40962.0</c:v>
                </c:pt>
                <c:pt idx="36">
                  <c:v>40963.0</c:v>
                </c:pt>
                <c:pt idx="37">
                  <c:v>40966.0</c:v>
                </c:pt>
                <c:pt idx="38">
                  <c:v>40967.0</c:v>
                </c:pt>
                <c:pt idx="39">
                  <c:v>40968.0</c:v>
                </c:pt>
                <c:pt idx="40">
                  <c:v>40969.0</c:v>
                </c:pt>
                <c:pt idx="41">
                  <c:v>40970.0</c:v>
                </c:pt>
                <c:pt idx="42">
                  <c:v>40973.0</c:v>
                </c:pt>
                <c:pt idx="43">
                  <c:v>40974.0</c:v>
                </c:pt>
                <c:pt idx="44">
                  <c:v>40975.0</c:v>
                </c:pt>
                <c:pt idx="45">
                  <c:v>40976.0</c:v>
                </c:pt>
                <c:pt idx="46">
                  <c:v>40977.0</c:v>
                </c:pt>
                <c:pt idx="47">
                  <c:v>40980.0</c:v>
                </c:pt>
                <c:pt idx="48">
                  <c:v>40981.0</c:v>
                </c:pt>
                <c:pt idx="49">
                  <c:v>40982.0</c:v>
                </c:pt>
                <c:pt idx="50">
                  <c:v>40983.0</c:v>
                </c:pt>
                <c:pt idx="51">
                  <c:v>40984.0</c:v>
                </c:pt>
                <c:pt idx="52">
                  <c:v>40987.0</c:v>
                </c:pt>
                <c:pt idx="53">
                  <c:v>40988.0</c:v>
                </c:pt>
                <c:pt idx="54">
                  <c:v>40989.0</c:v>
                </c:pt>
                <c:pt idx="55">
                  <c:v>40990.0</c:v>
                </c:pt>
                <c:pt idx="56">
                  <c:v>40991.0</c:v>
                </c:pt>
                <c:pt idx="57">
                  <c:v>40994.0</c:v>
                </c:pt>
                <c:pt idx="58">
                  <c:v>40995.0</c:v>
                </c:pt>
                <c:pt idx="59">
                  <c:v>40996.0</c:v>
                </c:pt>
                <c:pt idx="60">
                  <c:v>40997.0</c:v>
                </c:pt>
                <c:pt idx="61">
                  <c:v>40998.0</c:v>
                </c:pt>
                <c:pt idx="62">
                  <c:v>41001.0</c:v>
                </c:pt>
                <c:pt idx="63">
                  <c:v>41002.0</c:v>
                </c:pt>
                <c:pt idx="64">
                  <c:v>41003.0</c:v>
                </c:pt>
                <c:pt idx="65">
                  <c:v>41004.0</c:v>
                </c:pt>
                <c:pt idx="66">
                  <c:v>41008.0</c:v>
                </c:pt>
                <c:pt idx="67">
                  <c:v>41009.0</c:v>
                </c:pt>
                <c:pt idx="68">
                  <c:v>41010.0</c:v>
                </c:pt>
                <c:pt idx="69">
                  <c:v>41011.0</c:v>
                </c:pt>
                <c:pt idx="70">
                  <c:v>41012.0</c:v>
                </c:pt>
                <c:pt idx="71">
                  <c:v>41015.0</c:v>
                </c:pt>
                <c:pt idx="72">
                  <c:v>41016.0</c:v>
                </c:pt>
                <c:pt idx="73">
                  <c:v>41017.0</c:v>
                </c:pt>
                <c:pt idx="74">
                  <c:v>41018.0</c:v>
                </c:pt>
                <c:pt idx="75">
                  <c:v>41019.0</c:v>
                </c:pt>
                <c:pt idx="76">
                  <c:v>41022.0</c:v>
                </c:pt>
                <c:pt idx="77">
                  <c:v>41023.0</c:v>
                </c:pt>
                <c:pt idx="78">
                  <c:v>41024.0</c:v>
                </c:pt>
                <c:pt idx="79">
                  <c:v>41025.0</c:v>
                </c:pt>
                <c:pt idx="80">
                  <c:v>41026.0</c:v>
                </c:pt>
                <c:pt idx="81">
                  <c:v>41029.0</c:v>
                </c:pt>
                <c:pt idx="82">
                  <c:v>41030.0</c:v>
                </c:pt>
                <c:pt idx="83">
                  <c:v>41031.0</c:v>
                </c:pt>
                <c:pt idx="84">
                  <c:v>41032.0</c:v>
                </c:pt>
                <c:pt idx="85">
                  <c:v>41033.0</c:v>
                </c:pt>
                <c:pt idx="86">
                  <c:v>41036.0</c:v>
                </c:pt>
                <c:pt idx="87">
                  <c:v>41037.0</c:v>
                </c:pt>
                <c:pt idx="88">
                  <c:v>41038.0</c:v>
                </c:pt>
                <c:pt idx="89">
                  <c:v>41039.0</c:v>
                </c:pt>
                <c:pt idx="90">
                  <c:v>41040.0</c:v>
                </c:pt>
                <c:pt idx="91">
                  <c:v>41043.0</c:v>
                </c:pt>
                <c:pt idx="92">
                  <c:v>41044.0</c:v>
                </c:pt>
                <c:pt idx="93">
                  <c:v>41045.0</c:v>
                </c:pt>
                <c:pt idx="94">
                  <c:v>41046.0</c:v>
                </c:pt>
                <c:pt idx="95">
                  <c:v>41047.0</c:v>
                </c:pt>
                <c:pt idx="96">
                  <c:v>41050.0</c:v>
                </c:pt>
                <c:pt idx="97">
                  <c:v>41051.0</c:v>
                </c:pt>
                <c:pt idx="98">
                  <c:v>41052.0</c:v>
                </c:pt>
                <c:pt idx="99">
                  <c:v>41053.0</c:v>
                </c:pt>
                <c:pt idx="100">
                  <c:v>41054.0</c:v>
                </c:pt>
                <c:pt idx="101">
                  <c:v>41058.0</c:v>
                </c:pt>
                <c:pt idx="102">
                  <c:v>41059.0</c:v>
                </c:pt>
                <c:pt idx="103">
                  <c:v>41060.0</c:v>
                </c:pt>
                <c:pt idx="104">
                  <c:v>41061.0</c:v>
                </c:pt>
                <c:pt idx="105">
                  <c:v>41064.0</c:v>
                </c:pt>
                <c:pt idx="106">
                  <c:v>41065.0</c:v>
                </c:pt>
                <c:pt idx="107">
                  <c:v>41066.0</c:v>
                </c:pt>
                <c:pt idx="108">
                  <c:v>41067.0</c:v>
                </c:pt>
                <c:pt idx="109">
                  <c:v>41068.0</c:v>
                </c:pt>
                <c:pt idx="110">
                  <c:v>41071.0</c:v>
                </c:pt>
                <c:pt idx="111">
                  <c:v>41072.0</c:v>
                </c:pt>
                <c:pt idx="112">
                  <c:v>41073.0</c:v>
                </c:pt>
                <c:pt idx="113">
                  <c:v>41074.0</c:v>
                </c:pt>
                <c:pt idx="114">
                  <c:v>41075.0</c:v>
                </c:pt>
                <c:pt idx="115">
                  <c:v>41078.0</c:v>
                </c:pt>
                <c:pt idx="116">
                  <c:v>41079.0</c:v>
                </c:pt>
                <c:pt idx="117">
                  <c:v>41080.0</c:v>
                </c:pt>
                <c:pt idx="118">
                  <c:v>41081.0</c:v>
                </c:pt>
                <c:pt idx="119">
                  <c:v>41082.0</c:v>
                </c:pt>
                <c:pt idx="120">
                  <c:v>41085.0</c:v>
                </c:pt>
                <c:pt idx="121">
                  <c:v>41086.0</c:v>
                </c:pt>
                <c:pt idx="122">
                  <c:v>41087.0</c:v>
                </c:pt>
                <c:pt idx="123">
                  <c:v>41088.0</c:v>
                </c:pt>
                <c:pt idx="124">
                  <c:v>41089.0</c:v>
                </c:pt>
                <c:pt idx="125">
                  <c:v>41092.0</c:v>
                </c:pt>
                <c:pt idx="126">
                  <c:v>41093.0</c:v>
                </c:pt>
                <c:pt idx="127">
                  <c:v>41095.0</c:v>
                </c:pt>
                <c:pt idx="128">
                  <c:v>41096.0</c:v>
                </c:pt>
                <c:pt idx="129">
                  <c:v>41099.0</c:v>
                </c:pt>
                <c:pt idx="130">
                  <c:v>41100.0</c:v>
                </c:pt>
                <c:pt idx="131">
                  <c:v>41101.0</c:v>
                </c:pt>
                <c:pt idx="132">
                  <c:v>41102.0</c:v>
                </c:pt>
                <c:pt idx="133">
                  <c:v>41103.0</c:v>
                </c:pt>
                <c:pt idx="134">
                  <c:v>41106.0</c:v>
                </c:pt>
                <c:pt idx="135">
                  <c:v>41107.0</c:v>
                </c:pt>
                <c:pt idx="136">
                  <c:v>41108.0</c:v>
                </c:pt>
                <c:pt idx="137">
                  <c:v>41109.0</c:v>
                </c:pt>
                <c:pt idx="138">
                  <c:v>41110.0</c:v>
                </c:pt>
                <c:pt idx="139">
                  <c:v>41113.0</c:v>
                </c:pt>
                <c:pt idx="140">
                  <c:v>41114.0</c:v>
                </c:pt>
                <c:pt idx="141">
                  <c:v>41115.0</c:v>
                </c:pt>
                <c:pt idx="142">
                  <c:v>41116.0</c:v>
                </c:pt>
                <c:pt idx="143">
                  <c:v>41117.0</c:v>
                </c:pt>
                <c:pt idx="144">
                  <c:v>41120.0</c:v>
                </c:pt>
                <c:pt idx="145">
                  <c:v>41121.0</c:v>
                </c:pt>
                <c:pt idx="146">
                  <c:v>41122.0</c:v>
                </c:pt>
                <c:pt idx="147">
                  <c:v>41123.0</c:v>
                </c:pt>
                <c:pt idx="148">
                  <c:v>41124.0</c:v>
                </c:pt>
                <c:pt idx="149">
                  <c:v>41127.0</c:v>
                </c:pt>
                <c:pt idx="150">
                  <c:v>41128.0</c:v>
                </c:pt>
                <c:pt idx="151">
                  <c:v>41129.0</c:v>
                </c:pt>
                <c:pt idx="152">
                  <c:v>41130.0</c:v>
                </c:pt>
                <c:pt idx="153">
                  <c:v>41131.0</c:v>
                </c:pt>
                <c:pt idx="154">
                  <c:v>41134.0</c:v>
                </c:pt>
                <c:pt idx="155">
                  <c:v>41135.0</c:v>
                </c:pt>
                <c:pt idx="156">
                  <c:v>41136.0</c:v>
                </c:pt>
                <c:pt idx="157">
                  <c:v>41137.0</c:v>
                </c:pt>
                <c:pt idx="158">
                  <c:v>41138.0</c:v>
                </c:pt>
                <c:pt idx="159">
                  <c:v>41141.0</c:v>
                </c:pt>
                <c:pt idx="160">
                  <c:v>41142.0</c:v>
                </c:pt>
                <c:pt idx="161">
                  <c:v>41143.0</c:v>
                </c:pt>
                <c:pt idx="162">
                  <c:v>41144.0</c:v>
                </c:pt>
                <c:pt idx="163">
                  <c:v>41145.0</c:v>
                </c:pt>
                <c:pt idx="164">
                  <c:v>41148.0</c:v>
                </c:pt>
                <c:pt idx="165">
                  <c:v>41149.0</c:v>
                </c:pt>
                <c:pt idx="166">
                  <c:v>41150.0</c:v>
                </c:pt>
                <c:pt idx="167">
                  <c:v>41151.0</c:v>
                </c:pt>
                <c:pt idx="168">
                  <c:v>41152.0</c:v>
                </c:pt>
                <c:pt idx="169">
                  <c:v>41156.0</c:v>
                </c:pt>
                <c:pt idx="170">
                  <c:v>41157.0</c:v>
                </c:pt>
                <c:pt idx="171">
                  <c:v>41158.0</c:v>
                </c:pt>
                <c:pt idx="172">
                  <c:v>41159.0</c:v>
                </c:pt>
                <c:pt idx="173">
                  <c:v>41162.0</c:v>
                </c:pt>
                <c:pt idx="174">
                  <c:v>41163.0</c:v>
                </c:pt>
                <c:pt idx="175">
                  <c:v>41164.0</c:v>
                </c:pt>
                <c:pt idx="176">
                  <c:v>41165.0</c:v>
                </c:pt>
                <c:pt idx="177">
                  <c:v>41166.0</c:v>
                </c:pt>
                <c:pt idx="178">
                  <c:v>41169.0</c:v>
                </c:pt>
                <c:pt idx="179">
                  <c:v>41170.0</c:v>
                </c:pt>
                <c:pt idx="180">
                  <c:v>41171.0</c:v>
                </c:pt>
                <c:pt idx="181">
                  <c:v>41172.0</c:v>
                </c:pt>
                <c:pt idx="182">
                  <c:v>41173.0</c:v>
                </c:pt>
                <c:pt idx="183">
                  <c:v>41176.0</c:v>
                </c:pt>
                <c:pt idx="184">
                  <c:v>41177.0</c:v>
                </c:pt>
                <c:pt idx="185">
                  <c:v>41178.0</c:v>
                </c:pt>
                <c:pt idx="186">
                  <c:v>41179.0</c:v>
                </c:pt>
                <c:pt idx="187">
                  <c:v>41180.0</c:v>
                </c:pt>
                <c:pt idx="188">
                  <c:v>41183.0</c:v>
                </c:pt>
                <c:pt idx="189">
                  <c:v>41184.0</c:v>
                </c:pt>
                <c:pt idx="190">
                  <c:v>41185.0</c:v>
                </c:pt>
                <c:pt idx="191">
                  <c:v>41186.0</c:v>
                </c:pt>
                <c:pt idx="192">
                  <c:v>41187.0</c:v>
                </c:pt>
                <c:pt idx="193">
                  <c:v>41190.0</c:v>
                </c:pt>
                <c:pt idx="194">
                  <c:v>41191.0</c:v>
                </c:pt>
                <c:pt idx="195">
                  <c:v>41192.0</c:v>
                </c:pt>
                <c:pt idx="196">
                  <c:v>41193.0</c:v>
                </c:pt>
                <c:pt idx="197">
                  <c:v>41194.0</c:v>
                </c:pt>
                <c:pt idx="198">
                  <c:v>41197.0</c:v>
                </c:pt>
                <c:pt idx="199">
                  <c:v>41198.0</c:v>
                </c:pt>
                <c:pt idx="200">
                  <c:v>41199.0</c:v>
                </c:pt>
                <c:pt idx="201">
                  <c:v>41200.0</c:v>
                </c:pt>
                <c:pt idx="202">
                  <c:v>41201.0</c:v>
                </c:pt>
                <c:pt idx="203">
                  <c:v>41204.0</c:v>
                </c:pt>
                <c:pt idx="204">
                  <c:v>41205.0</c:v>
                </c:pt>
                <c:pt idx="205">
                  <c:v>41206.0</c:v>
                </c:pt>
                <c:pt idx="206">
                  <c:v>41207.0</c:v>
                </c:pt>
                <c:pt idx="207">
                  <c:v>41208.0</c:v>
                </c:pt>
                <c:pt idx="208">
                  <c:v>41213.0</c:v>
                </c:pt>
                <c:pt idx="209">
                  <c:v>41214.0</c:v>
                </c:pt>
                <c:pt idx="210">
                  <c:v>41215.0</c:v>
                </c:pt>
                <c:pt idx="211">
                  <c:v>41218.0</c:v>
                </c:pt>
                <c:pt idx="212">
                  <c:v>41219.0</c:v>
                </c:pt>
                <c:pt idx="213">
                  <c:v>41220.0</c:v>
                </c:pt>
                <c:pt idx="214">
                  <c:v>41221.0</c:v>
                </c:pt>
                <c:pt idx="215">
                  <c:v>41222.0</c:v>
                </c:pt>
                <c:pt idx="216">
                  <c:v>41225.0</c:v>
                </c:pt>
                <c:pt idx="217">
                  <c:v>41226.0</c:v>
                </c:pt>
                <c:pt idx="218">
                  <c:v>41227.0</c:v>
                </c:pt>
                <c:pt idx="219">
                  <c:v>41228.0</c:v>
                </c:pt>
                <c:pt idx="220">
                  <c:v>41229.0</c:v>
                </c:pt>
                <c:pt idx="221">
                  <c:v>41232.0</c:v>
                </c:pt>
                <c:pt idx="222">
                  <c:v>41233.0</c:v>
                </c:pt>
                <c:pt idx="223">
                  <c:v>41234.0</c:v>
                </c:pt>
                <c:pt idx="224">
                  <c:v>41236.0</c:v>
                </c:pt>
                <c:pt idx="225">
                  <c:v>41239.0</c:v>
                </c:pt>
                <c:pt idx="226">
                  <c:v>41240.0</c:v>
                </c:pt>
                <c:pt idx="227">
                  <c:v>41241.0</c:v>
                </c:pt>
                <c:pt idx="228">
                  <c:v>41242.0</c:v>
                </c:pt>
                <c:pt idx="229">
                  <c:v>41243.0</c:v>
                </c:pt>
                <c:pt idx="230">
                  <c:v>41246.0</c:v>
                </c:pt>
                <c:pt idx="231">
                  <c:v>41247.0</c:v>
                </c:pt>
                <c:pt idx="232">
                  <c:v>41248.0</c:v>
                </c:pt>
                <c:pt idx="233">
                  <c:v>41249.0</c:v>
                </c:pt>
                <c:pt idx="234">
                  <c:v>41250.0</c:v>
                </c:pt>
                <c:pt idx="235">
                  <c:v>41253.0</c:v>
                </c:pt>
                <c:pt idx="236">
                  <c:v>41254.0</c:v>
                </c:pt>
                <c:pt idx="237">
                  <c:v>41255.0</c:v>
                </c:pt>
                <c:pt idx="238">
                  <c:v>41256.0</c:v>
                </c:pt>
                <c:pt idx="239">
                  <c:v>41257.0</c:v>
                </c:pt>
                <c:pt idx="240">
                  <c:v>41260.0</c:v>
                </c:pt>
                <c:pt idx="241">
                  <c:v>41261.0</c:v>
                </c:pt>
                <c:pt idx="242">
                  <c:v>41262.0</c:v>
                </c:pt>
                <c:pt idx="243">
                  <c:v>41263.0</c:v>
                </c:pt>
                <c:pt idx="244">
                  <c:v>41264.0</c:v>
                </c:pt>
                <c:pt idx="245">
                  <c:v>41267.0</c:v>
                </c:pt>
                <c:pt idx="246">
                  <c:v>41269.0</c:v>
                </c:pt>
                <c:pt idx="247">
                  <c:v>41270.0</c:v>
                </c:pt>
                <c:pt idx="248">
                  <c:v>41271.0</c:v>
                </c:pt>
                <c:pt idx="249">
                  <c:v>41274.0</c:v>
                </c:pt>
                <c:pt idx="250">
                  <c:v>41276.0</c:v>
                </c:pt>
                <c:pt idx="251">
                  <c:v>41277.0</c:v>
                </c:pt>
                <c:pt idx="252">
                  <c:v>41278.0</c:v>
                </c:pt>
                <c:pt idx="253">
                  <c:v>41281.0</c:v>
                </c:pt>
                <c:pt idx="254">
                  <c:v>41282.0</c:v>
                </c:pt>
                <c:pt idx="255">
                  <c:v>41283.0</c:v>
                </c:pt>
                <c:pt idx="256">
                  <c:v>41284.0</c:v>
                </c:pt>
                <c:pt idx="257">
                  <c:v>41285.0</c:v>
                </c:pt>
                <c:pt idx="258">
                  <c:v>41288.0</c:v>
                </c:pt>
                <c:pt idx="259">
                  <c:v>41289.0</c:v>
                </c:pt>
                <c:pt idx="260">
                  <c:v>41290.0</c:v>
                </c:pt>
                <c:pt idx="261">
                  <c:v>41291.0</c:v>
                </c:pt>
                <c:pt idx="262">
                  <c:v>41292.0</c:v>
                </c:pt>
                <c:pt idx="263">
                  <c:v>41296.0</c:v>
                </c:pt>
                <c:pt idx="264">
                  <c:v>41297.0</c:v>
                </c:pt>
                <c:pt idx="265">
                  <c:v>41298.0</c:v>
                </c:pt>
                <c:pt idx="266">
                  <c:v>41299.0</c:v>
                </c:pt>
                <c:pt idx="267">
                  <c:v>41302.0</c:v>
                </c:pt>
                <c:pt idx="268">
                  <c:v>41303.0</c:v>
                </c:pt>
                <c:pt idx="269">
                  <c:v>41304.0</c:v>
                </c:pt>
                <c:pt idx="270">
                  <c:v>41305.0</c:v>
                </c:pt>
                <c:pt idx="271">
                  <c:v>41306.0</c:v>
                </c:pt>
                <c:pt idx="272">
                  <c:v>41309.0</c:v>
                </c:pt>
                <c:pt idx="273">
                  <c:v>41310.0</c:v>
                </c:pt>
                <c:pt idx="274">
                  <c:v>41311.0</c:v>
                </c:pt>
                <c:pt idx="275">
                  <c:v>41312.0</c:v>
                </c:pt>
                <c:pt idx="276">
                  <c:v>41313.0</c:v>
                </c:pt>
                <c:pt idx="277">
                  <c:v>41316.0</c:v>
                </c:pt>
                <c:pt idx="278">
                  <c:v>41317.0</c:v>
                </c:pt>
                <c:pt idx="279">
                  <c:v>41318.0</c:v>
                </c:pt>
                <c:pt idx="280">
                  <c:v>41319.0</c:v>
                </c:pt>
                <c:pt idx="281">
                  <c:v>41320.0</c:v>
                </c:pt>
                <c:pt idx="282">
                  <c:v>41324.0</c:v>
                </c:pt>
                <c:pt idx="283">
                  <c:v>41325.0</c:v>
                </c:pt>
                <c:pt idx="284">
                  <c:v>41326.0</c:v>
                </c:pt>
                <c:pt idx="285">
                  <c:v>41327.0</c:v>
                </c:pt>
                <c:pt idx="286">
                  <c:v>41330.0</c:v>
                </c:pt>
                <c:pt idx="287">
                  <c:v>41331.0</c:v>
                </c:pt>
                <c:pt idx="288">
                  <c:v>41332.0</c:v>
                </c:pt>
                <c:pt idx="289">
                  <c:v>41333.0</c:v>
                </c:pt>
                <c:pt idx="290">
                  <c:v>41334.0</c:v>
                </c:pt>
                <c:pt idx="291">
                  <c:v>41337.0</c:v>
                </c:pt>
                <c:pt idx="292">
                  <c:v>41338.0</c:v>
                </c:pt>
                <c:pt idx="293">
                  <c:v>41339.0</c:v>
                </c:pt>
                <c:pt idx="294">
                  <c:v>41340.0</c:v>
                </c:pt>
                <c:pt idx="295">
                  <c:v>41341.0</c:v>
                </c:pt>
                <c:pt idx="296">
                  <c:v>41344.0</c:v>
                </c:pt>
                <c:pt idx="297">
                  <c:v>41345.0</c:v>
                </c:pt>
                <c:pt idx="298">
                  <c:v>41346.0</c:v>
                </c:pt>
                <c:pt idx="299">
                  <c:v>41347.0</c:v>
                </c:pt>
                <c:pt idx="300">
                  <c:v>41348.0</c:v>
                </c:pt>
                <c:pt idx="301">
                  <c:v>41351.0</c:v>
                </c:pt>
                <c:pt idx="302">
                  <c:v>41352.0</c:v>
                </c:pt>
                <c:pt idx="303">
                  <c:v>41353.0</c:v>
                </c:pt>
                <c:pt idx="304">
                  <c:v>41354.0</c:v>
                </c:pt>
                <c:pt idx="305">
                  <c:v>41355.0</c:v>
                </c:pt>
                <c:pt idx="306">
                  <c:v>41358.0</c:v>
                </c:pt>
                <c:pt idx="307">
                  <c:v>41359.0</c:v>
                </c:pt>
                <c:pt idx="308">
                  <c:v>41360.0</c:v>
                </c:pt>
                <c:pt idx="309">
                  <c:v>41361.0</c:v>
                </c:pt>
                <c:pt idx="310">
                  <c:v>41365.0</c:v>
                </c:pt>
                <c:pt idx="311">
                  <c:v>41366.0</c:v>
                </c:pt>
                <c:pt idx="312">
                  <c:v>41367.0</c:v>
                </c:pt>
                <c:pt idx="313">
                  <c:v>41368.0</c:v>
                </c:pt>
                <c:pt idx="314">
                  <c:v>41369.0</c:v>
                </c:pt>
                <c:pt idx="315">
                  <c:v>41372.0</c:v>
                </c:pt>
                <c:pt idx="316">
                  <c:v>41373.0</c:v>
                </c:pt>
                <c:pt idx="317">
                  <c:v>41374.0</c:v>
                </c:pt>
                <c:pt idx="318">
                  <c:v>41375.0</c:v>
                </c:pt>
                <c:pt idx="319">
                  <c:v>41376.0</c:v>
                </c:pt>
                <c:pt idx="320">
                  <c:v>41379.0</c:v>
                </c:pt>
                <c:pt idx="321">
                  <c:v>41380.0</c:v>
                </c:pt>
                <c:pt idx="322">
                  <c:v>41381.0</c:v>
                </c:pt>
                <c:pt idx="323">
                  <c:v>41382.0</c:v>
                </c:pt>
                <c:pt idx="324">
                  <c:v>41383.0</c:v>
                </c:pt>
                <c:pt idx="325">
                  <c:v>41386.0</c:v>
                </c:pt>
                <c:pt idx="326">
                  <c:v>41387.0</c:v>
                </c:pt>
                <c:pt idx="327">
                  <c:v>41388.0</c:v>
                </c:pt>
                <c:pt idx="328">
                  <c:v>41389.0</c:v>
                </c:pt>
                <c:pt idx="329">
                  <c:v>41390.0</c:v>
                </c:pt>
                <c:pt idx="330">
                  <c:v>41393.0</c:v>
                </c:pt>
                <c:pt idx="331">
                  <c:v>41394.0</c:v>
                </c:pt>
                <c:pt idx="332">
                  <c:v>41395.0</c:v>
                </c:pt>
                <c:pt idx="333">
                  <c:v>41396.0</c:v>
                </c:pt>
                <c:pt idx="334">
                  <c:v>41397.0</c:v>
                </c:pt>
                <c:pt idx="335">
                  <c:v>41400.0</c:v>
                </c:pt>
                <c:pt idx="336">
                  <c:v>41401.0</c:v>
                </c:pt>
                <c:pt idx="337">
                  <c:v>41402.0</c:v>
                </c:pt>
                <c:pt idx="338">
                  <c:v>41403.0</c:v>
                </c:pt>
                <c:pt idx="339">
                  <c:v>41404.0</c:v>
                </c:pt>
                <c:pt idx="340">
                  <c:v>41407.0</c:v>
                </c:pt>
                <c:pt idx="341">
                  <c:v>41408.0</c:v>
                </c:pt>
                <c:pt idx="342">
                  <c:v>41409.0</c:v>
                </c:pt>
                <c:pt idx="343">
                  <c:v>41410.0</c:v>
                </c:pt>
                <c:pt idx="344">
                  <c:v>41411.0</c:v>
                </c:pt>
                <c:pt idx="345">
                  <c:v>41414.0</c:v>
                </c:pt>
                <c:pt idx="346">
                  <c:v>41415.0</c:v>
                </c:pt>
                <c:pt idx="347">
                  <c:v>41416.0</c:v>
                </c:pt>
                <c:pt idx="348">
                  <c:v>41417.0</c:v>
                </c:pt>
                <c:pt idx="349">
                  <c:v>41418.0</c:v>
                </c:pt>
                <c:pt idx="350">
                  <c:v>41422.0</c:v>
                </c:pt>
                <c:pt idx="351">
                  <c:v>41423.0</c:v>
                </c:pt>
                <c:pt idx="352">
                  <c:v>41424.0</c:v>
                </c:pt>
                <c:pt idx="353">
                  <c:v>41425.0</c:v>
                </c:pt>
                <c:pt idx="354">
                  <c:v>41428.0</c:v>
                </c:pt>
                <c:pt idx="355">
                  <c:v>41429.0</c:v>
                </c:pt>
                <c:pt idx="356">
                  <c:v>41430.0</c:v>
                </c:pt>
                <c:pt idx="357">
                  <c:v>41431.0</c:v>
                </c:pt>
                <c:pt idx="358">
                  <c:v>41432.0</c:v>
                </c:pt>
                <c:pt idx="359">
                  <c:v>41435.0</c:v>
                </c:pt>
                <c:pt idx="360">
                  <c:v>41436.0</c:v>
                </c:pt>
                <c:pt idx="361">
                  <c:v>41437.0</c:v>
                </c:pt>
                <c:pt idx="362">
                  <c:v>41438.0</c:v>
                </c:pt>
                <c:pt idx="363">
                  <c:v>41439.0</c:v>
                </c:pt>
                <c:pt idx="364">
                  <c:v>41442.0</c:v>
                </c:pt>
                <c:pt idx="365">
                  <c:v>41443.0</c:v>
                </c:pt>
                <c:pt idx="366">
                  <c:v>41444.0</c:v>
                </c:pt>
                <c:pt idx="367">
                  <c:v>41445.0</c:v>
                </c:pt>
                <c:pt idx="368">
                  <c:v>41446.0</c:v>
                </c:pt>
                <c:pt idx="369">
                  <c:v>41449.0</c:v>
                </c:pt>
                <c:pt idx="370">
                  <c:v>41450.0</c:v>
                </c:pt>
                <c:pt idx="371">
                  <c:v>41451.0</c:v>
                </c:pt>
                <c:pt idx="372">
                  <c:v>41452.0</c:v>
                </c:pt>
                <c:pt idx="373">
                  <c:v>41453.0</c:v>
                </c:pt>
                <c:pt idx="374">
                  <c:v>41456.0</c:v>
                </c:pt>
                <c:pt idx="375">
                  <c:v>41457.0</c:v>
                </c:pt>
                <c:pt idx="376">
                  <c:v>41458.0</c:v>
                </c:pt>
                <c:pt idx="377">
                  <c:v>41460.0</c:v>
                </c:pt>
                <c:pt idx="378">
                  <c:v>41463.0</c:v>
                </c:pt>
                <c:pt idx="379">
                  <c:v>41464.0</c:v>
                </c:pt>
                <c:pt idx="380">
                  <c:v>41465.0</c:v>
                </c:pt>
                <c:pt idx="381">
                  <c:v>41466.0</c:v>
                </c:pt>
                <c:pt idx="382">
                  <c:v>41467.0</c:v>
                </c:pt>
                <c:pt idx="383">
                  <c:v>41470.0</c:v>
                </c:pt>
                <c:pt idx="384">
                  <c:v>41471.0</c:v>
                </c:pt>
                <c:pt idx="385">
                  <c:v>41472.0</c:v>
                </c:pt>
                <c:pt idx="386">
                  <c:v>41473.0</c:v>
                </c:pt>
                <c:pt idx="387">
                  <c:v>41474.0</c:v>
                </c:pt>
                <c:pt idx="388">
                  <c:v>41477.0</c:v>
                </c:pt>
                <c:pt idx="389">
                  <c:v>41478.0</c:v>
                </c:pt>
                <c:pt idx="390">
                  <c:v>41479.0</c:v>
                </c:pt>
                <c:pt idx="391">
                  <c:v>41480.0</c:v>
                </c:pt>
                <c:pt idx="392">
                  <c:v>41481.0</c:v>
                </c:pt>
                <c:pt idx="393">
                  <c:v>41484.0</c:v>
                </c:pt>
                <c:pt idx="394">
                  <c:v>41485.0</c:v>
                </c:pt>
                <c:pt idx="395">
                  <c:v>41486.0</c:v>
                </c:pt>
                <c:pt idx="396">
                  <c:v>41487.0</c:v>
                </c:pt>
                <c:pt idx="397">
                  <c:v>41488.0</c:v>
                </c:pt>
                <c:pt idx="398">
                  <c:v>41491.0</c:v>
                </c:pt>
                <c:pt idx="399">
                  <c:v>41492.0</c:v>
                </c:pt>
                <c:pt idx="400">
                  <c:v>41493.0</c:v>
                </c:pt>
                <c:pt idx="401">
                  <c:v>41494.0</c:v>
                </c:pt>
                <c:pt idx="402">
                  <c:v>41495.0</c:v>
                </c:pt>
                <c:pt idx="403">
                  <c:v>41498.0</c:v>
                </c:pt>
                <c:pt idx="404">
                  <c:v>41499.0</c:v>
                </c:pt>
                <c:pt idx="405">
                  <c:v>41500.0</c:v>
                </c:pt>
                <c:pt idx="406">
                  <c:v>41501.0</c:v>
                </c:pt>
                <c:pt idx="407">
                  <c:v>41502.0</c:v>
                </c:pt>
                <c:pt idx="408">
                  <c:v>41505.0</c:v>
                </c:pt>
                <c:pt idx="409">
                  <c:v>41506.0</c:v>
                </c:pt>
                <c:pt idx="410">
                  <c:v>41507.0</c:v>
                </c:pt>
                <c:pt idx="411">
                  <c:v>41508.0</c:v>
                </c:pt>
                <c:pt idx="412">
                  <c:v>41509.0</c:v>
                </c:pt>
                <c:pt idx="413">
                  <c:v>41512.0</c:v>
                </c:pt>
                <c:pt idx="414">
                  <c:v>41513.0</c:v>
                </c:pt>
                <c:pt idx="415">
                  <c:v>41514.0</c:v>
                </c:pt>
                <c:pt idx="416">
                  <c:v>41515.0</c:v>
                </c:pt>
                <c:pt idx="417">
                  <c:v>41516.0</c:v>
                </c:pt>
                <c:pt idx="418">
                  <c:v>41520.0</c:v>
                </c:pt>
                <c:pt idx="419">
                  <c:v>41521.0</c:v>
                </c:pt>
                <c:pt idx="420">
                  <c:v>41522.0</c:v>
                </c:pt>
                <c:pt idx="421">
                  <c:v>41523.0</c:v>
                </c:pt>
                <c:pt idx="422">
                  <c:v>41526.0</c:v>
                </c:pt>
                <c:pt idx="423">
                  <c:v>41527.0</c:v>
                </c:pt>
                <c:pt idx="424">
                  <c:v>41528.0</c:v>
                </c:pt>
                <c:pt idx="425">
                  <c:v>41529.0</c:v>
                </c:pt>
                <c:pt idx="426">
                  <c:v>41530.0</c:v>
                </c:pt>
                <c:pt idx="427">
                  <c:v>41533.0</c:v>
                </c:pt>
                <c:pt idx="428">
                  <c:v>41534.0</c:v>
                </c:pt>
                <c:pt idx="429">
                  <c:v>41535.0</c:v>
                </c:pt>
                <c:pt idx="430">
                  <c:v>41536.0</c:v>
                </c:pt>
                <c:pt idx="431">
                  <c:v>41537.0</c:v>
                </c:pt>
                <c:pt idx="432">
                  <c:v>41540.0</c:v>
                </c:pt>
                <c:pt idx="433">
                  <c:v>41541.0</c:v>
                </c:pt>
                <c:pt idx="434">
                  <c:v>41542.0</c:v>
                </c:pt>
                <c:pt idx="435">
                  <c:v>41543.0</c:v>
                </c:pt>
                <c:pt idx="436">
                  <c:v>41544.0</c:v>
                </c:pt>
                <c:pt idx="437">
                  <c:v>41547.0</c:v>
                </c:pt>
                <c:pt idx="438">
                  <c:v>41548.0</c:v>
                </c:pt>
                <c:pt idx="439">
                  <c:v>41549.0</c:v>
                </c:pt>
                <c:pt idx="440">
                  <c:v>41550.0</c:v>
                </c:pt>
                <c:pt idx="441">
                  <c:v>41551.0</c:v>
                </c:pt>
                <c:pt idx="442">
                  <c:v>41554.0</c:v>
                </c:pt>
                <c:pt idx="443">
                  <c:v>41555.0</c:v>
                </c:pt>
                <c:pt idx="444">
                  <c:v>41556.0</c:v>
                </c:pt>
                <c:pt idx="445">
                  <c:v>41557.0</c:v>
                </c:pt>
                <c:pt idx="446">
                  <c:v>41558.0</c:v>
                </c:pt>
                <c:pt idx="447">
                  <c:v>41561.0</c:v>
                </c:pt>
                <c:pt idx="448">
                  <c:v>41562.0</c:v>
                </c:pt>
                <c:pt idx="449">
                  <c:v>41563.0</c:v>
                </c:pt>
                <c:pt idx="450">
                  <c:v>41564.0</c:v>
                </c:pt>
                <c:pt idx="451">
                  <c:v>41565.0</c:v>
                </c:pt>
                <c:pt idx="452">
                  <c:v>41568.0</c:v>
                </c:pt>
                <c:pt idx="453">
                  <c:v>41569.0</c:v>
                </c:pt>
                <c:pt idx="454">
                  <c:v>41570.0</c:v>
                </c:pt>
                <c:pt idx="455">
                  <c:v>41571.0</c:v>
                </c:pt>
                <c:pt idx="456">
                  <c:v>41572.0</c:v>
                </c:pt>
                <c:pt idx="457">
                  <c:v>41575.0</c:v>
                </c:pt>
                <c:pt idx="458">
                  <c:v>41576.0</c:v>
                </c:pt>
                <c:pt idx="459">
                  <c:v>41577.0</c:v>
                </c:pt>
                <c:pt idx="460">
                  <c:v>41578.0</c:v>
                </c:pt>
                <c:pt idx="461">
                  <c:v>41579.0</c:v>
                </c:pt>
                <c:pt idx="462">
                  <c:v>41582.0</c:v>
                </c:pt>
                <c:pt idx="463">
                  <c:v>41583.0</c:v>
                </c:pt>
                <c:pt idx="464">
                  <c:v>41584.0</c:v>
                </c:pt>
                <c:pt idx="465">
                  <c:v>41585.0</c:v>
                </c:pt>
                <c:pt idx="466">
                  <c:v>41586.0</c:v>
                </c:pt>
                <c:pt idx="467">
                  <c:v>41589.0</c:v>
                </c:pt>
                <c:pt idx="468">
                  <c:v>41590.0</c:v>
                </c:pt>
                <c:pt idx="469">
                  <c:v>41591.0</c:v>
                </c:pt>
                <c:pt idx="470">
                  <c:v>41592.0</c:v>
                </c:pt>
                <c:pt idx="471">
                  <c:v>41593.0</c:v>
                </c:pt>
                <c:pt idx="472">
                  <c:v>41596.0</c:v>
                </c:pt>
                <c:pt idx="473">
                  <c:v>41597.0</c:v>
                </c:pt>
                <c:pt idx="474">
                  <c:v>41598.0</c:v>
                </c:pt>
                <c:pt idx="475">
                  <c:v>41599.0</c:v>
                </c:pt>
                <c:pt idx="476">
                  <c:v>41600.0</c:v>
                </c:pt>
                <c:pt idx="477">
                  <c:v>41603.0</c:v>
                </c:pt>
                <c:pt idx="478">
                  <c:v>41604.0</c:v>
                </c:pt>
                <c:pt idx="479">
                  <c:v>41605.0</c:v>
                </c:pt>
                <c:pt idx="480">
                  <c:v>41607.0</c:v>
                </c:pt>
                <c:pt idx="481">
                  <c:v>41610.0</c:v>
                </c:pt>
                <c:pt idx="482">
                  <c:v>41611.0</c:v>
                </c:pt>
                <c:pt idx="483">
                  <c:v>41612.0</c:v>
                </c:pt>
                <c:pt idx="484">
                  <c:v>41613.0</c:v>
                </c:pt>
                <c:pt idx="485">
                  <c:v>41614.0</c:v>
                </c:pt>
                <c:pt idx="486">
                  <c:v>41617.0</c:v>
                </c:pt>
                <c:pt idx="487">
                  <c:v>41618.0</c:v>
                </c:pt>
                <c:pt idx="488">
                  <c:v>41619.0</c:v>
                </c:pt>
                <c:pt idx="489">
                  <c:v>41620.0</c:v>
                </c:pt>
                <c:pt idx="490">
                  <c:v>41621.0</c:v>
                </c:pt>
                <c:pt idx="491">
                  <c:v>41624.0</c:v>
                </c:pt>
                <c:pt idx="492">
                  <c:v>41625.0</c:v>
                </c:pt>
                <c:pt idx="493">
                  <c:v>41626.0</c:v>
                </c:pt>
                <c:pt idx="494">
                  <c:v>41627.0</c:v>
                </c:pt>
                <c:pt idx="495">
                  <c:v>41628.0</c:v>
                </c:pt>
                <c:pt idx="496">
                  <c:v>41631.0</c:v>
                </c:pt>
                <c:pt idx="497">
                  <c:v>41632.0</c:v>
                </c:pt>
                <c:pt idx="498">
                  <c:v>41634.0</c:v>
                </c:pt>
                <c:pt idx="499">
                  <c:v>41635.0</c:v>
                </c:pt>
                <c:pt idx="500">
                  <c:v>41638.0</c:v>
                </c:pt>
                <c:pt idx="501">
                  <c:v>41639.0</c:v>
                </c:pt>
                <c:pt idx="502">
                  <c:v>41641.0</c:v>
                </c:pt>
                <c:pt idx="503">
                  <c:v>41642.0</c:v>
                </c:pt>
                <c:pt idx="504">
                  <c:v>41645.0</c:v>
                </c:pt>
                <c:pt idx="505">
                  <c:v>41646.0</c:v>
                </c:pt>
                <c:pt idx="506">
                  <c:v>41647.0</c:v>
                </c:pt>
                <c:pt idx="507">
                  <c:v>41648.0</c:v>
                </c:pt>
                <c:pt idx="508">
                  <c:v>41649.0</c:v>
                </c:pt>
                <c:pt idx="509">
                  <c:v>41652.0</c:v>
                </c:pt>
                <c:pt idx="510">
                  <c:v>41653.0</c:v>
                </c:pt>
                <c:pt idx="511">
                  <c:v>41654.0</c:v>
                </c:pt>
                <c:pt idx="512">
                  <c:v>41655.0</c:v>
                </c:pt>
                <c:pt idx="513">
                  <c:v>41656.0</c:v>
                </c:pt>
                <c:pt idx="514">
                  <c:v>41660.0</c:v>
                </c:pt>
                <c:pt idx="515">
                  <c:v>41661.0</c:v>
                </c:pt>
                <c:pt idx="516">
                  <c:v>41662.0</c:v>
                </c:pt>
                <c:pt idx="517">
                  <c:v>41663.0</c:v>
                </c:pt>
                <c:pt idx="518">
                  <c:v>41666.0</c:v>
                </c:pt>
                <c:pt idx="519">
                  <c:v>41667.0</c:v>
                </c:pt>
                <c:pt idx="520">
                  <c:v>41668.0</c:v>
                </c:pt>
                <c:pt idx="521">
                  <c:v>41669.0</c:v>
                </c:pt>
                <c:pt idx="522">
                  <c:v>41670.0</c:v>
                </c:pt>
                <c:pt idx="523">
                  <c:v>41673.0</c:v>
                </c:pt>
                <c:pt idx="524">
                  <c:v>41674.0</c:v>
                </c:pt>
                <c:pt idx="525">
                  <c:v>41675.0</c:v>
                </c:pt>
                <c:pt idx="526">
                  <c:v>41676.0</c:v>
                </c:pt>
                <c:pt idx="527">
                  <c:v>41677.0</c:v>
                </c:pt>
                <c:pt idx="528">
                  <c:v>41680.0</c:v>
                </c:pt>
                <c:pt idx="529">
                  <c:v>41681.0</c:v>
                </c:pt>
                <c:pt idx="530">
                  <c:v>41682.0</c:v>
                </c:pt>
                <c:pt idx="531">
                  <c:v>41683.0</c:v>
                </c:pt>
                <c:pt idx="532">
                  <c:v>41684.0</c:v>
                </c:pt>
                <c:pt idx="533">
                  <c:v>41688.0</c:v>
                </c:pt>
                <c:pt idx="534">
                  <c:v>41689.0</c:v>
                </c:pt>
                <c:pt idx="535">
                  <c:v>41690.0</c:v>
                </c:pt>
                <c:pt idx="536">
                  <c:v>41691.0</c:v>
                </c:pt>
                <c:pt idx="537">
                  <c:v>41694.0</c:v>
                </c:pt>
                <c:pt idx="538">
                  <c:v>41695.0</c:v>
                </c:pt>
                <c:pt idx="539">
                  <c:v>41696.0</c:v>
                </c:pt>
                <c:pt idx="540">
                  <c:v>41697.0</c:v>
                </c:pt>
                <c:pt idx="541">
                  <c:v>41698.0</c:v>
                </c:pt>
                <c:pt idx="542">
                  <c:v>41701.0</c:v>
                </c:pt>
                <c:pt idx="543">
                  <c:v>41702.0</c:v>
                </c:pt>
                <c:pt idx="544">
                  <c:v>41703.0</c:v>
                </c:pt>
                <c:pt idx="545">
                  <c:v>41704.0</c:v>
                </c:pt>
                <c:pt idx="546">
                  <c:v>41705.0</c:v>
                </c:pt>
                <c:pt idx="547">
                  <c:v>41708.0</c:v>
                </c:pt>
                <c:pt idx="548">
                  <c:v>41709.0</c:v>
                </c:pt>
                <c:pt idx="549">
                  <c:v>41710.0</c:v>
                </c:pt>
                <c:pt idx="550">
                  <c:v>41711.0</c:v>
                </c:pt>
                <c:pt idx="551">
                  <c:v>41712.0</c:v>
                </c:pt>
                <c:pt idx="552">
                  <c:v>41715.0</c:v>
                </c:pt>
                <c:pt idx="553">
                  <c:v>41716.0</c:v>
                </c:pt>
                <c:pt idx="554">
                  <c:v>41717.0</c:v>
                </c:pt>
                <c:pt idx="555">
                  <c:v>41718.0</c:v>
                </c:pt>
                <c:pt idx="556">
                  <c:v>41719.0</c:v>
                </c:pt>
                <c:pt idx="557">
                  <c:v>41722.0</c:v>
                </c:pt>
                <c:pt idx="558">
                  <c:v>41723.0</c:v>
                </c:pt>
                <c:pt idx="559">
                  <c:v>41724.0</c:v>
                </c:pt>
                <c:pt idx="560">
                  <c:v>41725.0</c:v>
                </c:pt>
                <c:pt idx="561">
                  <c:v>41726.0</c:v>
                </c:pt>
                <c:pt idx="562">
                  <c:v>41729.0</c:v>
                </c:pt>
                <c:pt idx="563">
                  <c:v>41730.0</c:v>
                </c:pt>
                <c:pt idx="564">
                  <c:v>41731.0</c:v>
                </c:pt>
                <c:pt idx="565">
                  <c:v>41732.0</c:v>
                </c:pt>
                <c:pt idx="566">
                  <c:v>41733.0</c:v>
                </c:pt>
                <c:pt idx="567">
                  <c:v>41736.0</c:v>
                </c:pt>
                <c:pt idx="568">
                  <c:v>41737.0</c:v>
                </c:pt>
                <c:pt idx="569">
                  <c:v>41738.0</c:v>
                </c:pt>
                <c:pt idx="570">
                  <c:v>41739.0</c:v>
                </c:pt>
                <c:pt idx="571">
                  <c:v>41740.0</c:v>
                </c:pt>
                <c:pt idx="572">
                  <c:v>41743.0</c:v>
                </c:pt>
                <c:pt idx="573">
                  <c:v>41744.0</c:v>
                </c:pt>
                <c:pt idx="574">
                  <c:v>41745.0</c:v>
                </c:pt>
                <c:pt idx="575">
                  <c:v>41746.0</c:v>
                </c:pt>
                <c:pt idx="576">
                  <c:v>41750.0</c:v>
                </c:pt>
                <c:pt idx="577">
                  <c:v>41751.0</c:v>
                </c:pt>
                <c:pt idx="578">
                  <c:v>41752.0</c:v>
                </c:pt>
                <c:pt idx="579">
                  <c:v>41753.0</c:v>
                </c:pt>
                <c:pt idx="580">
                  <c:v>41754.0</c:v>
                </c:pt>
                <c:pt idx="581">
                  <c:v>41757.0</c:v>
                </c:pt>
                <c:pt idx="582">
                  <c:v>41758.0</c:v>
                </c:pt>
                <c:pt idx="583">
                  <c:v>41759.0</c:v>
                </c:pt>
                <c:pt idx="584">
                  <c:v>41760.0</c:v>
                </c:pt>
                <c:pt idx="585">
                  <c:v>41761.0</c:v>
                </c:pt>
                <c:pt idx="586">
                  <c:v>41764.0</c:v>
                </c:pt>
                <c:pt idx="587">
                  <c:v>41765.0</c:v>
                </c:pt>
                <c:pt idx="588">
                  <c:v>41766.0</c:v>
                </c:pt>
                <c:pt idx="589">
                  <c:v>41767.0</c:v>
                </c:pt>
                <c:pt idx="590">
                  <c:v>41768.0</c:v>
                </c:pt>
                <c:pt idx="591">
                  <c:v>41771.0</c:v>
                </c:pt>
                <c:pt idx="592">
                  <c:v>41772.0</c:v>
                </c:pt>
                <c:pt idx="593">
                  <c:v>41773.0</c:v>
                </c:pt>
                <c:pt idx="594">
                  <c:v>41774.0</c:v>
                </c:pt>
                <c:pt idx="595">
                  <c:v>41775.0</c:v>
                </c:pt>
                <c:pt idx="596">
                  <c:v>41778.0</c:v>
                </c:pt>
                <c:pt idx="597">
                  <c:v>41779.0</c:v>
                </c:pt>
                <c:pt idx="598">
                  <c:v>41780.0</c:v>
                </c:pt>
                <c:pt idx="599">
                  <c:v>41781.0</c:v>
                </c:pt>
                <c:pt idx="600">
                  <c:v>41782.0</c:v>
                </c:pt>
                <c:pt idx="601">
                  <c:v>41786.0</c:v>
                </c:pt>
                <c:pt idx="602">
                  <c:v>41787.0</c:v>
                </c:pt>
                <c:pt idx="603">
                  <c:v>41788.0</c:v>
                </c:pt>
                <c:pt idx="604">
                  <c:v>41789.0</c:v>
                </c:pt>
                <c:pt idx="605">
                  <c:v>41792.0</c:v>
                </c:pt>
                <c:pt idx="606">
                  <c:v>41793.0</c:v>
                </c:pt>
                <c:pt idx="607">
                  <c:v>41794.0</c:v>
                </c:pt>
                <c:pt idx="608">
                  <c:v>41795.0</c:v>
                </c:pt>
                <c:pt idx="609">
                  <c:v>41796.0</c:v>
                </c:pt>
                <c:pt idx="610">
                  <c:v>41799.0</c:v>
                </c:pt>
                <c:pt idx="611">
                  <c:v>41800.0</c:v>
                </c:pt>
                <c:pt idx="612">
                  <c:v>41801.0</c:v>
                </c:pt>
                <c:pt idx="613">
                  <c:v>41802.0</c:v>
                </c:pt>
                <c:pt idx="614">
                  <c:v>41803.0</c:v>
                </c:pt>
                <c:pt idx="615">
                  <c:v>41806.0</c:v>
                </c:pt>
                <c:pt idx="616">
                  <c:v>41807.0</c:v>
                </c:pt>
                <c:pt idx="617">
                  <c:v>41808.0</c:v>
                </c:pt>
                <c:pt idx="618">
                  <c:v>41809.0</c:v>
                </c:pt>
                <c:pt idx="619">
                  <c:v>41810.0</c:v>
                </c:pt>
                <c:pt idx="620">
                  <c:v>41813.0</c:v>
                </c:pt>
                <c:pt idx="621">
                  <c:v>41814.0</c:v>
                </c:pt>
                <c:pt idx="622">
                  <c:v>41815.0</c:v>
                </c:pt>
                <c:pt idx="623">
                  <c:v>41816.0</c:v>
                </c:pt>
                <c:pt idx="624">
                  <c:v>41817.0</c:v>
                </c:pt>
                <c:pt idx="625">
                  <c:v>41820.0</c:v>
                </c:pt>
                <c:pt idx="626">
                  <c:v>41821.0</c:v>
                </c:pt>
                <c:pt idx="627">
                  <c:v>41822.0</c:v>
                </c:pt>
                <c:pt idx="628">
                  <c:v>41823.0</c:v>
                </c:pt>
                <c:pt idx="629">
                  <c:v>41827.0</c:v>
                </c:pt>
                <c:pt idx="630">
                  <c:v>41828.0</c:v>
                </c:pt>
                <c:pt idx="631">
                  <c:v>41829.0</c:v>
                </c:pt>
                <c:pt idx="632">
                  <c:v>41830.0</c:v>
                </c:pt>
                <c:pt idx="633">
                  <c:v>41831.0</c:v>
                </c:pt>
                <c:pt idx="634">
                  <c:v>41834.0</c:v>
                </c:pt>
                <c:pt idx="635">
                  <c:v>41835.0</c:v>
                </c:pt>
                <c:pt idx="636">
                  <c:v>41836.0</c:v>
                </c:pt>
                <c:pt idx="637">
                  <c:v>41837.0</c:v>
                </c:pt>
                <c:pt idx="638">
                  <c:v>41838.0</c:v>
                </c:pt>
                <c:pt idx="639">
                  <c:v>41841.0</c:v>
                </c:pt>
                <c:pt idx="640">
                  <c:v>41842.0</c:v>
                </c:pt>
                <c:pt idx="641">
                  <c:v>41843.0</c:v>
                </c:pt>
                <c:pt idx="642">
                  <c:v>41844.0</c:v>
                </c:pt>
                <c:pt idx="643">
                  <c:v>41845.0</c:v>
                </c:pt>
                <c:pt idx="644">
                  <c:v>41848.0</c:v>
                </c:pt>
                <c:pt idx="645">
                  <c:v>41849.0</c:v>
                </c:pt>
                <c:pt idx="646">
                  <c:v>41850.0</c:v>
                </c:pt>
                <c:pt idx="647">
                  <c:v>41851.0</c:v>
                </c:pt>
                <c:pt idx="648">
                  <c:v>41852.0</c:v>
                </c:pt>
                <c:pt idx="649">
                  <c:v>41855.0</c:v>
                </c:pt>
                <c:pt idx="650">
                  <c:v>41856.0</c:v>
                </c:pt>
                <c:pt idx="651">
                  <c:v>41857.0</c:v>
                </c:pt>
                <c:pt idx="652">
                  <c:v>41858.0</c:v>
                </c:pt>
                <c:pt idx="653">
                  <c:v>41859.0</c:v>
                </c:pt>
                <c:pt idx="654">
                  <c:v>41862.0</c:v>
                </c:pt>
                <c:pt idx="655">
                  <c:v>41863.0</c:v>
                </c:pt>
                <c:pt idx="656">
                  <c:v>41864.0</c:v>
                </c:pt>
                <c:pt idx="657">
                  <c:v>41865.0</c:v>
                </c:pt>
                <c:pt idx="658">
                  <c:v>41866.0</c:v>
                </c:pt>
                <c:pt idx="659">
                  <c:v>41869.0</c:v>
                </c:pt>
                <c:pt idx="660">
                  <c:v>41870.0</c:v>
                </c:pt>
                <c:pt idx="661">
                  <c:v>41871.0</c:v>
                </c:pt>
                <c:pt idx="662">
                  <c:v>41872.0</c:v>
                </c:pt>
                <c:pt idx="663">
                  <c:v>41873.0</c:v>
                </c:pt>
                <c:pt idx="664">
                  <c:v>41876.0</c:v>
                </c:pt>
                <c:pt idx="665">
                  <c:v>41877.0</c:v>
                </c:pt>
                <c:pt idx="666">
                  <c:v>41878.0</c:v>
                </c:pt>
                <c:pt idx="667">
                  <c:v>41879.0</c:v>
                </c:pt>
                <c:pt idx="668">
                  <c:v>41880.0</c:v>
                </c:pt>
                <c:pt idx="669">
                  <c:v>41884.0</c:v>
                </c:pt>
                <c:pt idx="670">
                  <c:v>41885.0</c:v>
                </c:pt>
                <c:pt idx="671">
                  <c:v>41886.0</c:v>
                </c:pt>
                <c:pt idx="672">
                  <c:v>41887.0</c:v>
                </c:pt>
                <c:pt idx="673">
                  <c:v>41890.0</c:v>
                </c:pt>
                <c:pt idx="674">
                  <c:v>41891.0</c:v>
                </c:pt>
                <c:pt idx="675">
                  <c:v>41892.0</c:v>
                </c:pt>
                <c:pt idx="676">
                  <c:v>41893.0</c:v>
                </c:pt>
                <c:pt idx="677">
                  <c:v>41894.0</c:v>
                </c:pt>
                <c:pt idx="678">
                  <c:v>41897.0</c:v>
                </c:pt>
                <c:pt idx="679">
                  <c:v>41898.0</c:v>
                </c:pt>
                <c:pt idx="680">
                  <c:v>41899.0</c:v>
                </c:pt>
                <c:pt idx="681">
                  <c:v>41900.0</c:v>
                </c:pt>
                <c:pt idx="682">
                  <c:v>41901.0</c:v>
                </c:pt>
                <c:pt idx="683">
                  <c:v>41904.0</c:v>
                </c:pt>
                <c:pt idx="684">
                  <c:v>41905.0</c:v>
                </c:pt>
                <c:pt idx="685">
                  <c:v>41906.0</c:v>
                </c:pt>
                <c:pt idx="686">
                  <c:v>41907.0</c:v>
                </c:pt>
                <c:pt idx="687">
                  <c:v>41908.0</c:v>
                </c:pt>
                <c:pt idx="688">
                  <c:v>41911.0</c:v>
                </c:pt>
                <c:pt idx="689">
                  <c:v>41912.0</c:v>
                </c:pt>
                <c:pt idx="690">
                  <c:v>41913.0</c:v>
                </c:pt>
                <c:pt idx="691">
                  <c:v>41914.0</c:v>
                </c:pt>
                <c:pt idx="692">
                  <c:v>41915.0</c:v>
                </c:pt>
                <c:pt idx="693">
                  <c:v>41918.0</c:v>
                </c:pt>
                <c:pt idx="694">
                  <c:v>41919.0</c:v>
                </c:pt>
                <c:pt idx="695">
                  <c:v>41920.0</c:v>
                </c:pt>
                <c:pt idx="696">
                  <c:v>41921.0</c:v>
                </c:pt>
                <c:pt idx="697">
                  <c:v>41922.0</c:v>
                </c:pt>
                <c:pt idx="698">
                  <c:v>41925.0</c:v>
                </c:pt>
                <c:pt idx="699">
                  <c:v>41926.0</c:v>
                </c:pt>
                <c:pt idx="700">
                  <c:v>41927.0</c:v>
                </c:pt>
                <c:pt idx="701">
                  <c:v>41928.0</c:v>
                </c:pt>
                <c:pt idx="702">
                  <c:v>41929.0</c:v>
                </c:pt>
                <c:pt idx="703">
                  <c:v>41932.0</c:v>
                </c:pt>
                <c:pt idx="704">
                  <c:v>41933.0</c:v>
                </c:pt>
                <c:pt idx="705">
                  <c:v>41934.0</c:v>
                </c:pt>
                <c:pt idx="706">
                  <c:v>41935.0</c:v>
                </c:pt>
                <c:pt idx="707">
                  <c:v>41936.0</c:v>
                </c:pt>
                <c:pt idx="708">
                  <c:v>41939.0</c:v>
                </c:pt>
                <c:pt idx="709">
                  <c:v>41940.0</c:v>
                </c:pt>
                <c:pt idx="710">
                  <c:v>41941.0</c:v>
                </c:pt>
                <c:pt idx="711">
                  <c:v>41942.0</c:v>
                </c:pt>
                <c:pt idx="712">
                  <c:v>41943.0</c:v>
                </c:pt>
                <c:pt idx="713">
                  <c:v>41946.0</c:v>
                </c:pt>
                <c:pt idx="714">
                  <c:v>41947.0</c:v>
                </c:pt>
                <c:pt idx="715">
                  <c:v>41948.0</c:v>
                </c:pt>
                <c:pt idx="716">
                  <c:v>41949.0</c:v>
                </c:pt>
                <c:pt idx="717">
                  <c:v>41950.0</c:v>
                </c:pt>
                <c:pt idx="718">
                  <c:v>41953.0</c:v>
                </c:pt>
                <c:pt idx="719">
                  <c:v>41954.0</c:v>
                </c:pt>
                <c:pt idx="720">
                  <c:v>41955.0</c:v>
                </c:pt>
                <c:pt idx="721">
                  <c:v>41956.0</c:v>
                </c:pt>
                <c:pt idx="722">
                  <c:v>41957.0</c:v>
                </c:pt>
                <c:pt idx="723">
                  <c:v>41960.0</c:v>
                </c:pt>
                <c:pt idx="724">
                  <c:v>41961.0</c:v>
                </c:pt>
                <c:pt idx="725">
                  <c:v>41962.0</c:v>
                </c:pt>
                <c:pt idx="726">
                  <c:v>41963.0</c:v>
                </c:pt>
                <c:pt idx="727">
                  <c:v>41964.0</c:v>
                </c:pt>
                <c:pt idx="728">
                  <c:v>41967.0</c:v>
                </c:pt>
                <c:pt idx="729">
                  <c:v>41968.0</c:v>
                </c:pt>
                <c:pt idx="730">
                  <c:v>41969.0</c:v>
                </c:pt>
                <c:pt idx="731">
                  <c:v>41971.0</c:v>
                </c:pt>
                <c:pt idx="732">
                  <c:v>41974.0</c:v>
                </c:pt>
                <c:pt idx="733">
                  <c:v>41975.0</c:v>
                </c:pt>
                <c:pt idx="734">
                  <c:v>41976.0</c:v>
                </c:pt>
                <c:pt idx="735">
                  <c:v>41977.0</c:v>
                </c:pt>
                <c:pt idx="736">
                  <c:v>41978.0</c:v>
                </c:pt>
                <c:pt idx="737">
                  <c:v>41981.0</c:v>
                </c:pt>
                <c:pt idx="738">
                  <c:v>41982.0</c:v>
                </c:pt>
                <c:pt idx="739">
                  <c:v>41983.0</c:v>
                </c:pt>
                <c:pt idx="740">
                  <c:v>41984.0</c:v>
                </c:pt>
                <c:pt idx="741">
                  <c:v>41985.0</c:v>
                </c:pt>
                <c:pt idx="742">
                  <c:v>41988.0</c:v>
                </c:pt>
                <c:pt idx="743">
                  <c:v>41989.0</c:v>
                </c:pt>
                <c:pt idx="744">
                  <c:v>41990.0</c:v>
                </c:pt>
                <c:pt idx="745">
                  <c:v>41991.0</c:v>
                </c:pt>
                <c:pt idx="746">
                  <c:v>41992.0</c:v>
                </c:pt>
                <c:pt idx="747">
                  <c:v>41995.0</c:v>
                </c:pt>
                <c:pt idx="748">
                  <c:v>41996.0</c:v>
                </c:pt>
                <c:pt idx="749">
                  <c:v>41997.0</c:v>
                </c:pt>
                <c:pt idx="750">
                  <c:v>41999.0</c:v>
                </c:pt>
                <c:pt idx="751">
                  <c:v>42002.0</c:v>
                </c:pt>
                <c:pt idx="752">
                  <c:v>42003.0</c:v>
                </c:pt>
                <c:pt idx="753">
                  <c:v>42004.0</c:v>
                </c:pt>
                <c:pt idx="754">
                  <c:v>42006.0</c:v>
                </c:pt>
                <c:pt idx="755">
                  <c:v>42009.0</c:v>
                </c:pt>
                <c:pt idx="756">
                  <c:v>42010.0</c:v>
                </c:pt>
                <c:pt idx="757">
                  <c:v>42011.0</c:v>
                </c:pt>
                <c:pt idx="758">
                  <c:v>42012.0</c:v>
                </c:pt>
                <c:pt idx="759">
                  <c:v>42013.0</c:v>
                </c:pt>
                <c:pt idx="760">
                  <c:v>42016.0</c:v>
                </c:pt>
                <c:pt idx="761">
                  <c:v>42017.0</c:v>
                </c:pt>
                <c:pt idx="762">
                  <c:v>42018.0</c:v>
                </c:pt>
                <c:pt idx="763">
                  <c:v>42019.0</c:v>
                </c:pt>
                <c:pt idx="764">
                  <c:v>42020.0</c:v>
                </c:pt>
                <c:pt idx="765">
                  <c:v>42024.0</c:v>
                </c:pt>
                <c:pt idx="766">
                  <c:v>42025.0</c:v>
                </c:pt>
                <c:pt idx="767">
                  <c:v>42026.0</c:v>
                </c:pt>
                <c:pt idx="768">
                  <c:v>42027.0</c:v>
                </c:pt>
                <c:pt idx="769">
                  <c:v>42030.0</c:v>
                </c:pt>
                <c:pt idx="770">
                  <c:v>42031.0</c:v>
                </c:pt>
                <c:pt idx="771">
                  <c:v>42032.0</c:v>
                </c:pt>
                <c:pt idx="772">
                  <c:v>42033.0</c:v>
                </c:pt>
                <c:pt idx="773">
                  <c:v>42034.0</c:v>
                </c:pt>
                <c:pt idx="774">
                  <c:v>42037.0</c:v>
                </c:pt>
                <c:pt idx="775">
                  <c:v>42038.0</c:v>
                </c:pt>
                <c:pt idx="776">
                  <c:v>42039.0</c:v>
                </c:pt>
                <c:pt idx="777">
                  <c:v>42040.0</c:v>
                </c:pt>
                <c:pt idx="778">
                  <c:v>42041.0</c:v>
                </c:pt>
                <c:pt idx="779">
                  <c:v>42044.0</c:v>
                </c:pt>
                <c:pt idx="780">
                  <c:v>42045.0</c:v>
                </c:pt>
                <c:pt idx="781">
                  <c:v>42046.0</c:v>
                </c:pt>
                <c:pt idx="782">
                  <c:v>42047.0</c:v>
                </c:pt>
                <c:pt idx="783">
                  <c:v>42048.0</c:v>
                </c:pt>
                <c:pt idx="784">
                  <c:v>42052.0</c:v>
                </c:pt>
                <c:pt idx="785">
                  <c:v>42053.0</c:v>
                </c:pt>
                <c:pt idx="786">
                  <c:v>42054.0</c:v>
                </c:pt>
                <c:pt idx="787">
                  <c:v>42055.0</c:v>
                </c:pt>
                <c:pt idx="788">
                  <c:v>42058.0</c:v>
                </c:pt>
                <c:pt idx="789">
                  <c:v>42059.0</c:v>
                </c:pt>
                <c:pt idx="790">
                  <c:v>42060.0</c:v>
                </c:pt>
                <c:pt idx="791">
                  <c:v>42061.0</c:v>
                </c:pt>
                <c:pt idx="792">
                  <c:v>42062.0</c:v>
                </c:pt>
                <c:pt idx="793">
                  <c:v>42065.0</c:v>
                </c:pt>
                <c:pt idx="794">
                  <c:v>42066.0</c:v>
                </c:pt>
                <c:pt idx="795">
                  <c:v>42067.0</c:v>
                </c:pt>
                <c:pt idx="796">
                  <c:v>42068.0</c:v>
                </c:pt>
                <c:pt idx="797">
                  <c:v>42069.0</c:v>
                </c:pt>
                <c:pt idx="798">
                  <c:v>42072.0</c:v>
                </c:pt>
                <c:pt idx="799">
                  <c:v>42073.0</c:v>
                </c:pt>
                <c:pt idx="800">
                  <c:v>42074.0</c:v>
                </c:pt>
                <c:pt idx="801">
                  <c:v>42075.0</c:v>
                </c:pt>
                <c:pt idx="802">
                  <c:v>42076.0</c:v>
                </c:pt>
                <c:pt idx="803">
                  <c:v>42079.0</c:v>
                </c:pt>
                <c:pt idx="804">
                  <c:v>42080.0</c:v>
                </c:pt>
                <c:pt idx="805">
                  <c:v>42081.0</c:v>
                </c:pt>
                <c:pt idx="806">
                  <c:v>42082.0</c:v>
                </c:pt>
                <c:pt idx="807">
                  <c:v>42083.0</c:v>
                </c:pt>
                <c:pt idx="808">
                  <c:v>42086.0</c:v>
                </c:pt>
                <c:pt idx="809">
                  <c:v>42087.0</c:v>
                </c:pt>
                <c:pt idx="810">
                  <c:v>42088.0</c:v>
                </c:pt>
                <c:pt idx="811">
                  <c:v>42089.0</c:v>
                </c:pt>
                <c:pt idx="812">
                  <c:v>42090.0</c:v>
                </c:pt>
                <c:pt idx="813">
                  <c:v>42093.0</c:v>
                </c:pt>
                <c:pt idx="814">
                  <c:v>42094.0</c:v>
                </c:pt>
                <c:pt idx="815">
                  <c:v>42095.0</c:v>
                </c:pt>
                <c:pt idx="816">
                  <c:v>42096.0</c:v>
                </c:pt>
                <c:pt idx="817">
                  <c:v>42100.0</c:v>
                </c:pt>
                <c:pt idx="818">
                  <c:v>42101.0</c:v>
                </c:pt>
                <c:pt idx="819">
                  <c:v>42102.0</c:v>
                </c:pt>
                <c:pt idx="820">
                  <c:v>42103.0</c:v>
                </c:pt>
                <c:pt idx="821">
                  <c:v>42104.0</c:v>
                </c:pt>
                <c:pt idx="822">
                  <c:v>42107.0</c:v>
                </c:pt>
                <c:pt idx="823">
                  <c:v>42108.0</c:v>
                </c:pt>
                <c:pt idx="824">
                  <c:v>42109.0</c:v>
                </c:pt>
                <c:pt idx="825">
                  <c:v>42110.0</c:v>
                </c:pt>
                <c:pt idx="826">
                  <c:v>42111.0</c:v>
                </c:pt>
                <c:pt idx="827">
                  <c:v>42114.0</c:v>
                </c:pt>
                <c:pt idx="828">
                  <c:v>42115.0</c:v>
                </c:pt>
                <c:pt idx="829">
                  <c:v>42116.0</c:v>
                </c:pt>
                <c:pt idx="830">
                  <c:v>42117.0</c:v>
                </c:pt>
                <c:pt idx="831">
                  <c:v>42118.0</c:v>
                </c:pt>
                <c:pt idx="832">
                  <c:v>42121.0</c:v>
                </c:pt>
                <c:pt idx="833">
                  <c:v>42122.0</c:v>
                </c:pt>
                <c:pt idx="834">
                  <c:v>42123.0</c:v>
                </c:pt>
                <c:pt idx="835">
                  <c:v>42124.0</c:v>
                </c:pt>
                <c:pt idx="836">
                  <c:v>42125.0</c:v>
                </c:pt>
                <c:pt idx="837">
                  <c:v>42128.0</c:v>
                </c:pt>
                <c:pt idx="838">
                  <c:v>42129.0</c:v>
                </c:pt>
                <c:pt idx="839">
                  <c:v>42130.0</c:v>
                </c:pt>
                <c:pt idx="840">
                  <c:v>42131.0</c:v>
                </c:pt>
                <c:pt idx="841">
                  <c:v>42132.0</c:v>
                </c:pt>
                <c:pt idx="842">
                  <c:v>42135.0</c:v>
                </c:pt>
                <c:pt idx="843">
                  <c:v>42136.0</c:v>
                </c:pt>
                <c:pt idx="844">
                  <c:v>42137.0</c:v>
                </c:pt>
                <c:pt idx="845">
                  <c:v>42138.0</c:v>
                </c:pt>
                <c:pt idx="846">
                  <c:v>42139.0</c:v>
                </c:pt>
                <c:pt idx="847">
                  <c:v>42142.0</c:v>
                </c:pt>
                <c:pt idx="848">
                  <c:v>42143.0</c:v>
                </c:pt>
                <c:pt idx="849">
                  <c:v>42144.0</c:v>
                </c:pt>
                <c:pt idx="850">
                  <c:v>42145.0</c:v>
                </c:pt>
                <c:pt idx="851">
                  <c:v>42146.0</c:v>
                </c:pt>
                <c:pt idx="852">
                  <c:v>42150.0</c:v>
                </c:pt>
                <c:pt idx="853">
                  <c:v>42151.0</c:v>
                </c:pt>
                <c:pt idx="854">
                  <c:v>42152.0</c:v>
                </c:pt>
                <c:pt idx="855">
                  <c:v>42153.0</c:v>
                </c:pt>
                <c:pt idx="856">
                  <c:v>42156.0</c:v>
                </c:pt>
                <c:pt idx="857">
                  <c:v>42157.0</c:v>
                </c:pt>
                <c:pt idx="858">
                  <c:v>42158.0</c:v>
                </c:pt>
                <c:pt idx="859">
                  <c:v>42159.0</c:v>
                </c:pt>
                <c:pt idx="860">
                  <c:v>42160.0</c:v>
                </c:pt>
                <c:pt idx="861">
                  <c:v>42163.0</c:v>
                </c:pt>
                <c:pt idx="862">
                  <c:v>42164.0</c:v>
                </c:pt>
                <c:pt idx="863">
                  <c:v>42165.0</c:v>
                </c:pt>
                <c:pt idx="864">
                  <c:v>42166.0</c:v>
                </c:pt>
                <c:pt idx="865">
                  <c:v>42167.0</c:v>
                </c:pt>
                <c:pt idx="866">
                  <c:v>42170.0</c:v>
                </c:pt>
                <c:pt idx="867">
                  <c:v>42171.0</c:v>
                </c:pt>
                <c:pt idx="868">
                  <c:v>42172.0</c:v>
                </c:pt>
                <c:pt idx="869">
                  <c:v>42173.0</c:v>
                </c:pt>
                <c:pt idx="870">
                  <c:v>42174.0</c:v>
                </c:pt>
                <c:pt idx="871">
                  <c:v>42177.0</c:v>
                </c:pt>
                <c:pt idx="872">
                  <c:v>42178.0</c:v>
                </c:pt>
                <c:pt idx="873">
                  <c:v>42179.0</c:v>
                </c:pt>
                <c:pt idx="874">
                  <c:v>42180.0</c:v>
                </c:pt>
                <c:pt idx="875">
                  <c:v>42181.0</c:v>
                </c:pt>
                <c:pt idx="876">
                  <c:v>42184.0</c:v>
                </c:pt>
                <c:pt idx="877">
                  <c:v>42185.0</c:v>
                </c:pt>
                <c:pt idx="878">
                  <c:v>42186.0</c:v>
                </c:pt>
                <c:pt idx="879">
                  <c:v>42187.0</c:v>
                </c:pt>
                <c:pt idx="880">
                  <c:v>42191.0</c:v>
                </c:pt>
                <c:pt idx="881">
                  <c:v>42192.0</c:v>
                </c:pt>
                <c:pt idx="882">
                  <c:v>42193.0</c:v>
                </c:pt>
                <c:pt idx="883">
                  <c:v>42194.0</c:v>
                </c:pt>
                <c:pt idx="884">
                  <c:v>42195.0</c:v>
                </c:pt>
                <c:pt idx="885">
                  <c:v>42198.0</c:v>
                </c:pt>
                <c:pt idx="886">
                  <c:v>42199.0</c:v>
                </c:pt>
                <c:pt idx="887">
                  <c:v>42200.0</c:v>
                </c:pt>
                <c:pt idx="888">
                  <c:v>42201.0</c:v>
                </c:pt>
                <c:pt idx="889">
                  <c:v>42202.0</c:v>
                </c:pt>
                <c:pt idx="890">
                  <c:v>42205.0</c:v>
                </c:pt>
                <c:pt idx="891">
                  <c:v>42206.0</c:v>
                </c:pt>
                <c:pt idx="892">
                  <c:v>42207.0</c:v>
                </c:pt>
                <c:pt idx="893">
                  <c:v>42208.0</c:v>
                </c:pt>
                <c:pt idx="894">
                  <c:v>42209.0</c:v>
                </c:pt>
                <c:pt idx="895">
                  <c:v>42212.0</c:v>
                </c:pt>
                <c:pt idx="896">
                  <c:v>42213.0</c:v>
                </c:pt>
                <c:pt idx="897">
                  <c:v>42214.0</c:v>
                </c:pt>
                <c:pt idx="898">
                  <c:v>42215.0</c:v>
                </c:pt>
                <c:pt idx="899">
                  <c:v>42216.0</c:v>
                </c:pt>
                <c:pt idx="900">
                  <c:v>42219.0</c:v>
                </c:pt>
                <c:pt idx="901">
                  <c:v>42220.0</c:v>
                </c:pt>
                <c:pt idx="902">
                  <c:v>42221.0</c:v>
                </c:pt>
                <c:pt idx="903">
                  <c:v>42222.0</c:v>
                </c:pt>
                <c:pt idx="904">
                  <c:v>42223.0</c:v>
                </c:pt>
                <c:pt idx="905">
                  <c:v>42226.0</c:v>
                </c:pt>
                <c:pt idx="906">
                  <c:v>42227.0</c:v>
                </c:pt>
                <c:pt idx="907">
                  <c:v>42228.0</c:v>
                </c:pt>
                <c:pt idx="908">
                  <c:v>42229.0</c:v>
                </c:pt>
                <c:pt idx="909">
                  <c:v>42230.0</c:v>
                </c:pt>
                <c:pt idx="910">
                  <c:v>42233.0</c:v>
                </c:pt>
                <c:pt idx="911">
                  <c:v>42234.0</c:v>
                </c:pt>
                <c:pt idx="912">
                  <c:v>42235.0</c:v>
                </c:pt>
                <c:pt idx="913">
                  <c:v>42236.0</c:v>
                </c:pt>
                <c:pt idx="914">
                  <c:v>42237.0</c:v>
                </c:pt>
                <c:pt idx="915">
                  <c:v>42240.0</c:v>
                </c:pt>
                <c:pt idx="916">
                  <c:v>42241.0</c:v>
                </c:pt>
                <c:pt idx="917">
                  <c:v>42242.0</c:v>
                </c:pt>
                <c:pt idx="918">
                  <c:v>42243.0</c:v>
                </c:pt>
                <c:pt idx="919">
                  <c:v>42244.0</c:v>
                </c:pt>
                <c:pt idx="920">
                  <c:v>42247.0</c:v>
                </c:pt>
                <c:pt idx="921">
                  <c:v>42248.0</c:v>
                </c:pt>
                <c:pt idx="922">
                  <c:v>42249.0</c:v>
                </c:pt>
                <c:pt idx="923">
                  <c:v>42250.0</c:v>
                </c:pt>
                <c:pt idx="924">
                  <c:v>42251.0</c:v>
                </c:pt>
                <c:pt idx="925">
                  <c:v>42255.0</c:v>
                </c:pt>
                <c:pt idx="926">
                  <c:v>42256.0</c:v>
                </c:pt>
                <c:pt idx="927">
                  <c:v>42257.0</c:v>
                </c:pt>
                <c:pt idx="928">
                  <c:v>42258.0</c:v>
                </c:pt>
                <c:pt idx="929">
                  <c:v>42261.0</c:v>
                </c:pt>
                <c:pt idx="930">
                  <c:v>42262.0</c:v>
                </c:pt>
                <c:pt idx="931">
                  <c:v>42263.0</c:v>
                </c:pt>
                <c:pt idx="932">
                  <c:v>42264.0</c:v>
                </c:pt>
                <c:pt idx="933">
                  <c:v>42265.0</c:v>
                </c:pt>
                <c:pt idx="934">
                  <c:v>42268.0</c:v>
                </c:pt>
                <c:pt idx="935">
                  <c:v>42269.0</c:v>
                </c:pt>
                <c:pt idx="936">
                  <c:v>42270.0</c:v>
                </c:pt>
                <c:pt idx="937">
                  <c:v>42271.0</c:v>
                </c:pt>
                <c:pt idx="938">
                  <c:v>42272.0</c:v>
                </c:pt>
                <c:pt idx="939">
                  <c:v>42275.0</c:v>
                </c:pt>
                <c:pt idx="940">
                  <c:v>42276.0</c:v>
                </c:pt>
                <c:pt idx="941">
                  <c:v>42277.0</c:v>
                </c:pt>
                <c:pt idx="942">
                  <c:v>42278.0</c:v>
                </c:pt>
                <c:pt idx="943">
                  <c:v>42279.0</c:v>
                </c:pt>
                <c:pt idx="944">
                  <c:v>42282.0</c:v>
                </c:pt>
                <c:pt idx="945">
                  <c:v>42283.0</c:v>
                </c:pt>
                <c:pt idx="946">
                  <c:v>42284.0</c:v>
                </c:pt>
                <c:pt idx="947">
                  <c:v>42285.0</c:v>
                </c:pt>
                <c:pt idx="948">
                  <c:v>42286.0</c:v>
                </c:pt>
                <c:pt idx="949">
                  <c:v>42289.0</c:v>
                </c:pt>
                <c:pt idx="950">
                  <c:v>42290.0</c:v>
                </c:pt>
                <c:pt idx="951">
                  <c:v>42291.0</c:v>
                </c:pt>
                <c:pt idx="952">
                  <c:v>42292.0</c:v>
                </c:pt>
                <c:pt idx="953">
                  <c:v>42293.0</c:v>
                </c:pt>
                <c:pt idx="954">
                  <c:v>42296.0</c:v>
                </c:pt>
                <c:pt idx="955">
                  <c:v>42297.0</c:v>
                </c:pt>
                <c:pt idx="956">
                  <c:v>42298.0</c:v>
                </c:pt>
                <c:pt idx="957">
                  <c:v>42299.0</c:v>
                </c:pt>
                <c:pt idx="958">
                  <c:v>42300.0</c:v>
                </c:pt>
                <c:pt idx="959">
                  <c:v>42303.0</c:v>
                </c:pt>
                <c:pt idx="960">
                  <c:v>42304.0</c:v>
                </c:pt>
                <c:pt idx="961">
                  <c:v>42305.0</c:v>
                </c:pt>
                <c:pt idx="962">
                  <c:v>42306.0</c:v>
                </c:pt>
                <c:pt idx="963">
                  <c:v>42307.0</c:v>
                </c:pt>
                <c:pt idx="964">
                  <c:v>42310.0</c:v>
                </c:pt>
                <c:pt idx="965">
                  <c:v>42311.0</c:v>
                </c:pt>
                <c:pt idx="966">
                  <c:v>42312.0</c:v>
                </c:pt>
                <c:pt idx="967">
                  <c:v>42313.0</c:v>
                </c:pt>
                <c:pt idx="968">
                  <c:v>42314.0</c:v>
                </c:pt>
                <c:pt idx="969">
                  <c:v>42317.0</c:v>
                </c:pt>
                <c:pt idx="970">
                  <c:v>42318.0</c:v>
                </c:pt>
                <c:pt idx="971">
                  <c:v>42319.0</c:v>
                </c:pt>
                <c:pt idx="972">
                  <c:v>42320.0</c:v>
                </c:pt>
                <c:pt idx="973">
                  <c:v>42321.0</c:v>
                </c:pt>
                <c:pt idx="974">
                  <c:v>42324.0</c:v>
                </c:pt>
                <c:pt idx="975">
                  <c:v>42325.0</c:v>
                </c:pt>
                <c:pt idx="976">
                  <c:v>42326.0</c:v>
                </c:pt>
                <c:pt idx="977">
                  <c:v>42327.0</c:v>
                </c:pt>
                <c:pt idx="978">
                  <c:v>42328.0</c:v>
                </c:pt>
                <c:pt idx="979">
                  <c:v>42331.0</c:v>
                </c:pt>
                <c:pt idx="980">
                  <c:v>42332.0</c:v>
                </c:pt>
                <c:pt idx="981">
                  <c:v>42333.0</c:v>
                </c:pt>
                <c:pt idx="982">
                  <c:v>42335.0</c:v>
                </c:pt>
                <c:pt idx="983">
                  <c:v>42338.0</c:v>
                </c:pt>
                <c:pt idx="984">
                  <c:v>42339.0</c:v>
                </c:pt>
                <c:pt idx="985">
                  <c:v>42340.0</c:v>
                </c:pt>
                <c:pt idx="986">
                  <c:v>42341.0</c:v>
                </c:pt>
                <c:pt idx="987">
                  <c:v>42342.0</c:v>
                </c:pt>
                <c:pt idx="988">
                  <c:v>42345.0</c:v>
                </c:pt>
                <c:pt idx="989">
                  <c:v>42346.0</c:v>
                </c:pt>
                <c:pt idx="990">
                  <c:v>42347.0</c:v>
                </c:pt>
                <c:pt idx="991">
                  <c:v>42348.0</c:v>
                </c:pt>
                <c:pt idx="992">
                  <c:v>42349.0</c:v>
                </c:pt>
                <c:pt idx="993">
                  <c:v>42352.0</c:v>
                </c:pt>
                <c:pt idx="994">
                  <c:v>42353.0</c:v>
                </c:pt>
                <c:pt idx="995">
                  <c:v>42354.0</c:v>
                </c:pt>
                <c:pt idx="996">
                  <c:v>42355.0</c:v>
                </c:pt>
                <c:pt idx="997">
                  <c:v>42356.0</c:v>
                </c:pt>
                <c:pt idx="998">
                  <c:v>42359.0</c:v>
                </c:pt>
                <c:pt idx="999">
                  <c:v>42360.0</c:v>
                </c:pt>
                <c:pt idx="1000">
                  <c:v>42361.0</c:v>
                </c:pt>
                <c:pt idx="1001">
                  <c:v>42362.0</c:v>
                </c:pt>
                <c:pt idx="1002">
                  <c:v>42366.0</c:v>
                </c:pt>
                <c:pt idx="1003">
                  <c:v>42367.0</c:v>
                </c:pt>
                <c:pt idx="1004">
                  <c:v>42368.0</c:v>
                </c:pt>
                <c:pt idx="1005">
                  <c:v>42369.0</c:v>
                </c:pt>
                <c:pt idx="1006">
                  <c:v>42373.0</c:v>
                </c:pt>
                <c:pt idx="1007">
                  <c:v>42374.0</c:v>
                </c:pt>
                <c:pt idx="1008">
                  <c:v>42375.0</c:v>
                </c:pt>
                <c:pt idx="1009">
                  <c:v>42376.0</c:v>
                </c:pt>
                <c:pt idx="1010">
                  <c:v>42377.0</c:v>
                </c:pt>
                <c:pt idx="1011">
                  <c:v>42380.0</c:v>
                </c:pt>
                <c:pt idx="1012">
                  <c:v>42381.0</c:v>
                </c:pt>
                <c:pt idx="1013">
                  <c:v>42382.0</c:v>
                </c:pt>
                <c:pt idx="1014">
                  <c:v>42383.0</c:v>
                </c:pt>
                <c:pt idx="1015">
                  <c:v>42384.0</c:v>
                </c:pt>
                <c:pt idx="1016">
                  <c:v>42388.0</c:v>
                </c:pt>
                <c:pt idx="1017">
                  <c:v>42389.0</c:v>
                </c:pt>
                <c:pt idx="1018">
                  <c:v>42390.0</c:v>
                </c:pt>
                <c:pt idx="1019">
                  <c:v>42391.0</c:v>
                </c:pt>
                <c:pt idx="1020">
                  <c:v>42394.0</c:v>
                </c:pt>
                <c:pt idx="1021">
                  <c:v>42395.0</c:v>
                </c:pt>
                <c:pt idx="1022">
                  <c:v>42396.0</c:v>
                </c:pt>
                <c:pt idx="1023">
                  <c:v>42397.0</c:v>
                </c:pt>
                <c:pt idx="1024">
                  <c:v>42398.0</c:v>
                </c:pt>
                <c:pt idx="1025">
                  <c:v>42401.0</c:v>
                </c:pt>
                <c:pt idx="1026">
                  <c:v>42402.0</c:v>
                </c:pt>
                <c:pt idx="1027">
                  <c:v>42403.0</c:v>
                </c:pt>
                <c:pt idx="1028">
                  <c:v>42404.0</c:v>
                </c:pt>
                <c:pt idx="1029">
                  <c:v>42405.0</c:v>
                </c:pt>
                <c:pt idx="1030">
                  <c:v>42408.0</c:v>
                </c:pt>
                <c:pt idx="1031">
                  <c:v>42409.0</c:v>
                </c:pt>
                <c:pt idx="1032">
                  <c:v>42410.0</c:v>
                </c:pt>
                <c:pt idx="1033">
                  <c:v>42411.0</c:v>
                </c:pt>
                <c:pt idx="1034">
                  <c:v>42412.0</c:v>
                </c:pt>
                <c:pt idx="1035">
                  <c:v>42416.0</c:v>
                </c:pt>
                <c:pt idx="1036">
                  <c:v>42417.0</c:v>
                </c:pt>
                <c:pt idx="1037">
                  <c:v>42418.0</c:v>
                </c:pt>
                <c:pt idx="1038">
                  <c:v>42419.0</c:v>
                </c:pt>
                <c:pt idx="1039">
                  <c:v>42422.0</c:v>
                </c:pt>
                <c:pt idx="1040">
                  <c:v>42423.0</c:v>
                </c:pt>
                <c:pt idx="1041">
                  <c:v>42424.0</c:v>
                </c:pt>
                <c:pt idx="1042">
                  <c:v>42425.0</c:v>
                </c:pt>
                <c:pt idx="1043">
                  <c:v>42426.0</c:v>
                </c:pt>
                <c:pt idx="1044">
                  <c:v>42429.0</c:v>
                </c:pt>
                <c:pt idx="1045">
                  <c:v>42430.0</c:v>
                </c:pt>
                <c:pt idx="1046">
                  <c:v>42431.0</c:v>
                </c:pt>
                <c:pt idx="1047">
                  <c:v>42432.0</c:v>
                </c:pt>
                <c:pt idx="1048">
                  <c:v>42433.0</c:v>
                </c:pt>
                <c:pt idx="1049">
                  <c:v>42436.0</c:v>
                </c:pt>
                <c:pt idx="1050">
                  <c:v>42437.0</c:v>
                </c:pt>
                <c:pt idx="1051">
                  <c:v>42438.0</c:v>
                </c:pt>
                <c:pt idx="1052">
                  <c:v>42439.0</c:v>
                </c:pt>
                <c:pt idx="1053">
                  <c:v>42440.0</c:v>
                </c:pt>
                <c:pt idx="1054">
                  <c:v>42443.0</c:v>
                </c:pt>
                <c:pt idx="1055">
                  <c:v>42444.0</c:v>
                </c:pt>
                <c:pt idx="1056">
                  <c:v>42445.0</c:v>
                </c:pt>
                <c:pt idx="1057">
                  <c:v>42446.0</c:v>
                </c:pt>
                <c:pt idx="1058">
                  <c:v>42447.0</c:v>
                </c:pt>
                <c:pt idx="1059">
                  <c:v>42450.0</c:v>
                </c:pt>
                <c:pt idx="1060">
                  <c:v>42451.0</c:v>
                </c:pt>
                <c:pt idx="1061">
                  <c:v>42452.0</c:v>
                </c:pt>
                <c:pt idx="1062">
                  <c:v>42453.0</c:v>
                </c:pt>
                <c:pt idx="1063">
                  <c:v>42457.0</c:v>
                </c:pt>
                <c:pt idx="1064">
                  <c:v>42458.0</c:v>
                </c:pt>
                <c:pt idx="1065">
                  <c:v>42459.0</c:v>
                </c:pt>
                <c:pt idx="1066">
                  <c:v>42460.0</c:v>
                </c:pt>
                <c:pt idx="1067">
                  <c:v>42461.0</c:v>
                </c:pt>
                <c:pt idx="1068">
                  <c:v>42464.0</c:v>
                </c:pt>
                <c:pt idx="1069">
                  <c:v>42465.0</c:v>
                </c:pt>
                <c:pt idx="1070">
                  <c:v>42466.0</c:v>
                </c:pt>
                <c:pt idx="1071">
                  <c:v>42467.0</c:v>
                </c:pt>
                <c:pt idx="1072">
                  <c:v>42468.0</c:v>
                </c:pt>
                <c:pt idx="1073">
                  <c:v>42471.0</c:v>
                </c:pt>
                <c:pt idx="1074">
                  <c:v>42472.0</c:v>
                </c:pt>
                <c:pt idx="1075">
                  <c:v>42473.0</c:v>
                </c:pt>
                <c:pt idx="1076">
                  <c:v>42474.0</c:v>
                </c:pt>
                <c:pt idx="1077">
                  <c:v>42475.0</c:v>
                </c:pt>
                <c:pt idx="1078">
                  <c:v>42478.0</c:v>
                </c:pt>
                <c:pt idx="1079">
                  <c:v>42479.0</c:v>
                </c:pt>
                <c:pt idx="1080">
                  <c:v>42480.0</c:v>
                </c:pt>
                <c:pt idx="1081">
                  <c:v>42481.0</c:v>
                </c:pt>
                <c:pt idx="1082">
                  <c:v>42482.0</c:v>
                </c:pt>
                <c:pt idx="1083">
                  <c:v>42485.0</c:v>
                </c:pt>
                <c:pt idx="1084">
                  <c:v>42486.0</c:v>
                </c:pt>
                <c:pt idx="1085">
                  <c:v>42487.0</c:v>
                </c:pt>
                <c:pt idx="1086">
                  <c:v>42488.0</c:v>
                </c:pt>
                <c:pt idx="1087">
                  <c:v>42489.0</c:v>
                </c:pt>
                <c:pt idx="1088">
                  <c:v>42492.0</c:v>
                </c:pt>
                <c:pt idx="1089">
                  <c:v>42493.0</c:v>
                </c:pt>
                <c:pt idx="1090">
                  <c:v>42494.0</c:v>
                </c:pt>
                <c:pt idx="1091">
                  <c:v>42495.0</c:v>
                </c:pt>
                <c:pt idx="1092">
                  <c:v>42496.0</c:v>
                </c:pt>
                <c:pt idx="1093">
                  <c:v>42499.0</c:v>
                </c:pt>
                <c:pt idx="1094">
                  <c:v>42500.0</c:v>
                </c:pt>
                <c:pt idx="1095">
                  <c:v>42501.0</c:v>
                </c:pt>
                <c:pt idx="1096">
                  <c:v>42502.0</c:v>
                </c:pt>
                <c:pt idx="1097">
                  <c:v>42503.0</c:v>
                </c:pt>
                <c:pt idx="1098">
                  <c:v>42506.0</c:v>
                </c:pt>
                <c:pt idx="1099">
                  <c:v>42507.0</c:v>
                </c:pt>
                <c:pt idx="1100">
                  <c:v>42508.0</c:v>
                </c:pt>
                <c:pt idx="1101">
                  <c:v>42509.0</c:v>
                </c:pt>
                <c:pt idx="1102">
                  <c:v>42510.0</c:v>
                </c:pt>
                <c:pt idx="1103">
                  <c:v>42513.0</c:v>
                </c:pt>
                <c:pt idx="1104">
                  <c:v>42514.0</c:v>
                </c:pt>
                <c:pt idx="1105">
                  <c:v>42515.0</c:v>
                </c:pt>
                <c:pt idx="1106">
                  <c:v>42516.0</c:v>
                </c:pt>
                <c:pt idx="1107">
                  <c:v>42517.0</c:v>
                </c:pt>
                <c:pt idx="1108">
                  <c:v>42521.0</c:v>
                </c:pt>
                <c:pt idx="1109">
                  <c:v>42522.0</c:v>
                </c:pt>
                <c:pt idx="1110">
                  <c:v>42523.0</c:v>
                </c:pt>
                <c:pt idx="1111">
                  <c:v>42524.0</c:v>
                </c:pt>
                <c:pt idx="1112">
                  <c:v>42527.0</c:v>
                </c:pt>
                <c:pt idx="1113">
                  <c:v>42528.0</c:v>
                </c:pt>
                <c:pt idx="1114">
                  <c:v>42529.0</c:v>
                </c:pt>
                <c:pt idx="1115">
                  <c:v>42530.0</c:v>
                </c:pt>
                <c:pt idx="1116">
                  <c:v>42531.0</c:v>
                </c:pt>
                <c:pt idx="1117">
                  <c:v>42534.0</c:v>
                </c:pt>
                <c:pt idx="1118">
                  <c:v>42535.0</c:v>
                </c:pt>
                <c:pt idx="1119">
                  <c:v>42536.0</c:v>
                </c:pt>
                <c:pt idx="1120">
                  <c:v>42537.0</c:v>
                </c:pt>
                <c:pt idx="1121">
                  <c:v>42538.0</c:v>
                </c:pt>
                <c:pt idx="1122">
                  <c:v>42541.0</c:v>
                </c:pt>
                <c:pt idx="1123">
                  <c:v>42542.0</c:v>
                </c:pt>
                <c:pt idx="1124">
                  <c:v>42543.0</c:v>
                </c:pt>
                <c:pt idx="1125">
                  <c:v>42544.0</c:v>
                </c:pt>
                <c:pt idx="1126">
                  <c:v>42545.0</c:v>
                </c:pt>
                <c:pt idx="1127">
                  <c:v>42548.0</c:v>
                </c:pt>
                <c:pt idx="1128">
                  <c:v>42549.0</c:v>
                </c:pt>
                <c:pt idx="1129">
                  <c:v>42550.0</c:v>
                </c:pt>
                <c:pt idx="1130">
                  <c:v>42551.0</c:v>
                </c:pt>
                <c:pt idx="1131">
                  <c:v>42552.0</c:v>
                </c:pt>
                <c:pt idx="1132">
                  <c:v>42556.0</c:v>
                </c:pt>
                <c:pt idx="1133">
                  <c:v>42557.0</c:v>
                </c:pt>
                <c:pt idx="1134">
                  <c:v>42558.0</c:v>
                </c:pt>
                <c:pt idx="1135">
                  <c:v>42559.0</c:v>
                </c:pt>
                <c:pt idx="1136">
                  <c:v>42562.0</c:v>
                </c:pt>
                <c:pt idx="1137">
                  <c:v>42563.0</c:v>
                </c:pt>
                <c:pt idx="1138">
                  <c:v>42564.0</c:v>
                </c:pt>
                <c:pt idx="1139">
                  <c:v>42565.0</c:v>
                </c:pt>
                <c:pt idx="1140">
                  <c:v>42566.0</c:v>
                </c:pt>
                <c:pt idx="1141">
                  <c:v>42569.0</c:v>
                </c:pt>
                <c:pt idx="1142">
                  <c:v>42570.0</c:v>
                </c:pt>
                <c:pt idx="1143">
                  <c:v>42571.0</c:v>
                </c:pt>
                <c:pt idx="1144">
                  <c:v>42572.0</c:v>
                </c:pt>
                <c:pt idx="1145">
                  <c:v>42573.0</c:v>
                </c:pt>
                <c:pt idx="1146">
                  <c:v>42576.0</c:v>
                </c:pt>
                <c:pt idx="1147">
                  <c:v>42577.0</c:v>
                </c:pt>
                <c:pt idx="1148">
                  <c:v>42578.0</c:v>
                </c:pt>
                <c:pt idx="1149">
                  <c:v>42579.0</c:v>
                </c:pt>
                <c:pt idx="1150">
                  <c:v>42580.0</c:v>
                </c:pt>
                <c:pt idx="1151">
                  <c:v>42583.0</c:v>
                </c:pt>
                <c:pt idx="1152">
                  <c:v>42584.0</c:v>
                </c:pt>
                <c:pt idx="1153">
                  <c:v>42585.0</c:v>
                </c:pt>
                <c:pt idx="1154">
                  <c:v>42586.0</c:v>
                </c:pt>
                <c:pt idx="1155">
                  <c:v>42587.0</c:v>
                </c:pt>
                <c:pt idx="1156">
                  <c:v>42590.0</c:v>
                </c:pt>
                <c:pt idx="1157">
                  <c:v>42591.0</c:v>
                </c:pt>
                <c:pt idx="1158">
                  <c:v>42592.0</c:v>
                </c:pt>
                <c:pt idx="1159">
                  <c:v>42593.0</c:v>
                </c:pt>
                <c:pt idx="1160">
                  <c:v>42594.0</c:v>
                </c:pt>
                <c:pt idx="1161">
                  <c:v>42597.0</c:v>
                </c:pt>
                <c:pt idx="1162">
                  <c:v>42598.0</c:v>
                </c:pt>
                <c:pt idx="1163">
                  <c:v>42599.0</c:v>
                </c:pt>
                <c:pt idx="1164">
                  <c:v>42600.0</c:v>
                </c:pt>
                <c:pt idx="1165">
                  <c:v>42601.0</c:v>
                </c:pt>
                <c:pt idx="1166">
                  <c:v>42604.0</c:v>
                </c:pt>
                <c:pt idx="1167">
                  <c:v>42605.0</c:v>
                </c:pt>
                <c:pt idx="1168">
                  <c:v>42606.0</c:v>
                </c:pt>
                <c:pt idx="1169">
                  <c:v>42607.0</c:v>
                </c:pt>
                <c:pt idx="1170">
                  <c:v>42608.0</c:v>
                </c:pt>
                <c:pt idx="1171">
                  <c:v>42611.0</c:v>
                </c:pt>
                <c:pt idx="1172">
                  <c:v>42612.0</c:v>
                </c:pt>
                <c:pt idx="1173">
                  <c:v>42613.0</c:v>
                </c:pt>
                <c:pt idx="1174">
                  <c:v>42614.0</c:v>
                </c:pt>
                <c:pt idx="1175">
                  <c:v>42615.0</c:v>
                </c:pt>
                <c:pt idx="1176">
                  <c:v>42619.0</c:v>
                </c:pt>
                <c:pt idx="1177">
                  <c:v>42620.0</c:v>
                </c:pt>
                <c:pt idx="1178">
                  <c:v>42621.0</c:v>
                </c:pt>
                <c:pt idx="1179">
                  <c:v>42622.0</c:v>
                </c:pt>
                <c:pt idx="1180">
                  <c:v>42625.0</c:v>
                </c:pt>
                <c:pt idx="1181">
                  <c:v>42626.0</c:v>
                </c:pt>
                <c:pt idx="1182">
                  <c:v>42627.0</c:v>
                </c:pt>
                <c:pt idx="1183">
                  <c:v>42628.0</c:v>
                </c:pt>
                <c:pt idx="1184">
                  <c:v>42629.0</c:v>
                </c:pt>
                <c:pt idx="1185">
                  <c:v>42632.0</c:v>
                </c:pt>
                <c:pt idx="1186">
                  <c:v>42633.0</c:v>
                </c:pt>
                <c:pt idx="1187">
                  <c:v>42634.0</c:v>
                </c:pt>
                <c:pt idx="1188">
                  <c:v>42635.0</c:v>
                </c:pt>
                <c:pt idx="1189">
                  <c:v>42636.0</c:v>
                </c:pt>
                <c:pt idx="1190">
                  <c:v>42639.0</c:v>
                </c:pt>
                <c:pt idx="1191">
                  <c:v>42640.0</c:v>
                </c:pt>
                <c:pt idx="1192">
                  <c:v>42641.0</c:v>
                </c:pt>
                <c:pt idx="1193">
                  <c:v>42642.0</c:v>
                </c:pt>
                <c:pt idx="1194">
                  <c:v>42643.0</c:v>
                </c:pt>
                <c:pt idx="1195">
                  <c:v>42646.0</c:v>
                </c:pt>
                <c:pt idx="1196">
                  <c:v>42647.0</c:v>
                </c:pt>
                <c:pt idx="1197">
                  <c:v>42648.0</c:v>
                </c:pt>
                <c:pt idx="1198">
                  <c:v>42649.0</c:v>
                </c:pt>
                <c:pt idx="1199">
                  <c:v>42650.0</c:v>
                </c:pt>
                <c:pt idx="1200">
                  <c:v>42653.0</c:v>
                </c:pt>
                <c:pt idx="1201">
                  <c:v>42654.0</c:v>
                </c:pt>
                <c:pt idx="1202">
                  <c:v>42655.0</c:v>
                </c:pt>
                <c:pt idx="1203">
                  <c:v>42656.0</c:v>
                </c:pt>
                <c:pt idx="1204">
                  <c:v>42657.0</c:v>
                </c:pt>
                <c:pt idx="1205">
                  <c:v>42660.0</c:v>
                </c:pt>
                <c:pt idx="1206">
                  <c:v>42661.0</c:v>
                </c:pt>
                <c:pt idx="1207">
                  <c:v>42662.0</c:v>
                </c:pt>
                <c:pt idx="1208">
                  <c:v>42663.0</c:v>
                </c:pt>
                <c:pt idx="1209">
                  <c:v>42664.0</c:v>
                </c:pt>
                <c:pt idx="1210">
                  <c:v>42667.0</c:v>
                </c:pt>
                <c:pt idx="1211">
                  <c:v>42668.0</c:v>
                </c:pt>
                <c:pt idx="1212">
                  <c:v>42669.0</c:v>
                </c:pt>
                <c:pt idx="1213">
                  <c:v>42670.0</c:v>
                </c:pt>
                <c:pt idx="1214">
                  <c:v>42671.0</c:v>
                </c:pt>
                <c:pt idx="1215">
                  <c:v>42674.0</c:v>
                </c:pt>
                <c:pt idx="1216">
                  <c:v>42675.0</c:v>
                </c:pt>
                <c:pt idx="1217">
                  <c:v>42676.0</c:v>
                </c:pt>
                <c:pt idx="1218">
                  <c:v>42677.0</c:v>
                </c:pt>
                <c:pt idx="1219">
                  <c:v>42678.0</c:v>
                </c:pt>
                <c:pt idx="1220">
                  <c:v>42681.0</c:v>
                </c:pt>
                <c:pt idx="1221">
                  <c:v>42682.0</c:v>
                </c:pt>
                <c:pt idx="1222">
                  <c:v>42683.0</c:v>
                </c:pt>
                <c:pt idx="1223">
                  <c:v>42684.0</c:v>
                </c:pt>
                <c:pt idx="1224">
                  <c:v>42685.0</c:v>
                </c:pt>
                <c:pt idx="1225">
                  <c:v>42688.0</c:v>
                </c:pt>
                <c:pt idx="1226">
                  <c:v>42689.0</c:v>
                </c:pt>
                <c:pt idx="1227">
                  <c:v>42690.0</c:v>
                </c:pt>
                <c:pt idx="1228">
                  <c:v>42691.0</c:v>
                </c:pt>
                <c:pt idx="1229">
                  <c:v>42692.0</c:v>
                </c:pt>
                <c:pt idx="1230">
                  <c:v>42695.0</c:v>
                </c:pt>
                <c:pt idx="1231">
                  <c:v>42696.0</c:v>
                </c:pt>
                <c:pt idx="1232">
                  <c:v>42697.0</c:v>
                </c:pt>
                <c:pt idx="1233">
                  <c:v>42699.0</c:v>
                </c:pt>
                <c:pt idx="1234">
                  <c:v>42702.0</c:v>
                </c:pt>
                <c:pt idx="1235">
                  <c:v>42703.0</c:v>
                </c:pt>
                <c:pt idx="1236">
                  <c:v>42704.0</c:v>
                </c:pt>
                <c:pt idx="1237">
                  <c:v>42705.0</c:v>
                </c:pt>
                <c:pt idx="1238">
                  <c:v>42706.0</c:v>
                </c:pt>
                <c:pt idx="1239">
                  <c:v>42709.0</c:v>
                </c:pt>
                <c:pt idx="1240">
                  <c:v>42710.0</c:v>
                </c:pt>
                <c:pt idx="1241">
                  <c:v>42711.0</c:v>
                </c:pt>
                <c:pt idx="1242">
                  <c:v>42712.0</c:v>
                </c:pt>
                <c:pt idx="1243">
                  <c:v>42713.0</c:v>
                </c:pt>
                <c:pt idx="1244">
                  <c:v>42716.0</c:v>
                </c:pt>
                <c:pt idx="1245">
                  <c:v>42717.0</c:v>
                </c:pt>
                <c:pt idx="1246">
                  <c:v>42718.0</c:v>
                </c:pt>
                <c:pt idx="1247">
                  <c:v>42719.0</c:v>
                </c:pt>
                <c:pt idx="1248">
                  <c:v>42720.0</c:v>
                </c:pt>
                <c:pt idx="1249">
                  <c:v>42723.0</c:v>
                </c:pt>
                <c:pt idx="1250">
                  <c:v>42724.0</c:v>
                </c:pt>
                <c:pt idx="1251">
                  <c:v>42725.0</c:v>
                </c:pt>
                <c:pt idx="1252">
                  <c:v>42726.0</c:v>
                </c:pt>
                <c:pt idx="1253">
                  <c:v>42727.0</c:v>
                </c:pt>
                <c:pt idx="1254">
                  <c:v>42731.0</c:v>
                </c:pt>
                <c:pt idx="1255">
                  <c:v>42732.0</c:v>
                </c:pt>
                <c:pt idx="1256">
                  <c:v>42733.0</c:v>
                </c:pt>
                <c:pt idx="1257">
                  <c:v>42734.0</c:v>
                </c:pt>
                <c:pt idx="1258">
                  <c:v>42738.0</c:v>
                </c:pt>
                <c:pt idx="1259">
                  <c:v>42739.0</c:v>
                </c:pt>
                <c:pt idx="1260">
                  <c:v>42740.0</c:v>
                </c:pt>
                <c:pt idx="1261">
                  <c:v>42741.0</c:v>
                </c:pt>
                <c:pt idx="1262">
                  <c:v>42744.0</c:v>
                </c:pt>
                <c:pt idx="1263">
                  <c:v>42745.0</c:v>
                </c:pt>
                <c:pt idx="1264">
                  <c:v>42746.0</c:v>
                </c:pt>
                <c:pt idx="1265">
                  <c:v>42747.0</c:v>
                </c:pt>
                <c:pt idx="1266">
                  <c:v>42748.0</c:v>
                </c:pt>
                <c:pt idx="1267">
                  <c:v>42752.0</c:v>
                </c:pt>
                <c:pt idx="1268">
                  <c:v>42753.0</c:v>
                </c:pt>
                <c:pt idx="1269">
                  <c:v>42754.0</c:v>
                </c:pt>
                <c:pt idx="1270">
                  <c:v>42755.0</c:v>
                </c:pt>
                <c:pt idx="1271">
                  <c:v>42758.0</c:v>
                </c:pt>
                <c:pt idx="1272">
                  <c:v>42759.0</c:v>
                </c:pt>
                <c:pt idx="1273">
                  <c:v>42760.0</c:v>
                </c:pt>
                <c:pt idx="1274">
                  <c:v>42761.0</c:v>
                </c:pt>
                <c:pt idx="1275">
                  <c:v>42762.0</c:v>
                </c:pt>
                <c:pt idx="1276">
                  <c:v>42765.0</c:v>
                </c:pt>
                <c:pt idx="1277">
                  <c:v>42766.0</c:v>
                </c:pt>
                <c:pt idx="1278">
                  <c:v>42767.0</c:v>
                </c:pt>
                <c:pt idx="1279">
                  <c:v>42768.0</c:v>
                </c:pt>
                <c:pt idx="1280">
                  <c:v>42769.0</c:v>
                </c:pt>
                <c:pt idx="1281">
                  <c:v>42772.0</c:v>
                </c:pt>
                <c:pt idx="1282">
                  <c:v>42773.0</c:v>
                </c:pt>
                <c:pt idx="1283">
                  <c:v>42774.0</c:v>
                </c:pt>
                <c:pt idx="1284">
                  <c:v>42775.0</c:v>
                </c:pt>
                <c:pt idx="1285">
                  <c:v>42776.0</c:v>
                </c:pt>
                <c:pt idx="1286">
                  <c:v>42779.0</c:v>
                </c:pt>
                <c:pt idx="1287">
                  <c:v>42780.0</c:v>
                </c:pt>
                <c:pt idx="1288">
                  <c:v>42781.0</c:v>
                </c:pt>
                <c:pt idx="1289">
                  <c:v>42782.0</c:v>
                </c:pt>
                <c:pt idx="1290">
                  <c:v>42783.0</c:v>
                </c:pt>
                <c:pt idx="1291">
                  <c:v>42787.0</c:v>
                </c:pt>
                <c:pt idx="1292">
                  <c:v>42788.0</c:v>
                </c:pt>
                <c:pt idx="1293">
                  <c:v>42789.0</c:v>
                </c:pt>
                <c:pt idx="1294">
                  <c:v>42790.0</c:v>
                </c:pt>
                <c:pt idx="1295">
                  <c:v>42793.0</c:v>
                </c:pt>
                <c:pt idx="1296">
                  <c:v>42794.0</c:v>
                </c:pt>
                <c:pt idx="1297">
                  <c:v>42795.0</c:v>
                </c:pt>
                <c:pt idx="1298">
                  <c:v>42796.0</c:v>
                </c:pt>
                <c:pt idx="1299">
                  <c:v>42797.0</c:v>
                </c:pt>
                <c:pt idx="1300">
                  <c:v>42800.0</c:v>
                </c:pt>
                <c:pt idx="1301">
                  <c:v>42801.0</c:v>
                </c:pt>
                <c:pt idx="1302">
                  <c:v>42802.0</c:v>
                </c:pt>
                <c:pt idx="1303">
                  <c:v>42803.0</c:v>
                </c:pt>
                <c:pt idx="1304">
                  <c:v>42804.0</c:v>
                </c:pt>
                <c:pt idx="1305">
                  <c:v>42807.0</c:v>
                </c:pt>
                <c:pt idx="1306">
                  <c:v>42808.0</c:v>
                </c:pt>
                <c:pt idx="1307">
                  <c:v>42809.0</c:v>
                </c:pt>
                <c:pt idx="1308">
                  <c:v>42810.0</c:v>
                </c:pt>
                <c:pt idx="1309">
                  <c:v>42811.0</c:v>
                </c:pt>
                <c:pt idx="1310">
                  <c:v>42814.0</c:v>
                </c:pt>
                <c:pt idx="1311">
                  <c:v>42815.0</c:v>
                </c:pt>
                <c:pt idx="1312">
                  <c:v>42816.0</c:v>
                </c:pt>
                <c:pt idx="1313">
                  <c:v>42817.0</c:v>
                </c:pt>
                <c:pt idx="1314">
                  <c:v>42818.0</c:v>
                </c:pt>
                <c:pt idx="1315">
                  <c:v>42821.0</c:v>
                </c:pt>
                <c:pt idx="1316">
                  <c:v>42822.0</c:v>
                </c:pt>
                <c:pt idx="1317">
                  <c:v>42823.0</c:v>
                </c:pt>
                <c:pt idx="1318">
                  <c:v>42824.0</c:v>
                </c:pt>
                <c:pt idx="1319">
                  <c:v>42825.0</c:v>
                </c:pt>
                <c:pt idx="1320">
                  <c:v>42828.0</c:v>
                </c:pt>
                <c:pt idx="1321">
                  <c:v>42829.0</c:v>
                </c:pt>
                <c:pt idx="1322">
                  <c:v>42830.0</c:v>
                </c:pt>
                <c:pt idx="1323">
                  <c:v>42831.0</c:v>
                </c:pt>
                <c:pt idx="1324">
                  <c:v>42832.0</c:v>
                </c:pt>
                <c:pt idx="1325">
                  <c:v>42835.0</c:v>
                </c:pt>
                <c:pt idx="1326">
                  <c:v>42836.0</c:v>
                </c:pt>
                <c:pt idx="1327">
                  <c:v>42837.0</c:v>
                </c:pt>
                <c:pt idx="1328">
                  <c:v>42838.0</c:v>
                </c:pt>
                <c:pt idx="1329">
                  <c:v>42842.0</c:v>
                </c:pt>
                <c:pt idx="1330">
                  <c:v>42843.0</c:v>
                </c:pt>
                <c:pt idx="1331">
                  <c:v>42844.0</c:v>
                </c:pt>
                <c:pt idx="1332">
                  <c:v>42845.0</c:v>
                </c:pt>
                <c:pt idx="1333">
                  <c:v>42846.0</c:v>
                </c:pt>
                <c:pt idx="1334">
                  <c:v>42849.0</c:v>
                </c:pt>
                <c:pt idx="1335">
                  <c:v>42850.0</c:v>
                </c:pt>
                <c:pt idx="1336">
                  <c:v>42851.0</c:v>
                </c:pt>
                <c:pt idx="1337">
                  <c:v>42852.0</c:v>
                </c:pt>
                <c:pt idx="1338">
                  <c:v>42853.0</c:v>
                </c:pt>
                <c:pt idx="1339">
                  <c:v>42856.0</c:v>
                </c:pt>
                <c:pt idx="1340">
                  <c:v>42857.0</c:v>
                </c:pt>
                <c:pt idx="1341">
                  <c:v>42858.0</c:v>
                </c:pt>
                <c:pt idx="1342">
                  <c:v>42859.0</c:v>
                </c:pt>
                <c:pt idx="1343">
                  <c:v>42860.0</c:v>
                </c:pt>
                <c:pt idx="1344">
                  <c:v>42863.0</c:v>
                </c:pt>
                <c:pt idx="1345">
                  <c:v>42864.0</c:v>
                </c:pt>
                <c:pt idx="1346">
                  <c:v>42865.0</c:v>
                </c:pt>
                <c:pt idx="1347">
                  <c:v>42866.0</c:v>
                </c:pt>
                <c:pt idx="1348">
                  <c:v>42867.0</c:v>
                </c:pt>
                <c:pt idx="1349">
                  <c:v>42870.0</c:v>
                </c:pt>
                <c:pt idx="1350">
                  <c:v>42871.0</c:v>
                </c:pt>
                <c:pt idx="1351">
                  <c:v>42872.0</c:v>
                </c:pt>
                <c:pt idx="1352">
                  <c:v>42873.0</c:v>
                </c:pt>
                <c:pt idx="1353">
                  <c:v>42874.0</c:v>
                </c:pt>
                <c:pt idx="1354">
                  <c:v>42877.0</c:v>
                </c:pt>
                <c:pt idx="1355">
                  <c:v>42878.0</c:v>
                </c:pt>
                <c:pt idx="1356">
                  <c:v>42879.0</c:v>
                </c:pt>
                <c:pt idx="1357">
                  <c:v>42880.0</c:v>
                </c:pt>
                <c:pt idx="1358">
                  <c:v>42881.0</c:v>
                </c:pt>
                <c:pt idx="1359">
                  <c:v>42885.0</c:v>
                </c:pt>
                <c:pt idx="1360">
                  <c:v>42886.0</c:v>
                </c:pt>
                <c:pt idx="1361">
                  <c:v>42887.0</c:v>
                </c:pt>
                <c:pt idx="1362">
                  <c:v>42888.0</c:v>
                </c:pt>
                <c:pt idx="1363">
                  <c:v>42891.0</c:v>
                </c:pt>
                <c:pt idx="1364">
                  <c:v>42892.0</c:v>
                </c:pt>
                <c:pt idx="1365">
                  <c:v>42893.0</c:v>
                </c:pt>
                <c:pt idx="1366">
                  <c:v>42894.0</c:v>
                </c:pt>
                <c:pt idx="1367">
                  <c:v>42895.0</c:v>
                </c:pt>
                <c:pt idx="1368">
                  <c:v>42898.0</c:v>
                </c:pt>
                <c:pt idx="1369">
                  <c:v>42899.0</c:v>
                </c:pt>
                <c:pt idx="1370">
                  <c:v>42900.0</c:v>
                </c:pt>
                <c:pt idx="1371">
                  <c:v>42901.0</c:v>
                </c:pt>
                <c:pt idx="1372">
                  <c:v>42902.0</c:v>
                </c:pt>
                <c:pt idx="1373">
                  <c:v>42905.0</c:v>
                </c:pt>
                <c:pt idx="1374">
                  <c:v>42906.0</c:v>
                </c:pt>
                <c:pt idx="1375">
                  <c:v>42907.0</c:v>
                </c:pt>
                <c:pt idx="1376">
                  <c:v>42908.0</c:v>
                </c:pt>
                <c:pt idx="1377">
                  <c:v>42909.0</c:v>
                </c:pt>
                <c:pt idx="1378">
                  <c:v>42912.0</c:v>
                </c:pt>
                <c:pt idx="1379">
                  <c:v>42913.0</c:v>
                </c:pt>
                <c:pt idx="1380">
                  <c:v>42914.0</c:v>
                </c:pt>
                <c:pt idx="1381">
                  <c:v>42915.0</c:v>
                </c:pt>
                <c:pt idx="1382">
                  <c:v>42916.0</c:v>
                </c:pt>
                <c:pt idx="1383">
                  <c:v>42919.0</c:v>
                </c:pt>
                <c:pt idx="1384">
                  <c:v>42921.0</c:v>
                </c:pt>
                <c:pt idx="1385">
                  <c:v>42922.0</c:v>
                </c:pt>
                <c:pt idx="1386">
                  <c:v>42923.0</c:v>
                </c:pt>
                <c:pt idx="1387">
                  <c:v>42926.0</c:v>
                </c:pt>
                <c:pt idx="1388">
                  <c:v>42927.0</c:v>
                </c:pt>
                <c:pt idx="1389">
                  <c:v>42928.0</c:v>
                </c:pt>
                <c:pt idx="1390">
                  <c:v>42929.0</c:v>
                </c:pt>
                <c:pt idx="1391">
                  <c:v>42930.0</c:v>
                </c:pt>
                <c:pt idx="1392">
                  <c:v>42933.0</c:v>
                </c:pt>
                <c:pt idx="1393">
                  <c:v>42934.0</c:v>
                </c:pt>
                <c:pt idx="1394">
                  <c:v>42935.0</c:v>
                </c:pt>
                <c:pt idx="1395">
                  <c:v>42936.0</c:v>
                </c:pt>
                <c:pt idx="1396">
                  <c:v>42937.0</c:v>
                </c:pt>
                <c:pt idx="1397">
                  <c:v>42940.0</c:v>
                </c:pt>
                <c:pt idx="1398">
                  <c:v>42941.0</c:v>
                </c:pt>
                <c:pt idx="1399">
                  <c:v>42942.0</c:v>
                </c:pt>
                <c:pt idx="1400">
                  <c:v>42943.0</c:v>
                </c:pt>
                <c:pt idx="1401">
                  <c:v>42944.0</c:v>
                </c:pt>
                <c:pt idx="1402">
                  <c:v>42947.0</c:v>
                </c:pt>
                <c:pt idx="1403">
                  <c:v>42948.0</c:v>
                </c:pt>
                <c:pt idx="1404">
                  <c:v>42949.0</c:v>
                </c:pt>
                <c:pt idx="1405">
                  <c:v>42950.0</c:v>
                </c:pt>
                <c:pt idx="1406">
                  <c:v>42951.0</c:v>
                </c:pt>
                <c:pt idx="1407">
                  <c:v>42954.0</c:v>
                </c:pt>
                <c:pt idx="1408">
                  <c:v>42955.0</c:v>
                </c:pt>
                <c:pt idx="1409">
                  <c:v>42956.0</c:v>
                </c:pt>
                <c:pt idx="1410">
                  <c:v>42957.0</c:v>
                </c:pt>
                <c:pt idx="1411">
                  <c:v>42958.0</c:v>
                </c:pt>
                <c:pt idx="1412">
                  <c:v>42961.0</c:v>
                </c:pt>
                <c:pt idx="1413">
                  <c:v>42962.0</c:v>
                </c:pt>
                <c:pt idx="1414">
                  <c:v>42963.0</c:v>
                </c:pt>
                <c:pt idx="1415">
                  <c:v>42964.0</c:v>
                </c:pt>
                <c:pt idx="1416">
                  <c:v>42965.0</c:v>
                </c:pt>
                <c:pt idx="1417">
                  <c:v>42968.0</c:v>
                </c:pt>
                <c:pt idx="1418">
                  <c:v>42969.0</c:v>
                </c:pt>
                <c:pt idx="1419">
                  <c:v>42970.0</c:v>
                </c:pt>
                <c:pt idx="1420">
                  <c:v>42971.0</c:v>
                </c:pt>
                <c:pt idx="1421">
                  <c:v>42972.0</c:v>
                </c:pt>
                <c:pt idx="1422">
                  <c:v>42975.0</c:v>
                </c:pt>
                <c:pt idx="1423">
                  <c:v>42976.0</c:v>
                </c:pt>
                <c:pt idx="1424">
                  <c:v>42977.0</c:v>
                </c:pt>
                <c:pt idx="1425">
                  <c:v>42978.0</c:v>
                </c:pt>
                <c:pt idx="1426">
                  <c:v>42979.0</c:v>
                </c:pt>
                <c:pt idx="1427">
                  <c:v>42983.0</c:v>
                </c:pt>
                <c:pt idx="1428">
                  <c:v>42984.0</c:v>
                </c:pt>
                <c:pt idx="1429">
                  <c:v>42985.0</c:v>
                </c:pt>
                <c:pt idx="1430">
                  <c:v>42986.0</c:v>
                </c:pt>
                <c:pt idx="1431">
                  <c:v>42989.0</c:v>
                </c:pt>
                <c:pt idx="1432">
                  <c:v>42990.0</c:v>
                </c:pt>
                <c:pt idx="1433">
                  <c:v>42991.0</c:v>
                </c:pt>
                <c:pt idx="1434">
                  <c:v>42992.0</c:v>
                </c:pt>
                <c:pt idx="1435">
                  <c:v>42993.0</c:v>
                </c:pt>
                <c:pt idx="1436">
                  <c:v>42996.0</c:v>
                </c:pt>
                <c:pt idx="1437">
                  <c:v>42997.0</c:v>
                </c:pt>
                <c:pt idx="1438">
                  <c:v>42998.0</c:v>
                </c:pt>
                <c:pt idx="1439">
                  <c:v>42999.0</c:v>
                </c:pt>
                <c:pt idx="1440">
                  <c:v>43000.0</c:v>
                </c:pt>
                <c:pt idx="1441">
                  <c:v>43003.0</c:v>
                </c:pt>
                <c:pt idx="1442">
                  <c:v>43004.0</c:v>
                </c:pt>
                <c:pt idx="1443">
                  <c:v>43005.0</c:v>
                </c:pt>
                <c:pt idx="1444">
                  <c:v>43006.0</c:v>
                </c:pt>
                <c:pt idx="1445">
                  <c:v>43007.0</c:v>
                </c:pt>
                <c:pt idx="1446">
                  <c:v>43010.0</c:v>
                </c:pt>
                <c:pt idx="1447">
                  <c:v>43011.0</c:v>
                </c:pt>
                <c:pt idx="1448">
                  <c:v>43012.0</c:v>
                </c:pt>
                <c:pt idx="1449">
                  <c:v>43013.0</c:v>
                </c:pt>
                <c:pt idx="1450">
                  <c:v>43014.0</c:v>
                </c:pt>
                <c:pt idx="1451">
                  <c:v>43017.0</c:v>
                </c:pt>
                <c:pt idx="1452">
                  <c:v>43018.0</c:v>
                </c:pt>
                <c:pt idx="1453">
                  <c:v>43019.0</c:v>
                </c:pt>
                <c:pt idx="1454">
                  <c:v>43020.0</c:v>
                </c:pt>
                <c:pt idx="1455">
                  <c:v>43021.0</c:v>
                </c:pt>
                <c:pt idx="1456">
                  <c:v>43024.0</c:v>
                </c:pt>
                <c:pt idx="1457">
                  <c:v>43025.0</c:v>
                </c:pt>
                <c:pt idx="1458">
                  <c:v>43026.0</c:v>
                </c:pt>
                <c:pt idx="1459">
                  <c:v>43027.0</c:v>
                </c:pt>
                <c:pt idx="1460">
                  <c:v>43028.0</c:v>
                </c:pt>
                <c:pt idx="1461">
                  <c:v>43031.0</c:v>
                </c:pt>
                <c:pt idx="1462">
                  <c:v>43032.0</c:v>
                </c:pt>
                <c:pt idx="1463">
                  <c:v>43033.0</c:v>
                </c:pt>
                <c:pt idx="1464">
                  <c:v>43034.0</c:v>
                </c:pt>
                <c:pt idx="1465">
                  <c:v>43035.0</c:v>
                </c:pt>
                <c:pt idx="1466">
                  <c:v>43038.0</c:v>
                </c:pt>
                <c:pt idx="1467">
                  <c:v>43039.0</c:v>
                </c:pt>
                <c:pt idx="1468">
                  <c:v>43040.0</c:v>
                </c:pt>
                <c:pt idx="1469">
                  <c:v>43041.0</c:v>
                </c:pt>
                <c:pt idx="1470">
                  <c:v>43042.0</c:v>
                </c:pt>
                <c:pt idx="1471">
                  <c:v>43045.0</c:v>
                </c:pt>
                <c:pt idx="1472">
                  <c:v>43046.0</c:v>
                </c:pt>
                <c:pt idx="1473">
                  <c:v>43047.0</c:v>
                </c:pt>
                <c:pt idx="1474">
                  <c:v>43048.0</c:v>
                </c:pt>
                <c:pt idx="1475">
                  <c:v>43049.0</c:v>
                </c:pt>
                <c:pt idx="1476">
                  <c:v>43052.0</c:v>
                </c:pt>
                <c:pt idx="1477">
                  <c:v>43053.0</c:v>
                </c:pt>
                <c:pt idx="1478">
                  <c:v>43054.0</c:v>
                </c:pt>
                <c:pt idx="1479">
                  <c:v>43055.0</c:v>
                </c:pt>
                <c:pt idx="1480">
                  <c:v>43056.0</c:v>
                </c:pt>
              </c:numCache>
            </c:numRef>
          </c:cat>
          <c:val>
            <c:numRef>
              <c:f>Sheet1!$Y$6:$Y$1486</c:f>
              <c:numCache>
                <c:formatCode>0.00</c:formatCode>
                <c:ptCount val="1481"/>
                <c:pt idx="0">
                  <c:v>0.0</c:v>
                </c:pt>
                <c:pt idx="1">
                  <c:v>1565.975456847693</c:v>
                </c:pt>
                <c:pt idx="2">
                  <c:v>4381.822837650426</c:v>
                </c:pt>
                <c:pt idx="3">
                  <c:v>4244.953289562603</c:v>
                </c:pt>
                <c:pt idx="4">
                  <c:v>6215.105794525123</c:v>
                </c:pt>
                <c:pt idx="5">
                  <c:v>11585.05992658902</c:v>
                </c:pt>
                <c:pt idx="6">
                  <c:v>11466.71302184486</c:v>
                </c:pt>
                <c:pt idx="7">
                  <c:v>12912.31711816299</c:v>
                </c:pt>
                <c:pt idx="8">
                  <c:v>9363.52746105194</c:v>
                </c:pt>
                <c:pt idx="9">
                  <c:v>12359.84514774929</c:v>
                </c:pt>
                <c:pt idx="10">
                  <c:v>19104.02604515257</c:v>
                </c:pt>
                <c:pt idx="11">
                  <c:v>22223.87260014017</c:v>
                </c:pt>
                <c:pt idx="12">
                  <c:v>23711.60329748306</c:v>
                </c:pt>
                <c:pt idx="13">
                  <c:v>25373.4170419511</c:v>
                </c:pt>
                <c:pt idx="14">
                  <c:v>25248.53924855462</c:v>
                </c:pt>
                <c:pt idx="15">
                  <c:v>29829.47349394439</c:v>
                </c:pt>
                <c:pt idx="16">
                  <c:v>26910.28531389695</c:v>
                </c:pt>
                <c:pt idx="17">
                  <c:v>27514.72254547535</c:v>
                </c:pt>
                <c:pt idx="18">
                  <c:v>26346.84760795033</c:v>
                </c:pt>
                <c:pt idx="19">
                  <c:v>26357.05504264613</c:v>
                </c:pt>
                <c:pt idx="20">
                  <c:v>30610.89540552383</c:v>
                </c:pt>
                <c:pt idx="21">
                  <c:v>31655.27520976518</c:v>
                </c:pt>
                <c:pt idx="22">
                  <c:v>36861.94986970152</c:v>
                </c:pt>
                <c:pt idx="23">
                  <c:v>37072.80065640271</c:v>
                </c:pt>
                <c:pt idx="24">
                  <c:v>38076.19321599416</c:v>
                </c:pt>
                <c:pt idx="25">
                  <c:v>38326.60382872017</c:v>
                </c:pt>
                <c:pt idx="26">
                  <c:v>38411.05688481394</c:v>
                </c:pt>
                <c:pt idx="27">
                  <c:v>34282.20190471073</c:v>
                </c:pt>
                <c:pt idx="28">
                  <c:v>38403.53640422178</c:v>
                </c:pt>
                <c:pt idx="29">
                  <c:v>36926.2727262252</c:v>
                </c:pt>
                <c:pt idx="30">
                  <c:v>35648.50699847086</c:v>
                </c:pt>
                <c:pt idx="31">
                  <c:v>39696.65414964407</c:v>
                </c:pt>
                <c:pt idx="32">
                  <c:v>40785.35627961542</c:v>
                </c:pt>
                <c:pt idx="33">
                  <c:v>41472.75962497678</c:v>
                </c:pt>
                <c:pt idx="34">
                  <c:v>41424.05015217571</c:v>
                </c:pt>
                <c:pt idx="35">
                  <c:v>43013.8152336519</c:v>
                </c:pt>
                <c:pt idx="36">
                  <c:v>43268.67511430976</c:v>
                </c:pt>
                <c:pt idx="37">
                  <c:v>43850.74119982973</c:v>
                </c:pt>
                <c:pt idx="38">
                  <c:v>44237.72888021555</c:v>
                </c:pt>
                <c:pt idx="39">
                  <c:v>43956.66644945927</c:v>
                </c:pt>
                <c:pt idx="40">
                  <c:v>44770.56204455474</c:v>
                </c:pt>
                <c:pt idx="41">
                  <c:v>44657.99483489105</c:v>
                </c:pt>
                <c:pt idx="42">
                  <c:v>44546.40517807566</c:v>
                </c:pt>
                <c:pt idx="43">
                  <c:v>41712.52905456559</c:v>
                </c:pt>
                <c:pt idx="44">
                  <c:v>43597.59929102473</c:v>
                </c:pt>
                <c:pt idx="45">
                  <c:v>45207.1268905754</c:v>
                </c:pt>
                <c:pt idx="46">
                  <c:v>45669.86614129494</c:v>
                </c:pt>
                <c:pt idx="47">
                  <c:v>46056.85760070942</c:v>
                </c:pt>
                <c:pt idx="48">
                  <c:v>56405.12934221723</c:v>
                </c:pt>
                <c:pt idx="49">
                  <c:v>54274.46593621932</c:v>
                </c:pt>
                <c:pt idx="50">
                  <c:v>57554.24104035599</c:v>
                </c:pt>
                <c:pt idx="51">
                  <c:v>59095.37498881994</c:v>
                </c:pt>
                <c:pt idx="52">
                  <c:v>61568.7552698052</c:v>
                </c:pt>
                <c:pt idx="53">
                  <c:v>60309.40416095289</c:v>
                </c:pt>
                <c:pt idx="54">
                  <c:v>61049.70264097559</c:v>
                </c:pt>
                <c:pt idx="55">
                  <c:v>56349.80450869025</c:v>
                </c:pt>
                <c:pt idx="56">
                  <c:v>60069.13920682319</c:v>
                </c:pt>
                <c:pt idx="57">
                  <c:v>67372.06517171697</c:v>
                </c:pt>
                <c:pt idx="58">
                  <c:v>65916.4583283544</c:v>
                </c:pt>
                <c:pt idx="59">
                  <c:v>62808.18716504634</c:v>
                </c:pt>
                <c:pt idx="60">
                  <c:v>62914.87978922412</c:v>
                </c:pt>
                <c:pt idx="61">
                  <c:v>64950.2571456302</c:v>
                </c:pt>
                <c:pt idx="62">
                  <c:v>68656.1645004272</c:v>
                </c:pt>
                <c:pt idx="63">
                  <c:v>66404.8796168263</c:v>
                </c:pt>
                <c:pt idx="64">
                  <c:v>61909.17012940021</c:v>
                </c:pt>
                <c:pt idx="65">
                  <c:v>61375.6761739077</c:v>
                </c:pt>
                <c:pt idx="66">
                  <c:v>55917.810008639</c:v>
                </c:pt>
                <c:pt idx="67">
                  <c:v>43451.49812295823</c:v>
                </c:pt>
                <c:pt idx="68">
                  <c:v>48441.9957551941</c:v>
                </c:pt>
                <c:pt idx="69">
                  <c:v>57588.73110374738</c:v>
                </c:pt>
                <c:pt idx="70">
                  <c:v>50839.2816463355</c:v>
                </c:pt>
                <c:pt idx="71">
                  <c:v>50840.06397256278</c:v>
                </c:pt>
                <c:pt idx="72">
                  <c:v>60910.86824622261</c:v>
                </c:pt>
                <c:pt idx="73">
                  <c:v>59167.43985742516</c:v>
                </c:pt>
                <c:pt idx="74">
                  <c:v>55714.27129323059</c:v>
                </c:pt>
                <c:pt idx="75">
                  <c:v>57522.79134473437</c:v>
                </c:pt>
                <c:pt idx="76">
                  <c:v>53036.58575253957</c:v>
                </c:pt>
                <c:pt idx="77">
                  <c:v>55826.89299098565</c:v>
                </c:pt>
                <c:pt idx="78">
                  <c:v>64538.50405898155</c:v>
                </c:pt>
                <c:pt idx="79">
                  <c:v>68583.46919832541</c:v>
                </c:pt>
                <c:pt idx="80">
                  <c:v>69865.0684184006</c:v>
                </c:pt>
                <c:pt idx="81">
                  <c:v>68244.64358956367</c:v>
                </c:pt>
                <c:pt idx="82">
                  <c:v>71666.66183561785</c:v>
                </c:pt>
                <c:pt idx="83">
                  <c:v>70354.84362201905</c:v>
                </c:pt>
                <c:pt idx="84">
                  <c:v>67127.7161974879</c:v>
                </c:pt>
                <c:pt idx="85">
                  <c:v>58259.67201318173</c:v>
                </c:pt>
                <c:pt idx="86">
                  <c:v>59621.02743942128</c:v>
                </c:pt>
                <c:pt idx="87">
                  <c:v>57341.33296006848</c:v>
                </c:pt>
                <c:pt idx="88">
                  <c:v>52696.25136746257</c:v>
                </c:pt>
                <c:pt idx="89">
                  <c:v>55365.30171686411</c:v>
                </c:pt>
                <c:pt idx="90">
                  <c:v>53160.67888506409</c:v>
                </c:pt>
                <c:pt idx="91">
                  <c:v>45583.07230003679</c:v>
                </c:pt>
                <c:pt idx="92">
                  <c:v>41107.4010414317</c:v>
                </c:pt>
                <c:pt idx="93">
                  <c:v>38037.54091361712</c:v>
                </c:pt>
                <c:pt idx="94">
                  <c:v>26100.28711933177</c:v>
                </c:pt>
                <c:pt idx="95">
                  <c:v>19616.41498587769</c:v>
                </c:pt>
                <c:pt idx="96">
                  <c:v>34751.13222246605</c:v>
                </c:pt>
                <c:pt idx="97">
                  <c:v>35657.45154642372</c:v>
                </c:pt>
                <c:pt idx="98">
                  <c:v>37131.23939024925</c:v>
                </c:pt>
                <c:pt idx="99">
                  <c:v>38815.27779588872</c:v>
                </c:pt>
                <c:pt idx="100">
                  <c:v>37468.37835636013</c:v>
                </c:pt>
                <c:pt idx="101">
                  <c:v>48627.82496077148</c:v>
                </c:pt>
                <c:pt idx="102">
                  <c:v>36544.59368874738</c:v>
                </c:pt>
                <c:pt idx="103">
                  <c:v>34950.914391194</c:v>
                </c:pt>
                <c:pt idx="104">
                  <c:v>11632.05021595361</c:v>
                </c:pt>
                <c:pt idx="105">
                  <c:v>12260.942541715</c:v>
                </c:pt>
                <c:pt idx="106">
                  <c:v>17993.32064368553</c:v>
                </c:pt>
                <c:pt idx="107">
                  <c:v>40328.86934799224</c:v>
                </c:pt>
                <c:pt idx="108">
                  <c:v>40583.86877375887</c:v>
                </c:pt>
                <c:pt idx="109">
                  <c:v>48747.07548102038</c:v>
                </c:pt>
                <c:pt idx="110">
                  <c:v>36356.76173211471</c:v>
                </c:pt>
                <c:pt idx="111">
                  <c:v>42111.72186555667</c:v>
                </c:pt>
                <c:pt idx="112">
                  <c:v>36282.87876349525</c:v>
                </c:pt>
                <c:pt idx="113">
                  <c:v>43873.57364632864</c:v>
                </c:pt>
                <c:pt idx="114">
                  <c:v>52296.9047561381</c:v>
                </c:pt>
                <c:pt idx="115">
                  <c:v>55962.10070736147</c:v>
                </c:pt>
                <c:pt idx="116">
                  <c:v>61406.16692650318</c:v>
                </c:pt>
                <c:pt idx="117">
                  <c:v>60712.2210917878</c:v>
                </c:pt>
                <c:pt idx="118">
                  <c:v>48757.79663224588</c:v>
                </c:pt>
                <c:pt idx="119">
                  <c:v>54374.98502212507</c:v>
                </c:pt>
                <c:pt idx="120">
                  <c:v>45653.29215804581</c:v>
                </c:pt>
                <c:pt idx="121">
                  <c:v>49000.94084393256</c:v>
                </c:pt>
                <c:pt idx="122">
                  <c:v>53117.07760471362</c:v>
                </c:pt>
                <c:pt idx="123">
                  <c:v>51504.50330911763</c:v>
                </c:pt>
                <c:pt idx="124">
                  <c:v>65225.03549188888</c:v>
                </c:pt>
                <c:pt idx="125">
                  <c:v>67679.9929354263</c:v>
                </c:pt>
                <c:pt idx="126">
                  <c:v>70327.20118682273</c:v>
                </c:pt>
                <c:pt idx="127">
                  <c:v>68469.82685723971</c:v>
                </c:pt>
                <c:pt idx="128">
                  <c:v>65267.0368945708</c:v>
                </c:pt>
                <c:pt idx="129">
                  <c:v>64960.24623215105</c:v>
                </c:pt>
                <c:pt idx="130">
                  <c:v>61247.19563518441</c:v>
                </c:pt>
                <c:pt idx="131">
                  <c:v>61684.97962497082</c:v>
                </c:pt>
                <c:pt idx="132">
                  <c:v>60152.38086396805</c:v>
                </c:pt>
                <c:pt idx="133">
                  <c:v>68248.06465238961</c:v>
                </c:pt>
                <c:pt idx="134">
                  <c:v>67932.4516420553</c:v>
                </c:pt>
                <c:pt idx="135">
                  <c:v>71219.8851677985</c:v>
                </c:pt>
                <c:pt idx="136">
                  <c:v>73488.47186642815</c:v>
                </c:pt>
                <c:pt idx="137">
                  <c:v>74298.91566015337</c:v>
                </c:pt>
                <c:pt idx="138">
                  <c:v>71201.3630843982</c:v>
                </c:pt>
                <c:pt idx="139">
                  <c:v>67481.28823365411</c:v>
                </c:pt>
                <c:pt idx="140">
                  <c:v>62517.69776508678</c:v>
                </c:pt>
                <c:pt idx="141">
                  <c:v>63655.9190894782</c:v>
                </c:pt>
                <c:pt idx="142">
                  <c:v>71305.8806375945</c:v>
                </c:pt>
                <c:pt idx="143">
                  <c:v>76953.37117842864</c:v>
                </c:pt>
                <c:pt idx="144">
                  <c:v>76729.6096648604</c:v>
                </c:pt>
                <c:pt idx="145">
                  <c:v>75805.1414085063</c:v>
                </c:pt>
                <c:pt idx="146">
                  <c:v>75571.747352998</c:v>
                </c:pt>
                <c:pt idx="147">
                  <c:v>73932.35277412552</c:v>
                </c:pt>
                <c:pt idx="148">
                  <c:v>78798.78363774134</c:v>
                </c:pt>
                <c:pt idx="149">
                  <c:v>79746.01490974891</c:v>
                </c:pt>
                <c:pt idx="150">
                  <c:v>80431.46798344515</c:v>
                </c:pt>
                <c:pt idx="151">
                  <c:v>80697.15647759219</c:v>
                </c:pt>
                <c:pt idx="152">
                  <c:v>81007.79206301901</c:v>
                </c:pt>
                <c:pt idx="153">
                  <c:v>81326.4169329193</c:v>
                </c:pt>
                <c:pt idx="154">
                  <c:v>81559.24473675061</c:v>
                </c:pt>
                <c:pt idx="155">
                  <c:v>81551.11255510151</c:v>
                </c:pt>
                <c:pt idx="156">
                  <c:v>81677.01285370649</c:v>
                </c:pt>
                <c:pt idx="157">
                  <c:v>86026.26705396664</c:v>
                </c:pt>
                <c:pt idx="158">
                  <c:v>88115.46990055614</c:v>
                </c:pt>
                <c:pt idx="159">
                  <c:v>88117.90361633524</c:v>
                </c:pt>
                <c:pt idx="160">
                  <c:v>85905.20615691086</c:v>
                </c:pt>
                <c:pt idx="161">
                  <c:v>85932.20912771113</c:v>
                </c:pt>
                <c:pt idx="162">
                  <c:v>80544.51580834877</c:v>
                </c:pt>
                <c:pt idx="163">
                  <c:v>85369.70111022703</c:v>
                </c:pt>
                <c:pt idx="164">
                  <c:v>85224.20064741536</c:v>
                </c:pt>
                <c:pt idx="165">
                  <c:v>84826.873408708</c:v>
                </c:pt>
                <c:pt idx="166">
                  <c:v>84973.09383861767</c:v>
                </c:pt>
                <c:pt idx="167">
                  <c:v>79923.83347309101</c:v>
                </c:pt>
                <c:pt idx="168">
                  <c:v>83280.47755719</c:v>
                </c:pt>
                <c:pt idx="169">
                  <c:v>83770.93562939949</c:v>
                </c:pt>
                <c:pt idx="170">
                  <c:v>84325.18893750873</c:v>
                </c:pt>
                <c:pt idx="171">
                  <c:v>96736.94683805737</c:v>
                </c:pt>
                <c:pt idx="172">
                  <c:v>100343.4419046955</c:v>
                </c:pt>
                <c:pt idx="173">
                  <c:v>97893.55191003088</c:v>
                </c:pt>
                <c:pt idx="174">
                  <c:v>98950.04242904996</c:v>
                </c:pt>
                <c:pt idx="175">
                  <c:v>100536.4247942464</c:v>
                </c:pt>
                <c:pt idx="176">
                  <c:v>108590.0814726749</c:v>
                </c:pt>
                <c:pt idx="177">
                  <c:v>109259.5740957805</c:v>
                </c:pt>
                <c:pt idx="178">
                  <c:v>108414.5283475742</c:v>
                </c:pt>
                <c:pt idx="179">
                  <c:v>108897.0682343668</c:v>
                </c:pt>
                <c:pt idx="180">
                  <c:v>110074.8630935797</c:v>
                </c:pt>
                <c:pt idx="181">
                  <c:v>109862.0042811609</c:v>
                </c:pt>
                <c:pt idx="182">
                  <c:v>110452.2384736487</c:v>
                </c:pt>
                <c:pt idx="183">
                  <c:v>110453.6575649846</c:v>
                </c:pt>
                <c:pt idx="184">
                  <c:v>106396.6374896206</c:v>
                </c:pt>
                <c:pt idx="185">
                  <c:v>103127.8567160619</c:v>
                </c:pt>
                <c:pt idx="186">
                  <c:v>108526.2564162551</c:v>
                </c:pt>
                <c:pt idx="187">
                  <c:v>106675.746107142</c:v>
                </c:pt>
                <c:pt idx="188">
                  <c:v>107845.9222310341</c:v>
                </c:pt>
                <c:pt idx="189">
                  <c:v>108388.3758548212</c:v>
                </c:pt>
                <c:pt idx="190">
                  <c:v>110240.5706652137</c:v>
                </c:pt>
                <c:pt idx="191">
                  <c:v>112821.3936762419</c:v>
                </c:pt>
                <c:pt idx="192">
                  <c:v>113014.8207084278</c:v>
                </c:pt>
                <c:pt idx="193">
                  <c:v>112565.083965278</c:v>
                </c:pt>
                <c:pt idx="194">
                  <c:v>109207.5887111805</c:v>
                </c:pt>
                <c:pt idx="195">
                  <c:v>107065.9305543557</c:v>
                </c:pt>
                <c:pt idx="196">
                  <c:v>107972.2662358924</c:v>
                </c:pt>
                <c:pt idx="197">
                  <c:v>107010.7830695424</c:v>
                </c:pt>
                <c:pt idx="198">
                  <c:v>111134.4314911976</c:v>
                </c:pt>
                <c:pt idx="199">
                  <c:v>114378.1592271759</c:v>
                </c:pt>
                <c:pt idx="200">
                  <c:v>115663.7010218438</c:v>
                </c:pt>
                <c:pt idx="201">
                  <c:v>115379.3822800221</c:v>
                </c:pt>
                <c:pt idx="202">
                  <c:v>110323.5732243867</c:v>
                </c:pt>
                <c:pt idx="203">
                  <c:v>111074.1849774944</c:v>
                </c:pt>
                <c:pt idx="204">
                  <c:v>104855.572211836</c:v>
                </c:pt>
                <c:pt idx="205">
                  <c:v>103464.6539209825</c:v>
                </c:pt>
                <c:pt idx="206">
                  <c:v>105671.8457979322</c:v>
                </c:pt>
                <c:pt idx="207">
                  <c:v>106223.4028908862</c:v>
                </c:pt>
                <c:pt idx="208">
                  <c:v>108238.1327536046</c:v>
                </c:pt>
                <c:pt idx="209">
                  <c:v>113935.6693201913</c:v>
                </c:pt>
                <c:pt idx="210">
                  <c:v>110530.8122862561</c:v>
                </c:pt>
                <c:pt idx="211">
                  <c:v>112730.0834504901</c:v>
                </c:pt>
                <c:pt idx="212">
                  <c:v>116283.0321200294</c:v>
                </c:pt>
                <c:pt idx="213">
                  <c:v>105014.9504790234</c:v>
                </c:pt>
                <c:pt idx="214">
                  <c:v>95886.2217719783</c:v>
                </c:pt>
                <c:pt idx="215">
                  <c:v>97882.5536536572</c:v>
                </c:pt>
                <c:pt idx="216">
                  <c:v>99824.1428233406</c:v>
                </c:pt>
                <c:pt idx="217">
                  <c:v>96085.25488282461</c:v>
                </c:pt>
                <c:pt idx="218">
                  <c:v>81521.50498860609</c:v>
                </c:pt>
                <c:pt idx="219">
                  <c:v>80109.18136753537</c:v>
                </c:pt>
                <c:pt idx="220">
                  <c:v>85087.41398142977</c:v>
                </c:pt>
                <c:pt idx="221">
                  <c:v>98101.27461366122</c:v>
                </c:pt>
                <c:pt idx="222">
                  <c:v>99091.44242459582</c:v>
                </c:pt>
                <c:pt idx="223">
                  <c:v>100212.3478964136</c:v>
                </c:pt>
                <c:pt idx="224">
                  <c:v>106503.7305532747</c:v>
                </c:pt>
                <c:pt idx="225">
                  <c:v>105757.796708734</c:v>
                </c:pt>
                <c:pt idx="226">
                  <c:v>104002.3223100067</c:v>
                </c:pt>
                <c:pt idx="227">
                  <c:v>107061.559925399</c:v>
                </c:pt>
                <c:pt idx="228">
                  <c:v>109146.3292636883</c:v>
                </c:pt>
                <c:pt idx="229">
                  <c:v>108648.0685639535</c:v>
                </c:pt>
                <c:pt idx="230">
                  <c:v>107120.6982938417</c:v>
                </c:pt>
                <c:pt idx="231">
                  <c:v>106109.592463339</c:v>
                </c:pt>
                <c:pt idx="232">
                  <c:v>107526.1076790101</c:v>
                </c:pt>
                <c:pt idx="233">
                  <c:v>108284.2944798935</c:v>
                </c:pt>
                <c:pt idx="234">
                  <c:v>110208.0699934631</c:v>
                </c:pt>
                <c:pt idx="235">
                  <c:v>110786.1721681815</c:v>
                </c:pt>
                <c:pt idx="236">
                  <c:v>112946.9577587475</c:v>
                </c:pt>
                <c:pt idx="237">
                  <c:v>113220.0244877152</c:v>
                </c:pt>
                <c:pt idx="238">
                  <c:v>110873.4920540673</c:v>
                </c:pt>
                <c:pt idx="239">
                  <c:v>109696.2536480913</c:v>
                </c:pt>
                <c:pt idx="240">
                  <c:v>113922.5015296524</c:v>
                </c:pt>
                <c:pt idx="241">
                  <c:v>117253.4276436022</c:v>
                </c:pt>
                <c:pt idx="242">
                  <c:v>115349.8978547156</c:v>
                </c:pt>
                <c:pt idx="243">
                  <c:v>116427.1322122961</c:v>
                </c:pt>
                <c:pt idx="244">
                  <c:v>114144.7490300913</c:v>
                </c:pt>
                <c:pt idx="245">
                  <c:v>113875.9336489521</c:v>
                </c:pt>
                <c:pt idx="246">
                  <c:v>112557.6948592004</c:v>
                </c:pt>
                <c:pt idx="247">
                  <c:v>112081.209459756</c:v>
                </c:pt>
                <c:pt idx="248">
                  <c:v>108163.3480990145</c:v>
                </c:pt>
                <c:pt idx="249">
                  <c:v>115165.7348709924</c:v>
                </c:pt>
                <c:pt idx="250">
                  <c:v>120683.6614314811</c:v>
                </c:pt>
                <c:pt idx="251">
                  <c:v>120635.7829618636</c:v>
                </c:pt>
                <c:pt idx="252">
                  <c:v>121259.2866435181</c:v>
                </c:pt>
                <c:pt idx="253">
                  <c:v>119424.3701075804</c:v>
                </c:pt>
                <c:pt idx="254">
                  <c:v>117853.2385847021</c:v>
                </c:pt>
                <c:pt idx="255">
                  <c:v>119294.7746051701</c:v>
                </c:pt>
                <c:pt idx="256">
                  <c:v>124928.3659811583</c:v>
                </c:pt>
                <c:pt idx="257">
                  <c:v>125314.0166954868</c:v>
                </c:pt>
                <c:pt idx="258">
                  <c:v>124887.4950854594</c:v>
                </c:pt>
                <c:pt idx="259">
                  <c:v>125856.6591069426</c:v>
                </c:pt>
                <c:pt idx="260">
                  <c:v>126439.8570132931</c:v>
                </c:pt>
                <c:pt idx="261">
                  <c:v>130145.5784767885</c:v>
                </c:pt>
                <c:pt idx="262">
                  <c:v>133278.2554865743</c:v>
                </c:pt>
                <c:pt idx="263">
                  <c:v>137339.3117466026</c:v>
                </c:pt>
                <c:pt idx="264">
                  <c:v>138996.8584682758</c:v>
                </c:pt>
                <c:pt idx="265">
                  <c:v>138909.062208669</c:v>
                </c:pt>
                <c:pt idx="266">
                  <c:v>141777.8317260104</c:v>
                </c:pt>
                <c:pt idx="267">
                  <c:v>140913.0452363887</c:v>
                </c:pt>
                <c:pt idx="268">
                  <c:v>143804.1235416133</c:v>
                </c:pt>
                <c:pt idx="269">
                  <c:v>141686.5294646309</c:v>
                </c:pt>
                <c:pt idx="270">
                  <c:v>140212.7794657312</c:v>
                </c:pt>
                <c:pt idx="271">
                  <c:v>145372.1898096581</c:v>
                </c:pt>
                <c:pt idx="272">
                  <c:v>140297.3826669268</c:v>
                </c:pt>
                <c:pt idx="273">
                  <c:v>145341.1423507945</c:v>
                </c:pt>
                <c:pt idx="274">
                  <c:v>145304.6151440116</c:v>
                </c:pt>
                <c:pt idx="275">
                  <c:v>144782.6102644347</c:v>
                </c:pt>
                <c:pt idx="276">
                  <c:v>147468.2382081281</c:v>
                </c:pt>
                <c:pt idx="277">
                  <c:v>147909.6668696613</c:v>
                </c:pt>
                <c:pt idx="278">
                  <c:v>148766.0250051615</c:v>
                </c:pt>
                <c:pt idx="279">
                  <c:v>148929.0014495042</c:v>
                </c:pt>
                <c:pt idx="280">
                  <c:v>149679.0074983169</c:v>
                </c:pt>
                <c:pt idx="281">
                  <c:v>149557.0120106481</c:v>
                </c:pt>
                <c:pt idx="282">
                  <c:v>152229.3999620662</c:v>
                </c:pt>
                <c:pt idx="283">
                  <c:v>148223.3847922659</c:v>
                </c:pt>
                <c:pt idx="284">
                  <c:v>145820.3506721025</c:v>
                </c:pt>
                <c:pt idx="285">
                  <c:v>149283.417223796</c:v>
                </c:pt>
                <c:pt idx="286">
                  <c:v>141330.2682554405</c:v>
                </c:pt>
                <c:pt idx="287">
                  <c:v>143821.767753114</c:v>
                </c:pt>
                <c:pt idx="288">
                  <c:v>150304.6276337395</c:v>
                </c:pt>
                <c:pt idx="289">
                  <c:v>150144.791687913</c:v>
                </c:pt>
                <c:pt idx="290">
                  <c:v>150648.0584912112</c:v>
                </c:pt>
                <c:pt idx="291">
                  <c:v>152708.6701641681</c:v>
                </c:pt>
                <c:pt idx="292">
                  <c:v>154657.2456320352</c:v>
                </c:pt>
                <c:pt idx="293">
                  <c:v>154884.655673054</c:v>
                </c:pt>
                <c:pt idx="294">
                  <c:v>155279.1756960261</c:v>
                </c:pt>
                <c:pt idx="295">
                  <c:v>155746.7413198601</c:v>
                </c:pt>
                <c:pt idx="296">
                  <c:v>156193.3649568472</c:v>
                </c:pt>
                <c:pt idx="297">
                  <c:v>154407.3757332694</c:v>
                </c:pt>
                <c:pt idx="298">
                  <c:v>155616.6523090277</c:v>
                </c:pt>
                <c:pt idx="299">
                  <c:v>159997.0195514588</c:v>
                </c:pt>
                <c:pt idx="300">
                  <c:v>158616.8081976182</c:v>
                </c:pt>
                <c:pt idx="301">
                  <c:v>154349.2753176868</c:v>
                </c:pt>
                <c:pt idx="302">
                  <c:v>151394.0815049051</c:v>
                </c:pt>
                <c:pt idx="303">
                  <c:v>158144.4087214421</c:v>
                </c:pt>
                <c:pt idx="304">
                  <c:v>152299.4021047584</c:v>
                </c:pt>
                <c:pt idx="305">
                  <c:v>156402.8113479067</c:v>
                </c:pt>
                <c:pt idx="306">
                  <c:v>154954.6574037485</c:v>
                </c:pt>
                <c:pt idx="307">
                  <c:v>161356.6854930902</c:v>
                </c:pt>
                <c:pt idx="308">
                  <c:v>161131.3759171413</c:v>
                </c:pt>
                <c:pt idx="309">
                  <c:v>163665.4068391344</c:v>
                </c:pt>
                <c:pt idx="310">
                  <c:v>160870.4216064161</c:v>
                </c:pt>
                <c:pt idx="311">
                  <c:v>165013.3537285458</c:v>
                </c:pt>
                <c:pt idx="312">
                  <c:v>158068.3676159524</c:v>
                </c:pt>
                <c:pt idx="313">
                  <c:v>160644.773245502</c:v>
                </c:pt>
                <c:pt idx="314">
                  <c:v>157956.5927929999</c:v>
                </c:pt>
                <c:pt idx="315">
                  <c:v>163436.8131195735</c:v>
                </c:pt>
                <c:pt idx="316">
                  <c:v>166702.0097636154</c:v>
                </c:pt>
                <c:pt idx="317">
                  <c:v>173017.2326301506</c:v>
                </c:pt>
                <c:pt idx="318">
                  <c:v>174695.6898000683</c:v>
                </c:pt>
                <c:pt idx="319">
                  <c:v>173604.7593313949</c:v>
                </c:pt>
                <c:pt idx="320">
                  <c:v>158953.2065361934</c:v>
                </c:pt>
                <c:pt idx="321">
                  <c:v>168741.2661416582</c:v>
                </c:pt>
                <c:pt idx="322">
                  <c:v>158693.8566805292</c:v>
                </c:pt>
                <c:pt idx="323">
                  <c:v>153371.9856389307</c:v>
                </c:pt>
                <c:pt idx="324">
                  <c:v>161292.337927805</c:v>
                </c:pt>
                <c:pt idx="325">
                  <c:v>165771.8973148526</c:v>
                </c:pt>
                <c:pt idx="326">
                  <c:v>172558.9891783718</c:v>
                </c:pt>
                <c:pt idx="327">
                  <c:v>172724.4813937587</c:v>
                </c:pt>
                <c:pt idx="328">
                  <c:v>174347.419855828</c:v>
                </c:pt>
                <c:pt idx="329">
                  <c:v>174096.1802247795</c:v>
                </c:pt>
                <c:pt idx="330">
                  <c:v>177612.3594612479</c:v>
                </c:pt>
                <c:pt idx="331">
                  <c:v>178751.8660723798</c:v>
                </c:pt>
                <c:pt idx="332">
                  <c:v>174682.4042850041</c:v>
                </c:pt>
                <c:pt idx="333">
                  <c:v>179203.7984938428</c:v>
                </c:pt>
                <c:pt idx="334">
                  <c:v>182721.619712068</c:v>
                </c:pt>
                <c:pt idx="335">
                  <c:v>183760.5681934694</c:v>
                </c:pt>
                <c:pt idx="336">
                  <c:v>184886.2092638016</c:v>
                </c:pt>
                <c:pt idx="337">
                  <c:v>185424.8764147977</c:v>
                </c:pt>
                <c:pt idx="338">
                  <c:v>184821.9795372814</c:v>
                </c:pt>
                <c:pt idx="339">
                  <c:v>185516.1677718863</c:v>
                </c:pt>
                <c:pt idx="340">
                  <c:v>185786.1093424798</c:v>
                </c:pt>
                <c:pt idx="341">
                  <c:v>186805.4676802235</c:v>
                </c:pt>
                <c:pt idx="342">
                  <c:v>187153.2879257276</c:v>
                </c:pt>
                <c:pt idx="343">
                  <c:v>183984.28088814</c:v>
                </c:pt>
                <c:pt idx="344">
                  <c:v>191177.813948496</c:v>
                </c:pt>
                <c:pt idx="345">
                  <c:v>190706.4530433489</c:v>
                </c:pt>
                <c:pt idx="346">
                  <c:v>191074.9589869066</c:v>
                </c:pt>
                <c:pt idx="347">
                  <c:v>184860.3870902122</c:v>
                </c:pt>
                <c:pt idx="348">
                  <c:v>183853.642824756</c:v>
                </c:pt>
                <c:pt idx="349">
                  <c:v>184154.6685902462</c:v>
                </c:pt>
                <c:pt idx="350">
                  <c:v>189263.0604673077</c:v>
                </c:pt>
                <c:pt idx="351">
                  <c:v>184807.8793450957</c:v>
                </c:pt>
                <c:pt idx="352">
                  <c:v>187701.0912110603</c:v>
                </c:pt>
                <c:pt idx="353">
                  <c:v>177066.0415562477</c:v>
                </c:pt>
                <c:pt idx="354">
                  <c:v>180557.3191687036</c:v>
                </c:pt>
                <c:pt idx="355">
                  <c:v>176724.8218414362</c:v>
                </c:pt>
                <c:pt idx="356">
                  <c:v>165879.3383204008</c:v>
                </c:pt>
                <c:pt idx="357">
                  <c:v>172690.4350803001</c:v>
                </c:pt>
                <c:pt idx="358">
                  <c:v>183949.7131850822</c:v>
                </c:pt>
                <c:pt idx="359">
                  <c:v>184395.0321466739</c:v>
                </c:pt>
                <c:pt idx="360">
                  <c:v>175912.0314719223</c:v>
                </c:pt>
                <c:pt idx="361">
                  <c:v>167815.3972708115</c:v>
                </c:pt>
                <c:pt idx="362">
                  <c:v>180641.9488295112</c:v>
                </c:pt>
                <c:pt idx="363">
                  <c:v>176385.3676612007</c:v>
                </c:pt>
                <c:pt idx="364">
                  <c:v>182462.7563333707</c:v>
                </c:pt>
                <c:pt idx="365">
                  <c:v>188938.9435709475</c:v>
                </c:pt>
                <c:pt idx="366">
                  <c:v>180424.1407471057</c:v>
                </c:pt>
                <c:pt idx="367">
                  <c:v>156159.1342372268</c:v>
                </c:pt>
                <c:pt idx="368">
                  <c:v>160411.7439689513</c:v>
                </c:pt>
                <c:pt idx="369">
                  <c:v>149196.1086640072</c:v>
                </c:pt>
                <c:pt idx="370">
                  <c:v>158843.5070349656</c:v>
                </c:pt>
                <c:pt idx="371">
                  <c:v>168047.2236622975</c:v>
                </c:pt>
                <c:pt idx="372">
                  <c:v>173711.1163100302</c:v>
                </c:pt>
                <c:pt idx="373">
                  <c:v>170577.3561337546</c:v>
                </c:pt>
                <c:pt idx="374">
                  <c:v>176094.8738747668</c:v>
                </c:pt>
                <c:pt idx="375">
                  <c:v>175617.2211097067</c:v>
                </c:pt>
                <c:pt idx="376">
                  <c:v>177049.3828060443</c:v>
                </c:pt>
                <c:pt idx="377">
                  <c:v>186318.6317137261</c:v>
                </c:pt>
                <c:pt idx="378">
                  <c:v>191875.6744888811</c:v>
                </c:pt>
                <c:pt idx="379">
                  <c:v>197897.6226700561</c:v>
                </c:pt>
                <c:pt idx="380">
                  <c:v>198342.9689897685</c:v>
                </c:pt>
                <c:pt idx="381">
                  <c:v>206685.3601047029</c:v>
                </c:pt>
                <c:pt idx="382">
                  <c:v>208116.8956885911</c:v>
                </c:pt>
                <c:pt idx="383">
                  <c:v>210036.0195584148</c:v>
                </c:pt>
                <c:pt idx="384">
                  <c:v>207988.6419643774</c:v>
                </c:pt>
                <c:pt idx="385">
                  <c:v>210172.9913553344</c:v>
                </c:pt>
                <c:pt idx="386">
                  <c:v>212828.7203389807</c:v>
                </c:pt>
                <c:pt idx="387">
                  <c:v>214149.628743338</c:v>
                </c:pt>
                <c:pt idx="388">
                  <c:v>216051.1998229579</c:v>
                </c:pt>
                <c:pt idx="389">
                  <c:v>215886.6882481549</c:v>
                </c:pt>
                <c:pt idx="390">
                  <c:v>214413.9653757585</c:v>
                </c:pt>
                <c:pt idx="391">
                  <c:v>215920.8867441947</c:v>
                </c:pt>
                <c:pt idx="392">
                  <c:v>216595.3920859206</c:v>
                </c:pt>
                <c:pt idx="393">
                  <c:v>216245.9979203404</c:v>
                </c:pt>
                <c:pt idx="394">
                  <c:v>216897.8494507722</c:v>
                </c:pt>
                <c:pt idx="395">
                  <c:v>217462.3017267643</c:v>
                </c:pt>
                <c:pt idx="396">
                  <c:v>220671.157243741</c:v>
                </c:pt>
                <c:pt idx="397">
                  <c:v>221224.750685981</c:v>
                </c:pt>
                <c:pt idx="398">
                  <c:v>221715.1903444848</c:v>
                </c:pt>
                <c:pt idx="399">
                  <c:v>221205.750772482</c:v>
                </c:pt>
                <c:pt idx="400">
                  <c:v>220897.100745536</c:v>
                </c:pt>
                <c:pt idx="401">
                  <c:v>221781.949445951</c:v>
                </c:pt>
                <c:pt idx="402">
                  <c:v>221638.6573509856</c:v>
                </c:pt>
                <c:pt idx="403">
                  <c:v>222395.8154956889</c:v>
                </c:pt>
                <c:pt idx="404">
                  <c:v>225351.435435213</c:v>
                </c:pt>
                <c:pt idx="405">
                  <c:v>221724.8535597604</c:v>
                </c:pt>
                <c:pt idx="406">
                  <c:v>209671.2371570468</c:v>
                </c:pt>
                <c:pt idx="407">
                  <c:v>208059.2442902543</c:v>
                </c:pt>
                <c:pt idx="408">
                  <c:v>203481.490416945</c:v>
                </c:pt>
                <c:pt idx="409">
                  <c:v>207442.9535487904</c:v>
                </c:pt>
                <c:pt idx="410">
                  <c:v>202512.8891966159</c:v>
                </c:pt>
                <c:pt idx="411">
                  <c:v>210003.7820650474</c:v>
                </c:pt>
                <c:pt idx="412">
                  <c:v>213854.169187478</c:v>
                </c:pt>
                <c:pt idx="413">
                  <c:v>210673.0873225401</c:v>
                </c:pt>
                <c:pt idx="414">
                  <c:v>195477.9129637484</c:v>
                </c:pt>
                <c:pt idx="415">
                  <c:v>198622.1979545134</c:v>
                </c:pt>
                <c:pt idx="416">
                  <c:v>199434.4262896664</c:v>
                </c:pt>
                <c:pt idx="417">
                  <c:v>196945.407042238</c:v>
                </c:pt>
                <c:pt idx="418">
                  <c:v>201682.7346887875</c:v>
                </c:pt>
                <c:pt idx="419">
                  <c:v>209150.9584325938</c:v>
                </c:pt>
                <c:pt idx="420">
                  <c:v>210886.0590925866</c:v>
                </c:pt>
                <c:pt idx="421">
                  <c:v>211542.6368727256</c:v>
                </c:pt>
                <c:pt idx="422">
                  <c:v>220244.2241117908</c:v>
                </c:pt>
                <c:pt idx="423">
                  <c:v>226584.7847637935</c:v>
                </c:pt>
                <c:pt idx="424">
                  <c:v>229775.6710389229</c:v>
                </c:pt>
                <c:pt idx="425">
                  <c:v>227378.6095726148</c:v>
                </c:pt>
                <c:pt idx="426">
                  <c:v>229473.6781270753</c:v>
                </c:pt>
                <c:pt idx="427">
                  <c:v>234078.4935116107</c:v>
                </c:pt>
                <c:pt idx="428">
                  <c:v>236542.1462425257</c:v>
                </c:pt>
                <c:pt idx="429">
                  <c:v>243537.4620791937</c:v>
                </c:pt>
                <c:pt idx="430">
                  <c:v>242962.9070624539</c:v>
                </c:pt>
                <c:pt idx="431">
                  <c:v>239238.5649928695</c:v>
                </c:pt>
                <c:pt idx="432">
                  <c:v>236715.8165770995</c:v>
                </c:pt>
                <c:pt idx="433">
                  <c:v>235992.627543983</c:v>
                </c:pt>
                <c:pt idx="434">
                  <c:v>234792.7507975372</c:v>
                </c:pt>
                <c:pt idx="435">
                  <c:v>237173.9406447827</c:v>
                </c:pt>
                <c:pt idx="436">
                  <c:v>234420.6477412116</c:v>
                </c:pt>
                <c:pt idx="437">
                  <c:v>230309.1986669677</c:v>
                </c:pt>
                <c:pt idx="438">
                  <c:v>236470.9913362982</c:v>
                </c:pt>
                <c:pt idx="439">
                  <c:v>235833.3455961242</c:v>
                </c:pt>
                <c:pt idx="440">
                  <c:v>229527.1881216213</c:v>
                </c:pt>
                <c:pt idx="441">
                  <c:v>234923.1375009413</c:v>
                </c:pt>
                <c:pt idx="442">
                  <c:v>228743.6755512182</c:v>
                </c:pt>
                <c:pt idx="443">
                  <c:v>218555.3052230948</c:v>
                </c:pt>
                <c:pt idx="444">
                  <c:v>220090.8520027059</c:v>
                </c:pt>
                <c:pt idx="445">
                  <c:v>237864.5181690766</c:v>
                </c:pt>
                <c:pt idx="446">
                  <c:v>242612.3139074906</c:v>
                </c:pt>
                <c:pt idx="447">
                  <c:v>246094.601162059</c:v>
                </c:pt>
                <c:pt idx="448">
                  <c:v>241611.69045531</c:v>
                </c:pt>
                <c:pt idx="449">
                  <c:v>250104.013301763</c:v>
                </c:pt>
                <c:pt idx="450">
                  <c:v>253765.8617490067</c:v>
                </c:pt>
                <c:pt idx="451">
                  <c:v>255720.536720936</c:v>
                </c:pt>
                <c:pt idx="452">
                  <c:v>256388.8814243216</c:v>
                </c:pt>
                <c:pt idx="453">
                  <c:v>257454.7301354073</c:v>
                </c:pt>
                <c:pt idx="454">
                  <c:v>256874.7042886424</c:v>
                </c:pt>
                <c:pt idx="455">
                  <c:v>257692.6651512505</c:v>
                </c:pt>
                <c:pt idx="456">
                  <c:v>258261.7121636749</c:v>
                </c:pt>
                <c:pt idx="457">
                  <c:v>258689.4027644515</c:v>
                </c:pt>
                <c:pt idx="458">
                  <c:v>262344.6890155971</c:v>
                </c:pt>
                <c:pt idx="459">
                  <c:v>258933.4103333629</c:v>
                </c:pt>
                <c:pt idx="460">
                  <c:v>256734.0803579511</c:v>
                </c:pt>
                <c:pt idx="461">
                  <c:v>258782.9617211281</c:v>
                </c:pt>
                <c:pt idx="462">
                  <c:v>262184.8327273619</c:v>
                </c:pt>
                <c:pt idx="463">
                  <c:v>260428.8046806967</c:v>
                </c:pt>
                <c:pt idx="464">
                  <c:v>263574.260001959</c:v>
                </c:pt>
                <c:pt idx="465">
                  <c:v>253525.614218391</c:v>
                </c:pt>
                <c:pt idx="466">
                  <c:v>263795.2964506079</c:v>
                </c:pt>
                <c:pt idx="467">
                  <c:v>265000.1234301757</c:v>
                </c:pt>
                <c:pt idx="468">
                  <c:v>263373.5990694524</c:v>
                </c:pt>
                <c:pt idx="469">
                  <c:v>268413.0837586103</c:v>
                </c:pt>
                <c:pt idx="470">
                  <c:v>271683.1266302122</c:v>
                </c:pt>
                <c:pt idx="471">
                  <c:v>273976.4026320393</c:v>
                </c:pt>
                <c:pt idx="472">
                  <c:v>272242.8598811617</c:v>
                </c:pt>
                <c:pt idx="473">
                  <c:v>271370.1262278315</c:v>
                </c:pt>
                <c:pt idx="474">
                  <c:v>269871.8910543814</c:v>
                </c:pt>
                <c:pt idx="475">
                  <c:v>275263.6102639968</c:v>
                </c:pt>
                <c:pt idx="476">
                  <c:v>278252.0533932796</c:v>
                </c:pt>
                <c:pt idx="477">
                  <c:v>278058.1856078135</c:v>
                </c:pt>
                <c:pt idx="478">
                  <c:v>278424.0580559014</c:v>
                </c:pt>
                <c:pt idx="479">
                  <c:v>279395.8286668553</c:v>
                </c:pt>
                <c:pt idx="480">
                  <c:v>278847.5260474535</c:v>
                </c:pt>
                <c:pt idx="481">
                  <c:v>278078.5794767353</c:v>
                </c:pt>
                <c:pt idx="482">
                  <c:v>276064.9704541035</c:v>
                </c:pt>
                <c:pt idx="483">
                  <c:v>275776.3826799954</c:v>
                </c:pt>
                <c:pt idx="484">
                  <c:v>273372.7090639092</c:v>
                </c:pt>
                <c:pt idx="485">
                  <c:v>280432.2246229753</c:v>
                </c:pt>
                <c:pt idx="486">
                  <c:v>281796.4713336343</c:v>
                </c:pt>
                <c:pt idx="487">
                  <c:v>280649.9836023086</c:v>
                </c:pt>
                <c:pt idx="488">
                  <c:v>274227.3134133815</c:v>
                </c:pt>
                <c:pt idx="489">
                  <c:v>272412.8448248815</c:v>
                </c:pt>
                <c:pt idx="490">
                  <c:v>272618.27078048</c:v>
                </c:pt>
                <c:pt idx="491">
                  <c:v>276374.6663390365</c:v>
                </c:pt>
                <c:pt idx="492">
                  <c:v>275250.2413118046</c:v>
                </c:pt>
                <c:pt idx="493">
                  <c:v>284410.1602683961</c:v>
                </c:pt>
                <c:pt idx="494">
                  <c:v>284725.5457191637</c:v>
                </c:pt>
                <c:pt idx="495">
                  <c:v>286848.0588038738</c:v>
                </c:pt>
                <c:pt idx="496">
                  <c:v>288999.9306843935</c:v>
                </c:pt>
                <c:pt idx="497">
                  <c:v>290110.4948817698</c:v>
                </c:pt>
                <c:pt idx="498">
                  <c:v>291188.6600021564</c:v>
                </c:pt>
                <c:pt idx="499">
                  <c:v>291243.193255268</c:v>
                </c:pt>
                <c:pt idx="500">
                  <c:v>291281.5553539367</c:v>
                </c:pt>
                <c:pt idx="501">
                  <c:v>291773.1687692697</c:v>
                </c:pt>
                <c:pt idx="502">
                  <c:v>290811.7824669215</c:v>
                </c:pt>
                <c:pt idx="503">
                  <c:v>291119.0715627307</c:v>
                </c:pt>
                <c:pt idx="504">
                  <c:v>291385.4997085041</c:v>
                </c:pt>
                <c:pt idx="505">
                  <c:v>292492.0958588759</c:v>
                </c:pt>
                <c:pt idx="506">
                  <c:v>292582.260616646</c:v>
                </c:pt>
                <c:pt idx="507">
                  <c:v>292840.9964670627</c:v>
                </c:pt>
                <c:pt idx="508">
                  <c:v>293177.5213650321</c:v>
                </c:pt>
                <c:pt idx="509">
                  <c:v>282449.6302943947</c:v>
                </c:pt>
                <c:pt idx="510">
                  <c:v>291915.0511192305</c:v>
                </c:pt>
                <c:pt idx="511">
                  <c:v>295524.4152713578</c:v>
                </c:pt>
                <c:pt idx="512">
                  <c:v>294640.626638467</c:v>
                </c:pt>
                <c:pt idx="513">
                  <c:v>292051.1388880559</c:v>
                </c:pt>
                <c:pt idx="514">
                  <c:v>295227.6006877147</c:v>
                </c:pt>
                <c:pt idx="515">
                  <c:v>296221.2276550087</c:v>
                </c:pt>
                <c:pt idx="516">
                  <c:v>288959.1428734472</c:v>
                </c:pt>
                <c:pt idx="517">
                  <c:v>268777.0629863914</c:v>
                </c:pt>
                <c:pt idx="518">
                  <c:v>265586.8474274676</c:v>
                </c:pt>
                <c:pt idx="519">
                  <c:v>271841.1073667645</c:v>
                </c:pt>
                <c:pt idx="520">
                  <c:v>261410.8062137947</c:v>
                </c:pt>
                <c:pt idx="521">
                  <c:v>271863.3471907414</c:v>
                </c:pt>
                <c:pt idx="522">
                  <c:v>264950.646861159</c:v>
                </c:pt>
                <c:pt idx="523">
                  <c:v>241463.3430983247</c:v>
                </c:pt>
                <c:pt idx="524">
                  <c:v>250733.8463361741</c:v>
                </c:pt>
                <c:pt idx="525">
                  <c:v>248165.3954569453</c:v>
                </c:pt>
                <c:pt idx="526">
                  <c:v>262661.2201696643</c:v>
                </c:pt>
                <c:pt idx="527">
                  <c:v>276828.1200031515</c:v>
                </c:pt>
                <c:pt idx="528">
                  <c:v>279030.383506949</c:v>
                </c:pt>
                <c:pt idx="529">
                  <c:v>289347.3591221811</c:v>
                </c:pt>
                <c:pt idx="530">
                  <c:v>289393.4554590459</c:v>
                </c:pt>
                <c:pt idx="531">
                  <c:v>294462.5762335036</c:v>
                </c:pt>
                <c:pt idx="532">
                  <c:v>298753.0794849314</c:v>
                </c:pt>
                <c:pt idx="533">
                  <c:v>300469.0283694007</c:v>
                </c:pt>
                <c:pt idx="534">
                  <c:v>294675.1472562021</c:v>
                </c:pt>
                <c:pt idx="535">
                  <c:v>300231.987750212</c:v>
                </c:pt>
                <c:pt idx="536">
                  <c:v>299463.1928425417</c:v>
                </c:pt>
                <c:pt idx="537">
                  <c:v>304423.1504957271</c:v>
                </c:pt>
                <c:pt idx="538">
                  <c:v>303940.0166444881</c:v>
                </c:pt>
                <c:pt idx="539">
                  <c:v>303724.2747609485</c:v>
                </c:pt>
                <c:pt idx="540">
                  <c:v>307754.7538044804</c:v>
                </c:pt>
                <c:pt idx="541">
                  <c:v>309642.7405421431</c:v>
                </c:pt>
                <c:pt idx="542">
                  <c:v>304187.52726091</c:v>
                </c:pt>
                <c:pt idx="543">
                  <c:v>314545.7466892581</c:v>
                </c:pt>
                <c:pt idx="544">
                  <c:v>314759.5209605766</c:v>
                </c:pt>
                <c:pt idx="545">
                  <c:v>315667.960399716</c:v>
                </c:pt>
                <c:pt idx="546">
                  <c:v>316249.637078458</c:v>
                </c:pt>
                <c:pt idx="547">
                  <c:v>316855.516244302</c:v>
                </c:pt>
                <c:pt idx="548">
                  <c:v>314450.1167701934</c:v>
                </c:pt>
                <c:pt idx="549">
                  <c:v>315172.3380013674</c:v>
                </c:pt>
                <c:pt idx="550">
                  <c:v>307589.9843762204</c:v>
                </c:pt>
                <c:pt idx="551">
                  <c:v>305380.3407734176</c:v>
                </c:pt>
                <c:pt idx="552">
                  <c:v>313845.8295112368</c:v>
                </c:pt>
                <c:pt idx="553">
                  <c:v>318343.2052643944</c:v>
                </c:pt>
                <c:pt idx="554">
                  <c:v>315565.0513538257</c:v>
                </c:pt>
                <c:pt idx="555">
                  <c:v>319303.7586604466</c:v>
                </c:pt>
                <c:pt idx="556">
                  <c:v>318207.9995165707</c:v>
                </c:pt>
                <c:pt idx="557">
                  <c:v>316774.8300918096</c:v>
                </c:pt>
                <c:pt idx="558">
                  <c:v>319768.1129667016</c:v>
                </c:pt>
                <c:pt idx="559">
                  <c:v>316261.0286160468</c:v>
                </c:pt>
                <c:pt idx="560">
                  <c:v>315752.5749385864</c:v>
                </c:pt>
                <c:pt idx="561">
                  <c:v>319150.5290198056</c:v>
                </c:pt>
                <c:pt idx="562">
                  <c:v>323960.0504292536</c:v>
                </c:pt>
                <c:pt idx="563">
                  <c:v>326311.8322671656</c:v>
                </c:pt>
                <c:pt idx="564">
                  <c:v>326941.0469285692</c:v>
                </c:pt>
                <c:pt idx="565">
                  <c:v>326995.4904963201</c:v>
                </c:pt>
                <c:pt idx="566">
                  <c:v>324617.4836564238</c:v>
                </c:pt>
                <c:pt idx="567">
                  <c:v>321491.4197623029</c:v>
                </c:pt>
                <c:pt idx="568">
                  <c:v>324648.9046312046</c:v>
                </c:pt>
                <c:pt idx="569">
                  <c:v>327911.294080159</c:v>
                </c:pt>
                <c:pt idx="570">
                  <c:v>308998.8464202064</c:v>
                </c:pt>
                <c:pt idx="571">
                  <c:v>299794.0284764583</c:v>
                </c:pt>
                <c:pt idx="572">
                  <c:v>308374.3612574553</c:v>
                </c:pt>
                <c:pt idx="573">
                  <c:v>314705.427970587</c:v>
                </c:pt>
                <c:pt idx="574">
                  <c:v>324628.9433280998</c:v>
                </c:pt>
                <c:pt idx="575">
                  <c:v>327337.9464068648</c:v>
                </c:pt>
                <c:pt idx="576">
                  <c:v>330591.1132355814</c:v>
                </c:pt>
                <c:pt idx="577">
                  <c:v>334140.3608299522</c:v>
                </c:pt>
                <c:pt idx="578">
                  <c:v>332451.0735381306</c:v>
                </c:pt>
                <c:pt idx="579">
                  <c:v>333784.86255716</c:v>
                </c:pt>
                <c:pt idx="580">
                  <c:v>327353.6731642811</c:v>
                </c:pt>
                <c:pt idx="581">
                  <c:v>331348.1049871787</c:v>
                </c:pt>
                <c:pt idx="582">
                  <c:v>335290.7276005524</c:v>
                </c:pt>
                <c:pt idx="583">
                  <c:v>337638.0370830882</c:v>
                </c:pt>
                <c:pt idx="584">
                  <c:v>337958.3972346173</c:v>
                </c:pt>
                <c:pt idx="585">
                  <c:v>337083.6270078244</c:v>
                </c:pt>
                <c:pt idx="586">
                  <c:v>339106.40096558</c:v>
                </c:pt>
                <c:pt idx="587">
                  <c:v>332506.5146868163</c:v>
                </c:pt>
                <c:pt idx="588">
                  <c:v>337321.6370399881</c:v>
                </c:pt>
                <c:pt idx="589">
                  <c:v>336756.3053368111</c:v>
                </c:pt>
                <c:pt idx="590">
                  <c:v>338553.8674250012</c:v>
                </c:pt>
                <c:pt idx="591">
                  <c:v>345814.3380824989</c:v>
                </c:pt>
                <c:pt idx="592">
                  <c:v>345941.6929287496</c:v>
                </c:pt>
                <c:pt idx="593">
                  <c:v>343520.7760057295</c:v>
                </c:pt>
                <c:pt idx="594">
                  <c:v>336597.5424284036</c:v>
                </c:pt>
                <c:pt idx="595">
                  <c:v>340501.3860859207</c:v>
                </c:pt>
                <c:pt idx="596">
                  <c:v>344046.9738529015</c:v>
                </c:pt>
                <c:pt idx="597">
                  <c:v>339750.1159418535</c:v>
                </c:pt>
                <c:pt idx="598">
                  <c:v>346116.963072109</c:v>
                </c:pt>
                <c:pt idx="599">
                  <c:v>347525.766402588</c:v>
                </c:pt>
                <c:pt idx="600">
                  <c:v>350172.7002968832</c:v>
                </c:pt>
                <c:pt idx="601">
                  <c:v>354222.1282107434</c:v>
                </c:pt>
                <c:pt idx="602">
                  <c:v>353824.1290631245</c:v>
                </c:pt>
                <c:pt idx="603">
                  <c:v>356236.3602971607</c:v>
                </c:pt>
                <c:pt idx="604">
                  <c:v>357340.4233483236</c:v>
                </c:pt>
                <c:pt idx="605">
                  <c:v>358122.1363365122</c:v>
                </c:pt>
                <c:pt idx="606">
                  <c:v>358268.4622758531</c:v>
                </c:pt>
                <c:pt idx="607">
                  <c:v>359001.0430151555</c:v>
                </c:pt>
                <c:pt idx="608">
                  <c:v>361289.4486488921</c:v>
                </c:pt>
                <c:pt idx="609">
                  <c:v>362933.3469142774</c:v>
                </c:pt>
                <c:pt idx="610">
                  <c:v>363423.7101466812</c:v>
                </c:pt>
                <c:pt idx="611">
                  <c:v>363698.7664495527</c:v>
                </c:pt>
                <c:pt idx="612">
                  <c:v>363144.9625139592</c:v>
                </c:pt>
                <c:pt idx="613">
                  <c:v>361615.9164652834</c:v>
                </c:pt>
                <c:pt idx="614">
                  <c:v>362511.1104627019</c:v>
                </c:pt>
                <c:pt idx="615">
                  <c:v>363200.1655161476</c:v>
                </c:pt>
                <c:pt idx="616">
                  <c:v>364025.5122118311</c:v>
                </c:pt>
                <c:pt idx="617">
                  <c:v>365268.8768829831</c:v>
                </c:pt>
                <c:pt idx="618">
                  <c:v>366971.178647097</c:v>
                </c:pt>
                <c:pt idx="619">
                  <c:v>368318.1999451716</c:v>
                </c:pt>
                <c:pt idx="620">
                  <c:v>369191.1757158507</c:v>
                </c:pt>
                <c:pt idx="621">
                  <c:v>362532.7339057077</c:v>
                </c:pt>
                <c:pt idx="622">
                  <c:v>367418.3647373053</c:v>
                </c:pt>
                <c:pt idx="623">
                  <c:v>366781.3657571464</c:v>
                </c:pt>
                <c:pt idx="624">
                  <c:v>368670.1315114896</c:v>
                </c:pt>
                <c:pt idx="625">
                  <c:v>368944.5760728724</c:v>
                </c:pt>
                <c:pt idx="626">
                  <c:v>374093.33656236</c:v>
                </c:pt>
                <c:pt idx="627">
                  <c:v>375010.1250620815</c:v>
                </c:pt>
                <c:pt idx="628">
                  <c:v>378978.4289926786</c:v>
                </c:pt>
                <c:pt idx="629">
                  <c:v>376112.2948671007</c:v>
                </c:pt>
                <c:pt idx="630">
                  <c:v>371034.372371231</c:v>
                </c:pt>
                <c:pt idx="631">
                  <c:v>374646.1973517446</c:v>
                </c:pt>
                <c:pt idx="632">
                  <c:v>370984.7578568361</c:v>
                </c:pt>
                <c:pt idx="633">
                  <c:v>372921.4682546076</c:v>
                </c:pt>
                <c:pt idx="634">
                  <c:v>377291.6046195831</c:v>
                </c:pt>
                <c:pt idx="635">
                  <c:v>375919.7669149828</c:v>
                </c:pt>
                <c:pt idx="636">
                  <c:v>379497.6820394618</c:v>
                </c:pt>
                <c:pt idx="637">
                  <c:v>368482.870151706</c:v>
                </c:pt>
                <c:pt idx="638">
                  <c:v>378311.8654013441</c:v>
                </c:pt>
                <c:pt idx="639">
                  <c:v>376712.1139960899</c:v>
                </c:pt>
                <c:pt idx="640">
                  <c:v>380179.856978199</c:v>
                </c:pt>
                <c:pt idx="641">
                  <c:v>381145.6975421484</c:v>
                </c:pt>
                <c:pt idx="642">
                  <c:v>381417.2230774941</c:v>
                </c:pt>
                <c:pt idx="643">
                  <c:v>378300.7135167284</c:v>
                </c:pt>
                <c:pt idx="644">
                  <c:v>379341.073013226</c:v>
                </c:pt>
                <c:pt idx="645">
                  <c:v>376474.0584383775</c:v>
                </c:pt>
                <c:pt idx="646">
                  <c:v>376642.6142412685</c:v>
                </c:pt>
                <c:pt idx="647">
                  <c:v>358323.929926984</c:v>
                </c:pt>
                <c:pt idx="648">
                  <c:v>355605.5095296998</c:v>
                </c:pt>
                <c:pt idx="649">
                  <c:v>364348.2976655965</c:v>
                </c:pt>
                <c:pt idx="650">
                  <c:v>354612.6904985707</c:v>
                </c:pt>
                <c:pt idx="651">
                  <c:v>355080.440382374</c:v>
                </c:pt>
                <c:pt idx="652">
                  <c:v>349776.226247729</c:v>
                </c:pt>
                <c:pt idx="653">
                  <c:v>361171.0099378333</c:v>
                </c:pt>
                <c:pt idx="654">
                  <c:v>365830.7685844407</c:v>
                </c:pt>
                <c:pt idx="655">
                  <c:v>364961.444577785</c:v>
                </c:pt>
                <c:pt idx="656">
                  <c:v>372032.2767450311</c:v>
                </c:pt>
                <c:pt idx="657">
                  <c:v>376741.827771703</c:v>
                </c:pt>
                <c:pt idx="658">
                  <c:v>377063.0771499653</c:v>
                </c:pt>
                <c:pt idx="659">
                  <c:v>384680.416676482</c:v>
                </c:pt>
                <c:pt idx="660">
                  <c:v>387745.0585056788</c:v>
                </c:pt>
                <c:pt idx="661">
                  <c:v>389363.2355246632</c:v>
                </c:pt>
                <c:pt idx="662">
                  <c:v>390972.662430336</c:v>
                </c:pt>
                <c:pt idx="663">
                  <c:v>390317.7107108778</c:v>
                </c:pt>
                <c:pt idx="664">
                  <c:v>393203.0479731511</c:v>
                </c:pt>
                <c:pt idx="665">
                  <c:v>393868.9516572049</c:v>
                </c:pt>
                <c:pt idx="666">
                  <c:v>393916.1844868217</c:v>
                </c:pt>
                <c:pt idx="667">
                  <c:v>393414.3539923977</c:v>
                </c:pt>
                <c:pt idx="668">
                  <c:v>394818.7701245681</c:v>
                </c:pt>
                <c:pt idx="669">
                  <c:v>395698.5096507303</c:v>
                </c:pt>
                <c:pt idx="670">
                  <c:v>395936.6156202143</c:v>
                </c:pt>
                <c:pt idx="671">
                  <c:v>395784.8476896319</c:v>
                </c:pt>
                <c:pt idx="672">
                  <c:v>397499.5308460915</c:v>
                </c:pt>
                <c:pt idx="673">
                  <c:v>397664.2860541283</c:v>
                </c:pt>
                <c:pt idx="674">
                  <c:v>396520.376599191</c:v>
                </c:pt>
                <c:pt idx="675">
                  <c:v>397797.4980227007</c:v>
                </c:pt>
                <c:pt idx="676">
                  <c:v>398281.3360317247</c:v>
                </c:pt>
                <c:pt idx="677">
                  <c:v>397539.2663680525</c:v>
                </c:pt>
                <c:pt idx="678">
                  <c:v>398805.519700631</c:v>
                </c:pt>
                <c:pt idx="679">
                  <c:v>399279.940797908</c:v>
                </c:pt>
                <c:pt idx="680">
                  <c:v>401528.0736461333</c:v>
                </c:pt>
                <c:pt idx="681">
                  <c:v>406050.159253821</c:v>
                </c:pt>
                <c:pt idx="682">
                  <c:v>406167.6594262621</c:v>
                </c:pt>
                <c:pt idx="683">
                  <c:v>398320.2850198207</c:v>
                </c:pt>
                <c:pt idx="684">
                  <c:v>392472.5391983706</c:v>
                </c:pt>
                <c:pt idx="685">
                  <c:v>400573.4376831755</c:v>
                </c:pt>
                <c:pt idx="686">
                  <c:v>384275.105666674</c:v>
                </c:pt>
                <c:pt idx="687">
                  <c:v>392919.0803945146</c:v>
                </c:pt>
                <c:pt idx="688">
                  <c:v>390011.5138881644</c:v>
                </c:pt>
                <c:pt idx="689">
                  <c:v>387162.2156480588</c:v>
                </c:pt>
                <c:pt idx="690">
                  <c:v>373858.119432577</c:v>
                </c:pt>
                <c:pt idx="691">
                  <c:v>374985.8557353404</c:v>
                </c:pt>
                <c:pt idx="692">
                  <c:v>387563.174493131</c:v>
                </c:pt>
                <c:pt idx="693">
                  <c:v>386047.9847196605</c:v>
                </c:pt>
                <c:pt idx="694">
                  <c:v>370086.1836143408</c:v>
                </c:pt>
                <c:pt idx="695">
                  <c:v>388682.7329660093</c:v>
                </c:pt>
                <c:pt idx="696">
                  <c:v>365551.6048192489</c:v>
                </c:pt>
                <c:pt idx="697">
                  <c:v>352380.7013655039</c:v>
                </c:pt>
                <c:pt idx="698">
                  <c:v>333404.7541874521</c:v>
                </c:pt>
                <c:pt idx="699">
                  <c:v>336226.4501655977</c:v>
                </c:pt>
                <c:pt idx="700">
                  <c:v>325921.0592846386</c:v>
                </c:pt>
                <c:pt idx="701">
                  <c:v>327390.8155351949</c:v>
                </c:pt>
                <c:pt idx="702">
                  <c:v>343319.0039677913</c:v>
                </c:pt>
                <c:pt idx="703">
                  <c:v>354999.0927130575</c:v>
                </c:pt>
                <c:pt idx="704">
                  <c:v>377208.1189344672</c:v>
                </c:pt>
                <c:pt idx="705">
                  <c:v>368804.936579587</c:v>
                </c:pt>
                <c:pt idx="706">
                  <c:v>381935.5552142961</c:v>
                </c:pt>
                <c:pt idx="707">
                  <c:v>388605.7310356877</c:v>
                </c:pt>
                <c:pt idx="708">
                  <c:v>388361.4383858265</c:v>
                </c:pt>
                <c:pt idx="709">
                  <c:v>400713.3075920115</c:v>
                </c:pt>
                <c:pt idx="710">
                  <c:v>399667.7163070079</c:v>
                </c:pt>
                <c:pt idx="711">
                  <c:v>405096.3315712905</c:v>
                </c:pt>
                <c:pt idx="712">
                  <c:v>414130.4684157523</c:v>
                </c:pt>
                <c:pt idx="713">
                  <c:v>414484.9677744177</c:v>
                </c:pt>
                <c:pt idx="714">
                  <c:v>412779.7407195768</c:v>
                </c:pt>
                <c:pt idx="715">
                  <c:v>417296.5925365121</c:v>
                </c:pt>
                <c:pt idx="716">
                  <c:v>420605.7004633127</c:v>
                </c:pt>
                <c:pt idx="717">
                  <c:v>421799.3428302072</c:v>
                </c:pt>
                <c:pt idx="718">
                  <c:v>424925.6433723194</c:v>
                </c:pt>
                <c:pt idx="719">
                  <c:v>425521.0448835997</c:v>
                </c:pt>
                <c:pt idx="720">
                  <c:v>425181.1226290127</c:v>
                </c:pt>
                <c:pt idx="721">
                  <c:v>425748.7993773894</c:v>
                </c:pt>
                <c:pt idx="722">
                  <c:v>426019.8211389615</c:v>
                </c:pt>
                <c:pt idx="723">
                  <c:v>427416.8913734136</c:v>
                </c:pt>
                <c:pt idx="724">
                  <c:v>429849.1522478012</c:v>
                </c:pt>
                <c:pt idx="725">
                  <c:v>429265.7100411379</c:v>
                </c:pt>
                <c:pt idx="726">
                  <c:v>430713.420118022</c:v>
                </c:pt>
                <c:pt idx="727">
                  <c:v>432650.1651922225</c:v>
                </c:pt>
                <c:pt idx="728">
                  <c:v>434092.337909983</c:v>
                </c:pt>
                <c:pt idx="729">
                  <c:v>434014.759244354</c:v>
                </c:pt>
                <c:pt idx="730">
                  <c:v>434838.7938566399</c:v>
                </c:pt>
                <c:pt idx="731">
                  <c:v>434475.1428087531</c:v>
                </c:pt>
                <c:pt idx="732">
                  <c:v>433512.0101263793</c:v>
                </c:pt>
                <c:pt idx="733">
                  <c:v>435472.6339420886</c:v>
                </c:pt>
                <c:pt idx="734">
                  <c:v>436270.6423321895</c:v>
                </c:pt>
                <c:pt idx="735">
                  <c:v>436337.3275249968</c:v>
                </c:pt>
                <c:pt idx="736">
                  <c:v>436702.9677245219</c:v>
                </c:pt>
                <c:pt idx="737">
                  <c:v>428277.017267131</c:v>
                </c:pt>
                <c:pt idx="738">
                  <c:v>428679.5101689114</c:v>
                </c:pt>
                <c:pt idx="739">
                  <c:v>409517.55911627</c:v>
                </c:pt>
                <c:pt idx="740">
                  <c:v>410631.5381600272</c:v>
                </c:pt>
                <c:pt idx="741">
                  <c:v>393631.6531751619</c:v>
                </c:pt>
                <c:pt idx="742">
                  <c:v>388586.0960126587</c:v>
                </c:pt>
                <c:pt idx="743">
                  <c:v>377929.4153611336</c:v>
                </c:pt>
                <c:pt idx="744">
                  <c:v>402645.7601360986</c:v>
                </c:pt>
                <c:pt idx="745">
                  <c:v>428149.9283820718</c:v>
                </c:pt>
                <c:pt idx="746">
                  <c:v>432803.8292814081</c:v>
                </c:pt>
                <c:pt idx="747">
                  <c:v>437767.9978505811</c:v>
                </c:pt>
                <c:pt idx="748">
                  <c:v>439456.3734219661</c:v>
                </c:pt>
                <c:pt idx="749">
                  <c:v>440209.3374049743</c:v>
                </c:pt>
                <c:pt idx="750">
                  <c:v>443369.9342394978</c:v>
                </c:pt>
                <c:pt idx="751">
                  <c:v>444582.4011220939</c:v>
                </c:pt>
                <c:pt idx="752">
                  <c:v>440425.5504187327</c:v>
                </c:pt>
                <c:pt idx="753">
                  <c:v>429378.9417449252</c:v>
                </c:pt>
                <c:pt idx="754">
                  <c:v>430576.138964541</c:v>
                </c:pt>
                <c:pt idx="755">
                  <c:v>412830.2551583939</c:v>
                </c:pt>
                <c:pt idx="756">
                  <c:v>402613.6973862466</c:v>
                </c:pt>
                <c:pt idx="757">
                  <c:v>416177.5733188803</c:v>
                </c:pt>
                <c:pt idx="758">
                  <c:v>434592.9021901658</c:v>
                </c:pt>
                <c:pt idx="759">
                  <c:v>427116.9848913178</c:v>
                </c:pt>
                <c:pt idx="760">
                  <c:v>418473.7115381188</c:v>
                </c:pt>
                <c:pt idx="761">
                  <c:v>416013.2440822187</c:v>
                </c:pt>
                <c:pt idx="762">
                  <c:v>410709.4830739893</c:v>
                </c:pt>
                <c:pt idx="763">
                  <c:v>400612.1667519535</c:v>
                </c:pt>
                <c:pt idx="764">
                  <c:v>415459.3132228686</c:v>
                </c:pt>
                <c:pt idx="765">
                  <c:v>418712.5128422568</c:v>
                </c:pt>
                <c:pt idx="766">
                  <c:v>425071.1075639899</c:v>
                </c:pt>
                <c:pt idx="767">
                  <c:v>441209.9699529144</c:v>
                </c:pt>
                <c:pt idx="768">
                  <c:v>436338.1621984986</c:v>
                </c:pt>
                <c:pt idx="769">
                  <c:v>440808.4620235413</c:v>
                </c:pt>
                <c:pt idx="770">
                  <c:v>427429.4069490493</c:v>
                </c:pt>
                <c:pt idx="771">
                  <c:v>411299.6181880608</c:v>
                </c:pt>
                <c:pt idx="772">
                  <c:v>422548.6028977239</c:v>
                </c:pt>
                <c:pt idx="773">
                  <c:v>407463.2452229674</c:v>
                </c:pt>
                <c:pt idx="774">
                  <c:v>423427.2254532364</c:v>
                </c:pt>
                <c:pt idx="775">
                  <c:v>439420.7247611913</c:v>
                </c:pt>
                <c:pt idx="776">
                  <c:v>435268.9075664566</c:v>
                </c:pt>
                <c:pt idx="777">
                  <c:v>445602.1780505672</c:v>
                </c:pt>
                <c:pt idx="778">
                  <c:v>442626.5548547085</c:v>
                </c:pt>
                <c:pt idx="779">
                  <c:v>439413.6565142856</c:v>
                </c:pt>
                <c:pt idx="780">
                  <c:v>450332.7629126008</c:v>
                </c:pt>
                <c:pt idx="781">
                  <c:v>450711.6300812021</c:v>
                </c:pt>
                <c:pt idx="782">
                  <c:v>459707.4091826502</c:v>
                </c:pt>
                <c:pt idx="783">
                  <c:v>462923.0056042189</c:v>
                </c:pt>
                <c:pt idx="784">
                  <c:v>465542.4517771176</c:v>
                </c:pt>
                <c:pt idx="785">
                  <c:v>466136.4939621968</c:v>
                </c:pt>
                <c:pt idx="786">
                  <c:v>466026.1766456617</c:v>
                </c:pt>
                <c:pt idx="787">
                  <c:v>470124.9028574731</c:v>
                </c:pt>
                <c:pt idx="788">
                  <c:v>471572.78702084</c:v>
                </c:pt>
                <c:pt idx="789">
                  <c:v>473369.2284694773</c:v>
                </c:pt>
                <c:pt idx="790">
                  <c:v>473633.7616590231</c:v>
                </c:pt>
                <c:pt idx="791">
                  <c:v>473621.6856524332</c:v>
                </c:pt>
                <c:pt idx="792">
                  <c:v>473277.0216784558</c:v>
                </c:pt>
                <c:pt idx="793">
                  <c:v>476154.0676408892</c:v>
                </c:pt>
                <c:pt idx="794">
                  <c:v>475996.0594585855</c:v>
                </c:pt>
                <c:pt idx="795">
                  <c:v>475905.163617722</c:v>
                </c:pt>
                <c:pt idx="796">
                  <c:v>476686.9729848495</c:v>
                </c:pt>
                <c:pt idx="797">
                  <c:v>462360.1773438756</c:v>
                </c:pt>
                <c:pt idx="798">
                  <c:v>466686.4158177529</c:v>
                </c:pt>
                <c:pt idx="799">
                  <c:v>449099.9037212876</c:v>
                </c:pt>
                <c:pt idx="800">
                  <c:v>446412.9752699421</c:v>
                </c:pt>
                <c:pt idx="801">
                  <c:v>460466.4745251431</c:v>
                </c:pt>
                <c:pt idx="802">
                  <c:v>453794.394710914</c:v>
                </c:pt>
                <c:pt idx="803">
                  <c:v>467948.4803461206</c:v>
                </c:pt>
                <c:pt idx="804">
                  <c:v>465260.7458923319</c:v>
                </c:pt>
                <c:pt idx="805">
                  <c:v>478125.1680308669</c:v>
                </c:pt>
                <c:pt idx="806">
                  <c:v>473926.2471862307</c:v>
                </c:pt>
                <c:pt idx="807">
                  <c:v>482208.5824047315</c:v>
                </c:pt>
                <c:pt idx="808">
                  <c:v>481558.5130632901</c:v>
                </c:pt>
                <c:pt idx="809">
                  <c:v>476660.3845810927</c:v>
                </c:pt>
                <c:pt idx="810">
                  <c:v>461478.7036301286</c:v>
                </c:pt>
                <c:pt idx="811">
                  <c:v>459243.6175133548</c:v>
                </c:pt>
                <c:pt idx="812">
                  <c:v>462314.8086941212</c:v>
                </c:pt>
                <c:pt idx="813">
                  <c:v>475345.729015986</c:v>
                </c:pt>
                <c:pt idx="814">
                  <c:v>466537.9081667834</c:v>
                </c:pt>
                <c:pt idx="815">
                  <c:v>463417.0671168864</c:v>
                </c:pt>
                <c:pt idx="816">
                  <c:v>467354.9224612962</c:v>
                </c:pt>
                <c:pt idx="817">
                  <c:v>474988.0950040084</c:v>
                </c:pt>
                <c:pt idx="818">
                  <c:v>473658.1681605622</c:v>
                </c:pt>
                <c:pt idx="819">
                  <c:v>477226.9875666955</c:v>
                </c:pt>
                <c:pt idx="820">
                  <c:v>482769.2768666078</c:v>
                </c:pt>
                <c:pt idx="821">
                  <c:v>488241.5485388988</c:v>
                </c:pt>
                <c:pt idx="822">
                  <c:v>483802.2235084334</c:v>
                </c:pt>
                <c:pt idx="823">
                  <c:v>486199.7019073595</c:v>
                </c:pt>
                <c:pt idx="824">
                  <c:v>491396.663674926</c:v>
                </c:pt>
                <c:pt idx="825">
                  <c:v>491278.5638702412</c:v>
                </c:pt>
                <c:pt idx="826">
                  <c:v>480936.5364918676</c:v>
                </c:pt>
                <c:pt idx="827">
                  <c:v>490554.7462962035</c:v>
                </c:pt>
                <c:pt idx="828">
                  <c:v>489818.8329825755</c:v>
                </c:pt>
                <c:pt idx="829">
                  <c:v>494659.3800087287</c:v>
                </c:pt>
                <c:pt idx="830">
                  <c:v>496865.579640877</c:v>
                </c:pt>
                <c:pt idx="831">
                  <c:v>498584.7974136336</c:v>
                </c:pt>
                <c:pt idx="832">
                  <c:v>495876.3491277476</c:v>
                </c:pt>
                <c:pt idx="833">
                  <c:v>498931.098733878</c:v>
                </c:pt>
                <c:pt idx="834">
                  <c:v>495923.6875494998</c:v>
                </c:pt>
                <c:pt idx="835">
                  <c:v>487009.5320145111</c:v>
                </c:pt>
                <c:pt idx="836">
                  <c:v>497586.7851757223</c:v>
                </c:pt>
                <c:pt idx="837">
                  <c:v>500816.7267001751</c:v>
                </c:pt>
                <c:pt idx="838">
                  <c:v>490624.6494398401</c:v>
                </c:pt>
                <c:pt idx="839">
                  <c:v>486695.3537807138</c:v>
                </c:pt>
                <c:pt idx="840">
                  <c:v>490441.7000397101</c:v>
                </c:pt>
                <c:pt idx="841">
                  <c:v>502797.7778850966</c:v>
                </c:pt>
                <c:pt idx="842">
                  <c:v>499910.8654556943</c:v>
                </c:pt>
                <c:pt idx="843">
                  <c:v>498082.381975939</c:v>
                </c:pt>
                <c:pt idx="844">
                  <c:v>498560.5875209589</c:v>
                </c:pt>
                <c:pt idx="845">
                  <c:v>507329.4650957193</c:v>
                </c:pt>
                <c:pt idx="846">
                  <c:v>508481.1379742383</c:v>
                </c:pt>
                <c:pt idx="847">
                  <c:v>511531.9401918731</c:v>
                </c:pt>
                <c:pt idx="848">
                  <c:v>511812.4161502295</c:v>
                </c:pt>
                <c:pt idx="849">
                  <c:v>511849.6041308662</c:v>
                </c:pt>
                <c:pt idx="850">
                  <c:v>513883.6114070942</c:v>
                </c:pt>
                <c:pt idx="851">
                  <c:v>513244.8372656701</c:v>
                </c:pt>
                <c:pt idx="852">
                  <c:v>508732.2095707238</c:v>
                </c:pt>
                <c:pt idx="853">
                  <c:v>515243.5845049848</c:v>
                </c:pt>
                <c:pt idx="854">
                  <c:v>515310.1883003404</c:v>
                </c:pt>
                <c:pt idx="855">
                  <c:v>512345.351036164</c:v>
                </c:pt>
                <c:pt idx="856">
                  <c:v>516380.9818056207</c:v>
                </c:pt>
                <c:pt idx="857">
                  <c:v>517027.6591081808</c:v>
                </c:pt>
                <c:pt idx="858">
                  <c:v>519327.4655330162</c:v>
                </c:pt>
                <c:pt idx="859">
                  <c:v>516671.5956785285</c:v>
                </c:pt>
                <c:pt idx="860">
                  <c:v>515654.4978496851</c:v>
                </c:pt>
                <c:pt idx="861">
                  <c:v>509341.4925501801</c:v>
                </c:pt>
                <c:pt idx="862">
                  <c:v>510734.7935557765</c:v>
                </c:pt>
                <c:pt idx="863">
                  <c:v>523403.9775569383</c:v>
                </c:pt>
                <c:pt idx="864">
                  <c:v>526009.6403780726</c:v>
                </c:pt>
                <c:pt idx="865">
                  <c:v>519282.4030963918</c:v>
                </c:pt>
                <c:pt idx="866">
                  <c:v>514249.5303960314</c:v>
                </c:pt>
                <c:pt idx="867">
                  <c:v>520645.5364897176</c:v>
                </c:pt>
                <c:pt idx="868">
                  <c:v>522283.014799878</c:v>
                </c:pt>
                <c:pt idx="869">
                  <c:v>531659.6852348116</c:v>
                </c:pt>
                <c:pt idx="870">
                  <c:v>526904.1594359714</c:v>
                </c:pt>
                <c:pt idx="871">
                  <c:v>533816.7529120343</c:v>
                </c:pt>
                <c:pt idx="872">
                  <c:v>535746.1640713913</c:v>
                </c:pt>
                <c:pt idx="873">
                  <c:v>529250.768888373</c:v>
                </c:pt>
                <c:pt idx="874">
                  <c:v>526628.2060858847</c:v>
                </c:pt>
                <c:pt idx="875">
                  <c:v>526784.3220855812</c:v>
                </c:pt>
                <c:pt idx="876">
                  <c:v>503527.6411073867</c:v>
                </c:pt>
                <c:pt idx="877">
                  <c:v>507116.4037326933</c:v>
                </c:pt>
                <c:pt idx="878">
                  <c:v>516067.3691640431</c:v>
                </c:pt>
                <c:pt idx="879">
                  <c:v>514991.8866240107</c:v>
                </c:pt>
                <c:pt idx="880">
                  <c:v>511756.6247723866</c:v>
                </c:pt>
                <c:pt idx="881">
                  <c:v>518782.279083593</c:v>
                </c:pt>
                <c:pt idx="882">
                  <c:v>499829.863554121</c:v>
                </c:pt>
                <c:pt idx="883">
                  <c:v>502074.3865064483</c:v>
                </c:pt>
                <c:pt idx="884">
                  <c:v>517207.2680577091</c:v>
                </c:pt>
                <c:pt idx="885">
                  <c:v>531140.9524750688</c:v>
                </c:pt>
                <c:pt idx="886">
                  <c:v>535326.8166149696</c:v>
                </c:pt>
                <c:pt idx="887">
                  <c:v>535373.4493852996</c:v>
                </c:pt>
                <c:pt idx="888">
                  <c:v>542667.8861532933</c:v>
                </c:pt>
                <c:pt idx="889">
                  <c:v>543814.1629478253</c:v>
                </c:pt>
                <c:pt idx="890">
                  <c:v>545164.0960103578</c:v>
                </c:pt>
                <c:pt idx="891">
                  <c:v>542884.943592947</c:v>
                </c:pt>
                <c:pt idx="892">
                  <c:v>541566.213956807</c:v>
                </c:pt>
                <c:pt idx="893">
                  <c:v>537138.4114737915</c:v>
                </c:pt>
                <c:pt idx="894">
                  <c:v>527416.1361237992</c:v>
                </c:pt>
                <c:pt idx="895">
                  <c:v>521161.5189111647</c:v>
                </c:pt>
                <c:pt idx="896">
                  <c:v>534868.7761040137</c:v>
                </c:pt>
                <c:pt idx="897">
                  <c:v>541604.649964568</c:v>
                </c:pt>
                <c:pt idx="898">
                  <c:v>542144.1224721924</c:v>
                </c:pt>
                <c:pt idx="899">
                  <c:v>540774.357773304</c:v>
                </c:pt>
                <c:pt idx="900">
                  <c:v>539614.4702369917</c:v>
                </c:pt>
                <c:pt idx="901">
                  <c:v>538029.5790024092</c:v>
                </c:pt>
                <c:pt idx="902">
                  <c:v>540988.3566046096</c:v>
                </c:pt>
                <c:pt idx="903">
                  <c:v>534150.4945577417</c:v>
                </c:pt>
                <c:pt idx="904">
                  <c:v>532010.5190123324</c:v>
                </c:pt>
                <c:pt idx="905">
                  <c:v>544889.2978440754</c:v>
                </c:pt>
                <c:pt idx="906">
                  <c:v>536360.431932024</c:v>
                </c:pt>
                <c:pt idx="907">
                  <c:v>537747.648548353</c:v>
                </c:pt>
                <c:pt idx="908">
                  <c:v>537318.2828931236</c:v>
                </c:pt>
                <c:pt idx="909">
                  <c:v>541452.7992392376</c:v>
                </c:pt>
                <c:pt idx="910">
                  <c:v>547618.5220901411</c:v>
                </c:pt>
                <c:pt idx="911">
                  <c:v>545858.9912516933</c:v>
                </c:pt>
                <c:pt idx="912">
                  <c:v>538640.52910442</c:v>
                </c:pt>
                <c:pt idx="913">
                  <c:v>514145.6377575884</c:v>
                </c:pt>
                <c:pt idx="914">
                  <c:v>470558.1014029691</c:v>
                </c:pt>
                <c:pt idx="915">
                  <c:v>415485.1300228424</c:v>
                </c:pt>
                <c:pt idx="916">
                  <c:v>397206.6594414413</c:v>
                </c:pt>
                <c:pt idx="917">
                  <c:v>449975.0683232376</c:v>
                </c:pt>
                <c:pt idx="918">
                  <c:v>483913.9989074077</c:v>
                </c:pt>
                <c:pt idx="919">
                  <c:v>484999.5679885254</c:v>
                </c:pt>
                <c:pt idx="920">
                  <c:v>473422.6871427945</c:v>
                </c:pt>
                <c:pt idx="921">
                  <c:v>431365.8433372676</c:v>
                </c:pt>
                <c:pt idx="922">
                  <c:v>456797.9298469354</c:v>
                </c:pt>
                <c:pt idx="923">
                  <c:v>458538.0233217585</c:v>
                </c:pt>
                <c:pt idx="924">
                  <c:v>443613.5572294702</c:v>
                </c:pt>
                <c:pt idx="925">
                  <c:v>468893.3156568606</c:v>
                </c:pt>
                <c:pt idx="926">
                  <c:v>457563.8311374255</c:v>
                </c:pt>
                <c:pt idx="927">
                  <c:v>463862.296176356</c:v>
                </c:pt>
                <c:pt idx="928">
                  <c:v>469019.5286977694</c:v>
                </c:pt>
                <c:pt idx="929">
                  <c:v>466200.3431683886</c:v>
                </c:pt>
                <c:pt idx="930">
                  <c:v>479504.7861768247</c:v>
                </c:pt>
                <c:pt idx="931">
                  <c:v>488665.9662700495</c:v>
                </c:pt>
                <c:pt idx="932">
                  <c:v>486716.3198735868</c:v>
                </c:pt>
                <c:pt idx="933">
                  <c:v>473513.7517295266</c:v>
                </c:pt>
                <c:pt idx="934">
                  <c:v>480835.0309962684</c:v>
                </c:pt>
                <c:pt idx="935">
                  <c:v>468713.605085456</c:v>
                </c:pt>
                <c:pt idx="936">
                  <c:v>468636.7712133631</c:v>
                </c:pt>
                <c:pt idx="937">
                  <c:v>464408.4983598075</c:v>
                </c:pt>
                <c:pt idx="938">
                  <c:v>464104.3272045739</c:v>
                </c:pt>
                <c:pt idx="939">
                  <c:v>438222.4079048247</c:v>
                </c:pt>
                <c:pt idx="940">
                  <c:v>440566.8707377412</c:v>
                </c:pt>
                <c:pt idx="941">
                  <c:v>460316.0071182912</c:v>
                </c:pt>
                <c:pt idx="942">
                  <c:v>463984.0850971653</c:v>
                </c:pt>
                <c:pt idx="943">
                  <c:v>477552.8938562451</c:v>
                </c:pt>
                <c:pt idx="944">
                  <c:v>493470.9353103055</c:v>
                </c:pt>
                <c:pt idx="945">
                  <c:v>491996.4038103618</c:v>
                </c:pt>
                <c:pt idx="946">
                  <c:v>498397.5267392655</c:v>
                </c:pt>
                <c:pt idx="947">
                  <c:v>504937.2602462864</c:v>
                </c:pt>
                <c:pt idx="948">
                  <c:v>505813.8954155962</c:v>
                </c:pt>
                <c:pt idx="949">
                  <c:v>508667.4589141097</c:v>
                </c:pt>
                <c:pt idx="950">
                  <c:v>503944.998179083</c:v>
                </c:pt>
                <c:pt idx="951">
                  <c:v>501196.9798893365</c:v>
                </c:pt>
                <c:pt idx="952">
                  <c:v>511216.4626591527</c:v>
                </c:pt>
                <c:pt idx="953">
                  <c:v>513712.5043986887</c:v>
                </c:pt>
                <c:pt idx="954">
                  <c:v>515434.4569766708</c:v>
                </c:pt>
                <c:pt idx="955">
                  <c:v>514648.4985501554</c:v>
                </c:pt>
                <c:pt idx="956">
                  <c:v>511350.5510836388</c:v>
                </c:pt>
                <c:pt idx="957">
                  <c:v>519263.3901095534</c:v>
                </c:pt>
                <c:pt idx="958">
                  <c:v>521436.8522952013</c:v>
                </c:pt>
                <c:pt idx="959">
                  <c:v>521030.2020614487</c:v>
                </c:pt>
                <c:pt idx="960">
                  <c:v>520946.86280217</c:v>
                </c:pt>
                <c:pt idx="961">
                  <c:v>523035.6281670085</c:v>
                </c:pt>
                <c:pt idx="962">
                  <c:v>523065.3163888405</c:v>
                </c:pt>
                <c:pt idx="963">
                  <c:v>522522.0497496056</c:v>
                </c:pt>
                <c:pt idx="964">
                  <c:v>524249.1006903017</c:v>
                </c:pt>
                <c:pt idx="965">
                  <c:v>526245.1142506266</c:v>
                </c:pt>
                <c:pt idx="966">
                  <c:v>521879.6412948596</c:v>
                </c:pt>
                <c:pt idx="967">
                  <c:v>521500.3666866796</c:v>
                </c:pt>
                <c:pt idx="968">
                  <c:v>522331.5348023833</c:v>
                </c:pt>
                <c:pt idx="969">
                  <c:v>511952.8864093684</c:v>
                </c:pt>
                <c:pt idx="970">
                  <c:v>514920.9827213874</c:v>
                </c:pt>
                <c:pt idx="971">
                  <c:v>511051.2915432108</c:v>
                </c:pt>
                <c:pt idx="972">
                  <c:v>494430.0164080725</c:v>
                </c:pt>
                <c:pt idx="973">
                  <c:v>481018.8061176047</c:v>
                </c:pt>
                <c:pt idx="974">
                  <c:v>499708.9125088365</c:v>
                </c:pt>
                <c:pt idx="975">
                  <c:v>498116.3417577711</c:v>
                </c:pt>
                <c:pt idx="976">
                  <c:v>516028.5693895386</c:v>
                </c:pt>
                <c:pt idx="977">
                  <c:v>514848.9083158681</c:v>
                </c:pt>
                <c:pt idx="978">
                  <c:v>520078.2064325821</c:v>
                </c:pt>
                <c:pt idx="979">
                  <c:v>520272.7499627645</c:v>
                </c:pt>
                <c:pt idx="980">
                  <c:v>521703.6014583604</c:v>
                </c:pt>
                <c:pt idx="981">
                  <c:v>522348.96156424</c:v>
                </c:pt>
                <c:pt idx="982">
                  <c:v>523044.8077936829</c:v>
                </c:pt>
                <c:pt idx="983">
                  <c:v>519498.0645016027</c:v>
                </c:pt>
                <c:pt idx="984">
                  <c:v>531164.2067561068</c:v>
                </c:pt>
                <c:pt idx="985">
                  <c:v>520264.384499843</c:v>
                </c:pt>
                <c:pt idx="986">
                  <c:v>504210.9724540692</c:v>
                </c:pt>
                <c:pt idx="987">
                  <c:v>527067.5153001132</c:v>
                </c:pt>
                <c:pt idx="988">
                  <c:v>520861.73484314</c:v>
                </c:pt>
                <c:pt idx="989">
                  <c:v>513245.9250674138</c:v>
                </c:pt>
                <c:pt idx="990">
                  <c:v>504556.1661094464</c:v>
                </c:pt>
                <c:pt idx="991">
                  <c:v>506104.8957047523</c:v>
                </c:pt>
                <c:pt idx="992">
                  <c:v>482975.8689939308</c:v>
                </c:pt>
                <c:pt idx="993">
                  <c:v>490414.3301203116</c:v>
                </c:pt>
                <c:pt idx="994">
                  <c:v>503588.9133733813</c:v>
                </c:pt>
                <c:pt idx="995">
                  <c:v>520811.2637003998</c:v>
                </c:pt>
                <c:pt idx="996">
                  <c:v>504633.5619019216</c:v>
                </c:pt>
                <c:pt idx="997">
                  <c:v>483483.743810544</c:v>
                </c:pt>
                <c:pt idx="998">
                  <c:v>494730.8971020526</c:v>
                </c:pt>
                <c:pt idx="999">
                  <c:v>506351.2550482936</c:v>
                </c:pt>
                <c:pt idx="1000">
                  <c:v>520464.6561208661</c:v>
                </c:pt>
                <c:pt idx="1001">
                  <c:v>519236.0144725346</c:v>
                </c:pt>
                <c:pt idx="1002">
                  <c:v>518290.1590713831</c:v>
                </c:pt>
                <c:pt idx="1003">
                  <c:v>530394.5478194216</c:v>
                </c:pt>
                <c:pt idx="1004">
                  <c:v>522947.6702424723</c:v>
                </c:pt>
                <c:pt idx="1005">
                  <c:v>512748.407463944</c:v>
                </c:pt>
                <c:pt idx="1006">
                  <c:v>494836.3113354067</c:v>
                </c:pt>
                <c:pt idx="1007">
                  <c:v>498290.4223702515</c:v>
                </c:pt>
                <c:pt idx="1008">
                  <c:v>481595.5762231355</c:v>
                </c:pt>
                <c:pt idx="1009">
                  <c:v>449557.5054691448</c:v>
                </c:pt>
                <c:pt idx="1010">
                  <c:v>435037.931557693</c:v>
                </c:pt>
                <c:pt idx="1011">
                  <c:v>437158.3470663645</c:v>
                </c:pt>
                <c:pt idx="1012">
                  <c:v>448172.2059657602</c:v>
                </c:pt>
                <c:pt idx="1013">
                  <c:v>413719.4600062785</c:v>
                </c:pt>
                <c:pt idx="1014">
                  <c:v>436480.3408002462</c:v>
                </c:pt>
                <c:pt idx="1015">
                  <c:v>406797.8788310983</c:v>
                </c:pt>
                <c:pt idx="1016">
                  <c:v>407922.114548054</c:v>
                </c:pt>
                <c:pt idx="1017">
                  <c:v>392179.34367971</c:v>
                </c:pt>
                <c:pt idx="1018">
                  <c:v>399267.7335730467</c:v>
                </c:pt>
                <c:pt idx="1019">
                  <c:v>426819.6432971966</c:v>
                </c:pt>
                <c:pt idx="1020">
                  <c:v>405455.2932494152</c:v>
                </c:pt>
                <c:pt idx="1021">
                  <c:v>424831.711605215</c:v>
                </c:pt>
                <c:pt idx="1022">
                  <c:v>409942.5075009877</c:v>
                </c:pt>
                <c:pt idx="1023">
                  <c:v>417572.4605048173</c:v>
                </c:pt>
                <c:pt idx="1024">
                  <c:v>451624.5095124277</c:v>
                </c:pt>
                <c:pt idx="1025">
                  <c:v>451225.0303362808</c:v>
                </c:pt>
                <c:pt idx="1026">
                  <c:v>432945.7133447625</c:v>
                </c:pt>
                <c:pt idx="1027">
                  <c:v>438042.6816516572</c:v>
                </c:pt>
                <c:pt idx="1028">
                  <c:v>438871.1236243231</c:v>
                </c:pt>
                <c:pt idx="1029">
                  <c:v>420441.7156128366</c:v>
                </c:pt>
                <c:pt idx="1030">
                  <c:v>405560.4190339634</c:v>
                </c:pt>
                <c:pt idx="1031">
                  <c:v>404706.5595000915</c:v>
                </c:pt>
                <c:pt idx="1032">
                  <c:v>404985.714480302</c:v>
                </c:pt>
                <c:pt idx="1033">
                  <c:v>391339.0711822726</c:v>
                </c:pt>
                <c:pt idx="1034">
                  <c:v>412578.790652294</c:v>
                </c:pt>
                <c:pt idx="1035">
                  <c:v>431620.8821081892</c:v>
                </c:pt>
                <c:pt idx="1036">
                  <c:v>448328.2359073958</c:v>
                </c:pt>
                <c:pt idx="1037">
                  <c:v>445795.5002610038</c:v>
                </c:pt>
                <c:pt idx="1038">
                  <c:v>447593.7078178446</c:v>
                </c:pt>
                <c:pt idx="1039">
                  <c:v>462539.1324616503</c:v>
                </c:pt>
                <c:pt idx="1040">
                  <c:v>451169.1489551407</c:v>
                </c:pt>
                <c:pt idx="1041">
                  <c:v>455429.6839941074</c:v>
                </c:pt>
                <c:pt idx="1042">
                  <c:v>466696.1490553773</c:v>
                </c:pt>
                <c:pt idx="1043">
                  <c:v>464760.7853038054</c:v>
                </c:pt>
                <c:pt idx="1044">
                  <c:v>458895.0142295668</c:v>
                </c:pt>
                <c:pt idx="1045">
                  <c:v>479906.4640277277</c:v>
                </c:pt>
                <c:pt idx="1046">
                  <c:v>483289.3974283214</c:v>
                </c:pt>
                <c:pt idx="1047">
                  <c:v>486131.7364690828</c:v>
                </c:pt>
                <c:pt idx="1048">
                  <c:v>488080.2401223052</c:v>
                </c:pt>
                <c:pt idx="1049">
                  <c:v>488962.3925411368</c:v>
                </c:pt>
                <c:pt idx="1050">
                  <c:v>481243.7576886636</c:v>
                </c:pt>
                <c:pt idx="1051">
                  <c:v>485209.9860384073</c:v>
                </c:pt>
                <c:pt idx="1052">
                  <c:v>485632.2025786247</c:v>
                </c:pt>
                <c:pt idx="1053">
                  <c:v>495507.6384325048</c:v>
                </c:pt>
                <c:pt idx="1054">
                  <c:v>496039.3849751707</c:v>
                </c:pt>
                <c:pt idx="1055">
                  <c:v>495629.0496673293</c:v>
                </c:pt>
                <c:pt idx="1056">
                  <c:v>499054.1653936771</c:v>
                </c:pt>
                <c:pt idx="1057">
                  <c:v>501995.1912265995</c:v>
                </c:pt>
                <c:pt idx="1058">
                  <c:v>503551.705831243</c:v>
                </c:pt>
                <c:pt idx="1059">
                  <c:v>504662.100657138</c:v>
                </c:pt>
                <c:pt idx="1060">
                  <c:v>504651.858068197</c:v>
                </c:pt>
                <c:pt idx="1061">
                  <c:v>502724.8649664398</c:v>
                </c:pt>
                <c:pt idx="1062">
                  <c:v>502845.356063955</c:v>
                </c:pt>
                <c:pt idx="1063">
                  <c:v>503924.9209834442</c:v>
                </c:pt>
                <c:pt idx="1064">
                  <c:v>506690.8852426521</c:v>
                </c:pt>
                <c:pt idx="1065">
                  <c:v>507711.4353950482</c:v>
                </c:pt>
                <c:pt idx="1066">
                  <c:v>507491.3350862071</c:v>
                </c:pt>
                <c:pt idx="1067">
                  <c:v>508535.171573011</c:v>
                </c:pt>
                <c:pt idx="1068">
                  <c:v>504777.6490546954</c:v>
                </c:pt>
                <c:pt idx="1069">
                  <c:v>493773.9011838436</c:v>
                </c:pt>
                <c:pt idx="1070">
                  <c:v>505495.0173308742</c:v>
                </c:pt>
                <c:pt idx="1071">
                  <c:v>491730.8594493517</c:v>
                </c:pt>
                <c:pt idx="1072">
                  <c:v>495872.8645662582</c:v>
                </c:pt>
                <c:pt idx="1073">
                  <c:v>493114.3015454835</c:v>
                </c:pt>
                <c:pt idx="1074">
                  <c:v>503901.7771519334</c:v>
                </c:pt>
                <c:pt idx="1075">
                  <c:v>514023.6979954503</c:v>
                </c:pt>
                <c:pt idx="1076">
                  <c:v>514685.3669678394</c:v>
                </c:pt>
                <c:pt idx="1077">
                  <c:v>514800.6407986812</c:v>
                </c:pt>
                <c:pt idx="1078">
                  <c:v>521434.299584118</c:v>
                </c:pt>
                <c:pt idx="1079">
                  <c:v>524074.3767178608</c:v>
                </c:pt>
                <c:pt idx="1080">
                  <c:v>524468.791174128</c:v>
                </c:pt>
                <c:pt idx="1081">
                  <c:v>520027.6648693827</c:v>
                </c:pt>
                <c:pt idx="1082">
                  <c:v>521222.0520282965</c:v>
                </c:pt>
                <c:pt idx="1083">
                  <c:v>519775.2221858974</c:v>
                </c:pt>
                <c:pt idx="1084">
                  <c:v>521959.6528346401</c:v>
                </c:pt>
                <c:pt idx="1085">
                  <c:v>523780.4789243708</c:v>
                </c:pt>
                <c:pt idx="1086">
                  <c:v>515287.8341751227</c:v>
                </c:pt>
                <c:pt idx="1087">
                  <c:v>510425.9190305555</c:v>
                </c:pt>
                <c:pt idx="1088">
                  <c:v>519045.9085661618</c:v>
                </c:pt>
                <c:pt idx="1089">
                  <c:v>510851.6996987292</c:v>
                </c:pt>
                <c:pt idx="1090">
                  <c:v>505132.4488367448</c:v>
                </c:pt>
                <c:pt idx="1091">
                  <c:v>505151.1413201783</c:v>
                </c:pt>
                <c:pt idx="1092">
                  <c:v>509433.4151487523</c:v>
                </c:pt>
                <c:pt idx="1093">
                  <c:v>511684.9392300616</c:v>
                </c:pt>
                <c:pt idx="1094">
                  <c:v>523459.081651719</c:v>
                </c:pt>
                <c:pt idx="1095">
                  <c:v>514622.8933888785</c:v>
                </c:pt>
                <c:pt idx="1096">
                  <c:v>515267.2757046833</c:v>
                </c:pt>
                <c:pt idx="1097">
                  <c:v>507314.8403476614</c:v>
                </c:pt>
                <c:pt idx="1098">
                  <c:v>517832.9177889815</c:v>
                </c:pt>
                <c:pt idx="1099">
                  <c:v>509023.7231051312</c:v>
                </c:pt>
                <c:pt idx="1100">
                  <c:v>509388.522744349</c:v>
                </c:pt>
                <c:pt idx="1101">
                  <c:v>505887.3631282339</c:v>
                </c:pt>
                <c:pt idx="1102">
                  <c:v>513053.7458538876</c:v>
                </c:pt>
                <c:pt idx="1103">
                  <c:v>512177.6924359999</c:v>
                </c:pt>
                <c:pt idx="1104">
                  <c:v>526164.8880964375</c:v>
                </c:pt>
                <c:pt idx="1105">
                  <c:v>532153.7051025645</c:v>
                </c:pt>
                <c:pt idx="1106">
                  <c:v>532745.2140656672</c:v>
                </c:pt>
                <c:pt idx="1107">
                  <c:v>536454.2773248798</c:v>
                </c:pt>
                <c:pt idx="1108">
                  <c:v>536573.4702789562</c:v>
                </c:pt>
                <c:pt idx="1109">
                  <c:v>537861.7500187452</c:v>
                </c:pt>
                <c:pt idx="1110">
                  <c:v>540186.326443179</c:v>
                </c:pt>
                <c:pt idx="1111">
                  <c:v>539012.9294161561</c:v>
                </c:pt>
                <c:pt idx="1112">
                  <c:v>542786.4817460463</c:v>
                </c:pt>
                <c:pt idx="1113">
                  <c:v>543759.9519349245</c:v>
                </c:pt>
                <c:pt idx="1114">
                  <c:v>545630.1130022726</c:v>
                </c:pt>
                <c:pt idx="1115">
                  <c:v>544800.2679537577</c:v>
                </c:pt>
                <c:pt idx="1116">
                  <c:v>538808.3143995779</c:v>
                </c:pt>
                <c:pt idx="1117">
                  <c:v>532587.4004506813</c:v>
                </c:pt>
                <c:pt idx="1118">
                  <c:v>532087.731059792</c:v>
                </c:pt>
                <c:pt idx="1119">
                  <c:v>531612.7439945957</c:v>
                </c:pt>
                <c:pt idx="1120">
                  <c:v>535397.204934112</c:v>
                </c:pt>
                <c:pt idx="1121">
                  <c:v>533254.95225692</c:v>
                </c:pt>
                <c:pt idx="1122">
                  <c:v>540824.8530174726</c:v>
                </c:pt>
                <c:pt idx="1123">
                  <c:v>543320.4952822006</c:v>
                </c:pt>
                <c:pt idx="1124">
                  <c:v>542284.8961691842</c:v>
                </c:pt>
                <c:pt idx="1125">
                  <c:v>550728.8583599075</c:v>
                </c:pt>
                <c:pt idx="1126">
                  <c:v>522028.7865086225</c:v>
                </c:pt>
                <c:pt idx="1127">
                  <c:v>500696.1128657926</c:v>
                </c:pt>
                <c:pt idx="1128">
                  <c:v>525934.7539881954</c:v>
                </c:pt>
                <c:pt idx="1129">
                  <c:v>546498.2394351214</c:v>
                </c:pt>
                <c:pt idx="1130">
                  <c:v>553860.9924330844</c:v>
                </c:pt>
                <c:pt idx="1131">
                  <c:v>556369.607261341</c:v>
                </c:pt>
                <c:pt idx="1132">
                  <c:v>550100.6043280561</c:v>
                </c:pt>
                <c:pt idx="1133">
                  <c:v>555513.8275321596</c:v>
                </c:pt>
                <c:pt idx="1134">
                  <c:v>555995.953082923</c:v>
                </c:pt>
                <c:pt idx="1135">
                  <c:v>570914.7464872864</c:v>
                </c:pt>
                <c:pt idx="1136">
                  <c:v>573703.001011446</c:v>
                </c:pt>
                <c:pt idx="1137">
                  <c:v>579294.7994537037</c:v>
                </c:pt>
                <c:pt idx="1138">
                  <c:v>580260.3053886518</c:v>
                </c:pt>
                <c:pt idx="1139">
                  <c:v>583323.5041731591</c:v>
                </c:pt>
                <c:pt idx="1140">
                  <c:v>583042.2060737121</c:v>
                </c:pt>
                <c:pt idx="1141">
                  <c:v>585316.4361187618</c:v>
                </c:pt>
                <c:pt idx="1142">
                  <c:v>585164.1745289674</c:v>
                </c:pt>
                <c:pt idx="1143">
                  <c:v>587412.3630315887</c:v>
                </c:pt>
                <c:pt idx="1144">
                  <c:v>584752.2346995592</c:v>
                </c:pt>
                <c:pt idx="1145">
                  <c:v>587620.7746413371</c:v>
                </c:pt>
                <c:pt idx="1146">
                  <c:v>586081.307124201</c:v>
                </c:pt>
                <c:pt idx="1147">
                  <c:v>586696.4372467962</c:v>
                </c:pt>
                <c:pt idx="1148">
                  <c:v>586613.475517262</c:v>
                </c:pt>
                <c:pt idx="1149">
                  <c:v>587545.251664291</c:v>
                </c:pt>
                <c:pt idx="1150">
                  <c:v>589619.4648390615</c:v>
                </c:pt>
                <c:pt idx="1151">
                  <c:v>589384.2072313151</c:v>
                </c:pt>
                <c:pt idx="1152">
                  <c:v>585342.624229217</c:v>
                </c:pt>
                <c:pt idx="1153">
                  <c:v>587905.2075752032</c:v>
                </c:pt>
                <c:pt idx="1154">
                  <c:v>588669.9971820833</c:v>
                </c:pt>
                <c:pt idx="1155">
                  <c:v>593366.0932088108</c:v>
                </c:pt>
                <c:pt idx="1156">
                  <c:v>593609.591034139</c:v>
                </c:pt>
                <c:pt idx="1157">
                  <c:v>594110.8053664052</c:v>
                </c:pt>
                <c:pt idx="1158">
                  <c:v>592743.1620394129</c:v>
                </c:pt>
                <c:pt idx="1159">
                  <c:v>594641.2840851375</c:v>
                </c:pt>
                <c:pt idx="1160">
                  <c:v>594708.7696161498</c:v>
                </c:pt>
                <c:pt idx="1161">
                  <c:v>595927.2054126514</c:v>
                </c:pt>
                <c:pt idx="1162">
                  <c:v>593917.1868014386</c:v>
                </c:pt>
                <c:pt idx="1163">
                  <c:v>595066.4816017025</c:v>
                </c:pt>
                <c:pt idx="1164">
                  <c:v>596337.5192150101</c:v>
                </c:pt>
                <c:pt idx="1165">
                  <c:v>596340.6583247941</c:v>
                </c:pt>
                <c:pt idx="1166">
                  <c:v>596545.231808331</c:v>
                </c:pt>
                <c:pt idx="1167">
                  <c:v>597438.7154289966</c:v>
                </c:pt>
                <c:pt idx="1168">
                  <c:v>595566.9411162948</c:v>
                </c:pt>
                <c:pt idx="1169">
                  <c:v>595415.8527646</c:v>
                </c:pt>
                <c:pt idx="1170">
                  <c:v>594943.3181591883</c:v>
                </c:pt>
                <c:pt idx="1171">
                  <c:v>597688.3624032223</c:v>
                </c:pt>
                <c:pt idx="1172">
                  <c:v>597357.6609691156</c:v>
                </c:pt>
                <c:pt idx="1173">
                  <c:v>596679.8932835736</c:v>
                </c:pt>
                <c:pt idx="1174">
                  <c:v>596865.130479049</c:v>
                </c:pt>
                <c:pt idx="1175">
                  <c:v>598836.1521052341</c:v>
                </c:pt>
                <c:pt idx="1176">
                  <c:v>600328.9282755025</c:v>
                </c:pt>
                <c:pt idx="1177">
                  <c:v>600644.1034023447</c:v>
                </c:pt>
                <c:pt idx="1178">
                  <c:v>600363.308715246</c:v>
                </c:pt>
                <c:pt idx="1179">
                  <c:v>589077.8411860307</c:v>
                </c:pt>
                <c:pt idx="1180">
                  <c:v>598116.2253370048</c:v>
                </c:pt>
                <c:pt idx="1181">
                  <c:v>590678.7781874561</c:v>
                </c:pt>
                <c:pt idx="1182">
                  <c:v>590880.5578147641</c:v>
                </c:pt>
                <c:pt idx="1183">
                  <c:v>596893.2476792787</c:v>
                </c:pt>
                <c:pt idx="1184">
                  <c:v>596323.6989368505</c:v>
                </c:pt>
                <c:pt idx="1185">
                  <c:v>598036.5016082632</c:v>
                </c:pt>
                <c:pt idx="1186">
                  <c:v>598669.0765996727</c:v>
                </c:pt>
                <c:pt idx="1187">
                  <c:v>602005.3466979456</c:v>
                </c:pt>
                <c:pt idx="1188">
                  <c:v>602772.1729944013</c:v>
                </c:pt>
                <c:pt idx="1189">
                  <c:v>597622.1590489135</c:v>
                </c:pt>
                <c:pt idx="1190">
                  <c:v>587003.8654699125</c:v>
                </c:pt>
                <c:pt idx="1191">
                  <c:v>595615.2383043747</c:v>
                </c:pt>
                <c:pt idx="1192">
                  <c:v>601948.366083494</c:v>
                </c:pt>
                <c:pt idx="1193">
                  <c:v>590936.5982302443</c:v>
                </c:pt>
                <c:pt idx="1194">
                  <c:v>600911.586051741</c:v>
                </c:pt>
                <c:pt idx="1195">
                  <c:v>598252.6222829972</c:v>
                </c:pt>
                <c:pt idx="1196">
                  <c:v>593437.930554028</c:v>
                </c:pt>
                <c:pt idx="1197">
                  <c:v>598542.4373091171</c:v>
                </c:pt>
                <c:pt idx="1198">
                  <c:v>599731.9489290383</c:v>
                </c:pt>
                <c:pt idx="1199">
                  <c:v>596214.2603107097</c:v>
                </c:pt>
                <c:pt idx="1200">
                  <c:v>602583.1816796041</c:v>
                </c:pt>
                <c:pt idx="1201">
                  <c:v>588305.1414096467</c:v>
                </c:pt>
                <c:pt idx="1202">
                  <c:v>589657.5364604941</c:v>
                </c:pt>
                <c:pt idx="1203">
                  <c:v>585501.521254971</c:v>
                </c:pt>
                <c:pt idx="1204">
                  <c:v>586258.933952572</c:v>
                </c:pt>
                <c:pt idx="1205">
                  <c:v>583884.0421002652</c:v>
                </c:pt>
                <c:pt idx="1206">
                  <c:v>591968.1249070892</c:v>
                </c:pt>
                <c:pt idx="1207">
                  <c:v>595411.0044512457</c:v>
                </c:pt>
                <c:pt idx="1208">
                  <c:v>594994.182044663</c:v>
                </c:pt>
                <c:pt idx="1209">
                  <c:v>595772.7120696842</c:v>
                </c:pt>
                <c:pt idx="1210">
                  <c:v>602012.2955592037</c:v>
                </c:pt>
                <c:pt idx="1211">
                  <c:v>598466.9680797387</c:v>
                </c:pt>
                <c:pt idx="1212">
                  <c:v>596185.1366927272</c:v>
                </c:pt>
                <c:pt idx="1213">
                  <c:v>592223.3309208934</c:v>
                </c:pt>
                <c:pt idx="1214">
                  <c:v>588308.7674490991</c:v>
                </c:pt>
                <c:pt idx="1215">
                  <c:v>588570.378230112</c:v>
                </c:pt>
                <c:pt idx="1216">
                  <c:v>580104.7817263132</c:v>
                </c:pt>
                <c:pt idx="1217">
                  <c:v>572206.4055540145</c:v>
                </c:pt>
                <c:pt idx="1218">
                  <c:v>566269.4067067741</c:v>
                </c:pt>
                <c:pt idx="1219">
                  <c:v>564134.7700289467</c:v>
                </c:pt>
                <c:pt idx="1220">
                  <c:v>594292.1423433982</c:v>
                </c:pt>
                <c:pt idx="1221">
                  <c:v>598660.5788676943</c:v>
                </c:pt>
                <c:pt idx="1222">
                  <c:v>612560.9170346374</c:v>
                </c:pt>
                <c:pt idx="1223">
                  <c:v>613607.415883667</c:v>
                </c:pt>
                <c:pt idx="1224">
                  <c:v>612592.1727409705</c:v>
                </c:pt>
                <c:pt idx="1225">
                  <c:v>613346.1973399925</c:v>
                </c:pt>
                <c:pt idx="1226">
                  <c:v>621800.4946280275</c:v>
                </c:pt>
                <c:pt idx="1227">
                  <c:v>620390.4198093826</c:v>
                </c:pt>
                <c:pt idx="1228">
                  <c:v>624900.688334042</c:v>
                </c:pt>
                <c:pt idx="1229">
                  <c:v>623699.7444438662</c:v>
                </c:pt>
                <c:pt idx="1230">
                  <c:v>630886.7694493616</c:v>
                </c:pt>
                <c:pt idx="1231">
                  <c:v>632735.4852419223</c:v>
                </c:pt>
                <c:pt idx="1232">
                  <c:v>633562.600391628</c:v>
                </c:pt>
                <c:pt idx="1233">
                  <c:v>636649.9936004462</c:v>
                </c:pt>
                <c:pt idx="1234">
                  <c:v>634335.2115255915</c:v>
                </c:pt>
                <c:pt idx="1235">
                  <c:v>635790.033285444</c:v>
                </c:pt>
                <c:pt idx="1236">
                  <c:v>634289.300222006</c:v>
                </c:pt>
                <c:pt idx="1237">
                  <c:v>631873.6757563539</c:v>
                </c:pt>
                <c:pt idx="1238">
                  <c:v>632653.2175221287</c:v>
                </c:pt>
                <c:pt idx="1239">
                  <c:v>638455.982106108</c:v>
                </c:pt>
                <c:pt idx="1240">
                  <c:v>640941.5235596795</c:v>
                </c:pt>
                <c:pt idx="1241">
                  <c:v>645522.7034890493</c:v>
                </c:pt>
                <c:pt idx="1242">
                  <c:v>645968.6294057038</c:v>
                </c:pt>
                <c:pt idx="1243">
                  <c:v>647133.719652945</c:v>
                </c:pt>
                <c:pt idx="1244">
                  <c:v>647421.054917142</c:v>
                </c:pt>
                <c:pt idx="1245">
                  <c:v>652638.5501901083</c:v>
                </c:pt>
                <c:pt idx="1246">
                  <c:v>646441.0946596686</c:v>
                </c:pt>
                <c:pt idx="1247">
                  <c:v>651080.8701746636</c:v>
                </c:pt>
                <c:pt idx="1248">
                  <c:v>650611.4454002853</c:v>
                </c:pt>
                <c:pt idx="1249">
                  <c:v>653231.5725754937</c:v>
                </c:pt>
                <c:pt idx="1250">
                  <c:v>656703.3728223193</c:v>
                </c:pt>
                <c:pt idx="1251">
                  <c:v>654786.7596474066</c:v>
                </c:pt>
                <c:pt idx="1252">
                  <c:v>653291.3458794</c:v>
                </c:pt>
                <c:pt idx="1253">
                  <c:v>654666.2692874635</c:v>
                </c:pt>
                <c:pt idx="1254">
                  <c:v>657015.5257094798</c:v>
                </c:pt>
                <c:pt idx="1255">
                  <c:v>648884.5700261665</c:v>
                </c:pt>
                <c:pt idx="1256">
                  <c:v>648240.2816996232</c:v>
                </c:pt>
                <c:pt idx="1257">
                  <c:v>643392.2931299966</c:v>
                </c:pt>
                <c:pt idx="1258">
                  <c:v>654176.3480467295</c:v>
                </c:pt>
                <c:pt idx="1259">
                  <c:v>660977.833675403</c:v>
                </c:pt>
                <c:pt idx="1260">
                  <c:v>661120.7625813149</c:v>
                </c:pt>
                <c:pt idx="1261">
                  <c:v>664426.7969575375</c:v>
                </c:pt>
                <c:pt idx="1262">
                  <c:v>662045.8699084811</c:v>
                </c:pt>
                <c:pt idx="1263">
                  <c:v>662351.503978183</c:v>
                </c:pt>
                <c:pt idx="1264">
                  <c:v>665196.1600571207</c:v>
                </c:pt>
                <c:pt idx="1265">
                  <c:v>663833.0906930163</c:v>
                </c:pt>
                <c:pt idx="1266">
                  <c:v>666167.922252576</c:v>
                </c:pt>
                <c:pt idx="1267">
                  <c:v>664789.9149698454</c:v>
                </c:pt>
                <c:pt idx="1268">
                  <c:v>666810.443047902</c:v>
                </c:pt>
                <c:pt idx="1269">
                  <c:v>664032.9932864555</c:v>
                </c:pt>
                <c:pt idx="1270">
                  <c:v>668019.7285961136</c:v>
                </c:pt>
                <c:pt idx="1271">
                  <c:v>666504.3343229938</c:v>
                </c:pt>
                <c:pt idx="1272">
                  <c:v>672852.1741120697</c:v>
                </c:pt>
                <c:pt idx="1273">
                  <c:v>678264.3055646582</c:v>
                </c:pt>
                <c:pt idx="1274">
                  <c:v>678143.0105201565</c:v>
                </c:pt>
                <c:pt idx="1275">
                  <c:v>677883.552191014</c:v>
                </c:pt>
                <c:pt idx="1276">
                  <c:v>673753.2549075086</c:v>
                </c:pt>
                <c:pt idx="1277">
                  <c:v>673580.2502691387</c:v>
                </c:pt>
                <c:pt idx="1278">
                  <c:v>674340.9476358017</c:v>
                </c:pt>
                <c:pt idx="1279">
                  <c:v>674756.3738764082</c:v>
                </c:pt>
                <c:pt idx="1280">
                  <c:v>680269.7251585505</c:v>
                </c:pt>
                <c:pt idx="1281">
                  <c:v>679589.2530263396</c:v>
                </c:pt>
                <c:pt idx="1282">
                  <c:v>680062.6622168931</c:v>
                </c:pt>
                <c:pt idx="1283">
                  <c:v>680485.6562899951</c:v>
                </c:pt>
                <c:pt idx="1284">
                  <c:v>683915.158904909</c:v>
                </c:pt>
                <c:pt idx="1285">
                  <c:v>685980.775693639</c:v>
                </c:pt>
                <c:pt idx="1286">
                  <c:v>688719.8781341386</c:v>
                </c:pt>
                <c:pt idx="1287">
                  <c:v>690345.5912572557</c:v>
                </c:pt>
                <c:pt idx="1288">
                  <c:v>691157.756639177</c:v>
                </c:pt>
                <c:pt idx="1289">
                  <c:v>691057.3167858456</c:v>
                </c:pt>
                <c:pt idx="1290">
                  <c:v>691410.6629130158</c:v>
                </c:pt>
                <c:pt idx="1291">
                  <c:v>692318.9679785545</c:v>
                </c:pt>
                <c:pt idx="1292">
                  <c:v>690692.699074093</c:v>
                </c:pt>
                <c:pt idx="1293">
                  <c:v>690260.3268586976</c:v>
                </c:pt>
                <c:pt idx="1294">
                  <c:v>691482.7626854323</c:v>
                </c:pt>
                <c:pt idx="1295">
                  <c:v>692295.3053773355</c:v>
                </c:pt>
                <c:pt idx="1296">
                  <c:v>689272.019387712</c:v>
                </c:pt>
                <c:pt idx="1297">
                  <c:v>701511.1986446986</c:v>
                </c:pt>
                <c:pt idx="1298">
                  <c:v>697306.64513351</c:v>
                </c:pt>
                <c:pt idx="1299">
                  <c:v>699462.4618088847</c:v>
                </c:pt>
                <c:pt idx="1300">
                  <c:v>697369.8024480818</c:v>
                </c:pt>
                <c:pt idx="1301">
                  <c:v>695481.7735182422</c:v>
                </c:pt>
                <c:pt idx="1302">
                  <c:v>693508.8966899754</c:v>
                </c:pt>
                <c:pt idx="1303">
                  <c:v>693783.7638569804</c:v>
                </c:pt>
                <c:pt idx="1304">
                  <c:v>698051.7935529181</c:v>
                </c:pt>
                <c:pt idx="1305">
                  <c:v>699089.3998572323</c:v>
                </c:pt>
                <c:pt idx="1306">
                  <c:v>695919.2282150101</c:v>
                </c:pt>
                <c:pt idx="1307">
                  <c:v>704200.46641012</c:v>
                </c:pt>
                <c:pt idx="1308">
                  <c:v>704540.6150573145</c:v>
                </c:pt>
                <c:pt idx="1309">
                  <c:v>703688.960985594</c:v>
                </c:pt>
                <c:pt idx="1310">
                  <c:v>702940.9532374746</c:v>
                </c:pt>
                <c:pt idx="1311">
                  <c:v>690096.9661347633</c:v>
                </c:pt>
                <c:pt idx="1312">
                  <c:v>692147.6455869683</c:v>
                </c:pt>
                <c:pt idx="1313">
                  <c:v>690809.0163343942</c:v>
                </c:pt>
                <c:pt idx="1314">
                  <c:v>690790.9771162386</c:v>
                </c:pt>
                <c:pt idx="1315">
                  <c:v>691389.0131258755</c:v>
                </c:pt>
                <c:pt idx="1316">
                  <c:v>700102.663207586</c:v>
                </c:pt>
                <c:pt idx="1317">
                  <c:v>701747.5991178823</c:v>
                </c:pt>
                <c:pt idx="1318">
                  <c:v>704805.6698138521</c:v>
                </c:pt>
                <c:pt idx="1319">
                  <c:v>702856.2694001596</c:v>
                </c:pt>
                <c:pt idx="1320">
                  <c:v>702054.1951064928</c:v>
                </c:pt>
                <c:pt idx="1321">
                  <c:v>703487.3446180054</c:v>
                </c:pt>
                <c:pt idx="1322">
                  <c:v>699891.6027776403</c:v>
                </c:pt>
                <c:pt idx="1323">
                  <c:v>702747.6322483653</c:v>
                </c:pt>
                <c:pt idx="1324">
                  <c:v>701747.6416711502</c:v>
                </c:pt>
                <c:pt idx="1325">
                  <c:v>702327.1910528163</c:v>
                </c:pt>
                <c:pt idx="1326">
                  <c:v>700695.3553962034</c:v>
                </c:pt>
                <c:pt idx="1327">
                  <c:v>697212.8082970452</c:v>
                </c:pt>
                <c:pt idx="1328">
                  <c:v>689625.5658107285</c:v>
                </c:pt>
                <c:pt idx="1329">
                  <c:v>701433.1439556365</c:v>
                </c:pt>
                <c:pt idx="1330">
                  <c:v>699024.6104252613</c:v>
                </c:pt>
                <c:pt idx="1331">
                  <c:v>697134.7086979507</c:v>
                </c:pt>
                <c:pt idx="1332">
                  <c:v>706286.5255450674</c:v>
                </c:pt>
                <c:pt idx="1333">
                  <c:v>703503.4976003671</c:v>
                </c:pt>
                <c:pt idx="1334">
                  <c:v>717030.1225114733</c:v>
                </c:pt>
                <c:pt idx="1335">
                  <c:v>721883.1147520677</c:v>
                </c:pt>
                <c:pt idx="1336">
                  <c:v>721556.9962520224</c:v>
                </c:pt>
                <c:pt idx="1337">
                  <c:v>722410.2576068711</c:v>
                </c:pt>
                <c:pt idx="1338">
                  <c:v>721506.9623946522</c:v>
                </c:pt>
                <c:pt idx="1339">
                  <c:v>723879.8925741639</c:v>
                </c:pt>
                <c:pt idx="1340">
                  <c:v>724900.5814821338</c:v>
                </c:pt>
                <c:pt idx="1341">
                  <c:v>724208.3623601486</c:v>
                </c:pt>
                <c:pt idx="1342">
                  <c:v>725206.9626276618</c:v>
                </c:pt>
                <c:pt idx="1343">
                  <c:v>727852.942461386</c:v>
                </c:pt>
                <c:pt idx="1344">
                  <c:v>729141.6914819588</c:v>
                </c:pt>
                <c:pt idx="1345">
                  <c:v>729044.1205849298</c:v>
                </c:pt>
                <c:pt idx="1346">
                  <c:v>729756.9365425941</c:v>
                </c:pt>
                <c:pt idx="1347">
                  <c:v>729107.7154109792</c:v>
                </c:pt>
                <c:pt idx="1348">
                  <c:v>728975.6616008144</c:v>
                </c:pt>
                <c:pt idx="1349">
                  <c:v>732199.9744704461</c:v>
                </c:pt>
                <c:pt idx="1350">
                  <c:v>732559.0113475225</c:v>
                </c:pt>
                <c:pt idx="1351">
                  <c:v>720467.9359708016</c:v>
                </c:pt>
                <c:pt idx="1352">
                  <c:v>725091.846123856</c:v>
                </c:pt>
                <c:pt idx="1353">
                  <c:v>731155.2785559888</c:v>
                </c:pt>
                <c:pt idx="1354">
                  <c:v>734369.0949528166</c:v>
                </c:pt>
                <c:pt idx="1355">
                  <c:v>736650.0680370086</c:v>
                </c:pt>
                <c:pt idx="1356">
                  <c:v>739758.5898411875</c:v>
                </c:pt>
                <c:pt idx="1357">
                  <c:v>744319.2312680208</c:v>
                </c:pt>
                <c:pt idx="1358">
                  <c:v>744845.9610473855</c:v>
                </c:pt>
                <c:pt idx="1359">
                  <c:v>743765.8650725684</c:v>
                </c:pt>
                <c:pt idx="1360">
                  <c:v>744090.2722258249</c:v>
                </c:pt>
                <c:pt idx="1361">
                  <c:v>750634.5639794271</c:v>
                </c:pt>
                <c:pt idx="1362">
                  <c:v>753368.6545776352</c:v>
                </c:pt>
                <c:pt idx="1363">
                  <c:v>752425.2114812515</c:v>
                </c:pt>
                <c:pt idx="1364">
                  <c:v>750042.012628289</c:v>
                </c:pt>
                <c:pt idx="1365">
                  <c:v>751266.6498180917</c:v>
                </c:pt>
                <c:pt idx="1366">
                  <c:v>752237.6474895545</c:v>
                </c:pt>
                <c:pt idx="1367">
                  <c:v>752066.9661670487</c:v>
                </c:pt>
                <c:pt idx="1368">
                  <c:v>751398.463672043</c:v>
                </c:pt>
                <c:pt idx="1369">
                  <c:v>755632.9044214608</c:v>
                </c:pt>
                <c:pt idx="1370">
                  <c:v>755096.8722186994</c:v>
                </c:pt>
                <c:pt idx="1371">
                  <c:v>753546.1934859606</c:v>
                </c:pt>
                <c:pt idx="1372">
                  <c:v>754605.754304241</c:v>
                </c:pt>
                <c:pt idx="1373">
                  <c:v>760456.3573324256</c:v>
                </c:pt>
                <c:pt idx="1374">
                  <c:v>756269.1023690894</c:v>
                </c:pt>
                <c:pt idx="1375">
                  <c:v>756016.49693533</c:v>
                </c:pt>
                <c:pt idx="1376">
                  <c:v>756172.5056499385</c:v>
                </c:pt>
                <c:pt idx="1377">
                  <c:v>757777.3028585622</c:v>
                </c:pt>
                <c:pt idx="1378">
                  <c:v>758943.8493558527</c:v>
                </c:pt>
                <c:pt idx="1379">
                  <c:v>752294.7753925186</c:v>
                </c:pt>
                <c:pt idx="1380">
                  <c:v>759438.9816064918</c:v>
                </c:pt>
                <c:pt idx="1381">
                  <c:v>752279.6248488857</c:v>
                </c:pt>
                <c:pt idx="1382">
                  <c:v>753924.33798824</c:v>
                </c:pt>
                <c:pt idx="1383">
                  <c:v>755931.9081521267</c:v>
                </c:pt>
                <c:pt idx="1384">
                  <c:v>757716.8341118318</c:v>
                </c:pt>
                <c:pt idx="1385">
                  <c:v>749806.6276854575</c:v>
                </c:pt>
                <c:pt idx="1386">
                  <c:v>756115.4579116891</c:v>
                </c:pt>
                <c:pt idx="1387">
                  <c:v>757877.0294224952</c:v>
                </c:pt>
                <c:pt idx="1388">
                  <c:v>757987.7534129307</c:v>
                </c:pt>
                <c:pt idx="1389">
                  <c:v>763235.2608836782</c:v>
                </c:pt>
                <c:pt idx="1390">
                  <c:v>764796.416884821</c:v>
                </c:pt>
                <c:pt idx="1391">
                  <c:v>767227.9935352891</c:v>
                </c:pt>
                <c:pt idx="1392">
                  <c:v>767826.7727026425</c:v>
                </c:pt>
                <c:pt idx="1393">
                  <c:v>768416.0253093843</c:v>
                </c:pt>
                <c:pt idx="1394">
                  <c:v>770355.1056540054</c:v>
                </c:pt>
                <c:pt idx="1395">
                  <c:v>770536.2138151508</c:v>
                </c:pt>
                <c:pt idx="1396">
                  <c:v>770700.993644486</c:v>
                </c:pt>
                <c:pt idx="1397">
                  <c:v>770952.3491517077</c:v>
                </c:pt>
                <c:pt idx="1398">
                  <c:v>771794.5066679038</c:v>
                </c:pt>
                <c:pt idx="1399">
                  <c:v>772005.5000554036</c:v>
                </c:pt>
                <c:pt idx="1400">
                  <c:v>771919.131025907</c:v>
                </c:pt>
                <c:pt idx="1401">
                  <c:v>771727.449481626</c:v>
                </c:pt>
                <c:pt idx="1402">
                  <c:v>772065.2210345056</c:v>
                </c:pt>
                <c:pt idx="1403">
                  <c:v>772749.2185729267</c:v>
                </c:pt>
                <c:pt idx="1404">
                  <c:v>772857.6145696226</c:v>
                </c:pt>
                <c:pt idx="1405">
                  <c:v>772631.3779433402</c:v>
                </c:pt>
                <c:pt idx="1406">
                  <c:v>773006.9121647514</c:v>
                </c:pt>
                <c:pt idx="1407">
                  <c:v>773462.8576979427</c:v>
                </c:pt>
                <c:pt idx="1408">
                  <c:v>769697.3318394583</c:v>
                </c:pt>
                <c:pt idx="1409">
                  <c:v>768601.886968421</c:v>
                </c:pt>
                <c:pt idx="1410">
                  <c:v>746834.4104103127</c:v>
                </c:pt>
                <c:pt idx="1411">
                  <c:v>748685.085491118</c:v>
                </c:pt>
                <c:pt idx="1412">
                  <c:v>765822.3417291874</c:v>
                </c:pt>
                <c:pt idx="1413">
                  <c:v>766153.44591134</c:v>
                </c:pt>
                <c:pt idx="1414">
                  <c:v>768396.1664080007</c:v>
                </c:pt>
                <c:pt idx="1415">
                  <c:v>745813.3487461034</c:v>
                </c:pt>
                <c:pt idx="1416">
                  <c:v>744122.1583725356</c:v>
                </c:pt>
                <c:pt idx="1417">
                  <c:v>747536.0257010068</c:v>
                </c:pt>
                <c:pt idx="1418">
                  <c:v>762437.0605179758</c:v>
                </c:pt>
                <c:pt idx="1419">
                  <c:v>757017.3488641353</c:v>
                </c:pt>
                <c:pt idx="1420">
                  <c:v>754575.87158843</c:v>
                </c:pt>
                <c:pt idx="1421">
                  <c:v>757746.7572371792</c:v>
                </c:pt>
                <c:pt idx="1422">
                  <c:v>759062.5394320325</c:v>
                </c:pt>
                <c:pt idx="1423">
                  <c:v>760368.7444993723</c:v>
                </c:pt>
                <c:pt idx="1424">
                  <c:v>765579.5310613145</c:v>
                </c:pt>
                <c:pt idx="1425">
                  <c:v>772697.0630133964</c:v>
                </c:pt>
                <c:pt idx="1426">
                  <c:v>775445.6886489578</c:v>
                </c:pt>
                <c:pt idx="1427">
                  <c:v>766002.9139079796</c:v>
                </c:pt>
                <c:pt idx="1428">
                  <c:v>770345.5213231896</c:v>
                </c:pt>
                <c:pt idx="1429">
                  <c:v>770529.1966622036</c:v>
                </c:pt>
                <c:pt idx="1430">
                  <c:v>768310.279540536</c:v>
                </c:pt>
                <c:pt idx="1431">
                  <c:v>781552.2896788949</c:v>
                </c:pt>
                <c:pt idx="1432">
                  <c:v>785565.1708793656</c:v>
                </c:pt>
                <c:pt idx="1433">
                  <c:v>786996.368874085</c:v>
                </c:pt>
                <c:pt idx="1434">
                  <c:v>786676.1128815678</c:v>
                </c:pt>
                <c:pt idx="1435">
                  <c:v>788969.7855632603</c:v>
                </c:pt>
                <c:pt idx="1436">
                  <c:v>791320.1279041443</c:v>
                </c:pt>
                <c:pt idx="1437">
                  <c:v>792657.7091419953</c:v>
                </c:pt>
                <c:pt idx="1438">
                  <c:v>793543.4949660194</c:v>
                </c:pt>
                <c:pt idx="1439">
                  <c:v>791598.4169925956</c:v>
                </c:pt>
                <c:pt idx="1440">
                  <c:v>792012.271147812</c:v>
                </c:pt>
                <c:pt idx="1441">
                  <c:v>790534.7353591362</c:v>
                </c:pt>
                <c:pt idx="1442">
                  <c:v>790967.5411607691</c:v>
                </c:pt>
                <c:pt idx="1443">
                  <c:v>794484.2635853921</c:v>
                </c:pt>
                <c:pt idx="1444">
                  <c:v>795994.8922670341</c:v>
                </c:pt>
                <c:pt idx="1445">
                  <c:v>798933.2187380651</c:v>
                </c:pt>
                <c:pt idx="1446">
                  <c:v>802110.799338466</c:v>
                </c:pt>
                <c:pt idx="1447">
                  <c:v>803487.3093901444</c:v>
                </c:pt>
                <c:pt idx="1448">
                  <c:v>804316.8701527051</c:v>
                </c:pt>
                <c:pt idx="1449">
                  <c:v>806688.5706396417</c:v>
                </c:pt>
                <c:pt idx="1450">
                  <c:v>806286.365509634</c:v>
                </c:pt>
                <c:pt idx="1451">
                  <c:v>806199.0039699471</c:v>
                </c:pt>
                <c:pt idx="1452">
                  <c:v>807398.6033606322</c:v>
                </c:pt>
                <c:pt idx="1453">
                  <c:v>808176.5282794372</c:v>
                </c:pt>
                <c:pt idx="1454">
                  <c:v>807963.1632871706</c:v>
                </c:pt>
                <c:pt idx="1455">
                  <c:v>808529.6754558421</c:v>
                </c:pt>
                <c:pt idx="1456">
                  <c:v>809314.259416446</c:v>
                </c:pt>
                <c:pt idx="1457">
                  <c:v>809579.2673862535</c:v>
                </c:pt>
                <c:pt idx="1458">
                  <c:v>809854.7600495077</c:v>
                </c:pt>
                <c:pt idx="1459">
                  <c:v>810010.2264824575</c:v>
                </c:pt>
                <c:pt idx="1460">
                  <c:v>815387.2222675052</c:v>
                </c:pt>
                <c:pt idx="1461">
                  <c:v>810491.7066263665</c:v>
                </c:pt>
                <c:pt idx="1462">
                  <c:v>812296.819726426</c:v>
                </c:pt>
                <c:pt idx="1463">
                  <c:v>806906.5768634232</c:v>
                </c:pt>
                <c:pt idx="1464">
                  <c:v>808469.4262799807</c:v>
                </c:pt>
                <c:pt idx="1465">
                  <c:v>817643.2185075507</c:v>
                </c:pt>
                <c:pt idx="1466">
                  <c:v>814265.5456733871</c:v>
                </c:pt>
                <c:pt idx="1467">
                  <c:v>815800.6403903808</c:v>
                </c:pt>
                <c:pt idx="1468">
                  <c:v>816433.4918373103</c:v>
                </c:pt>
                <c:pt idx="1469">
                  <c:v>816290.2201140125</c:v>
                </c:pt>
                <c:pt idx="1470">
                  <c:v>819648.4273985673</c:v>
                </c:pt>
                <c:pt idx="1471">
                  <c:v>820718.9532877586</c:v>
                </c:pt>
                <c:pt idx="1472">
                  <c:v>820137.594354667</c:v>
                </c:pt>
                <c:pt idx="1473">
                  <c:v>821203.092089853</c:v>
                </c:pt>
                <c:pt idx="1474">
                  <c:v>817674.981755828</c:v>
                </c:pt>
                <c:pt idx="1475">
                  <c:v>815696.3967586535</c:v>
                </c:pt>
                <c:pt idx="1476">
                  <c:v>817031.5800424975</c:v>
                </c:pt>
                <c:pt idx="1477">
                  <c:v>815213.9546211075</c:v>
                </c:pt>
                <c:pt idx="1478">
                  <c:v>808937.1661166406</c:v>
                </c:pt>
                <c:pt idx="1479">
                  <c:v>818477.0742260348</c:v>
                </c:pt>
                <c:pt idx="1480">
                  <c:v>816823.8282403107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49504800"/>
        <c:axId val="-305725696"/>
      </c:lineChart>
      <c:dateAx>
        <c:axId val="-24950480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305725696"/>
        <c:crosses val="autoZero"/>
        <c:auto val="0"/>
        <c:lblOffset val="100"/>
        <c:baseTimeUnit val="days"/>
      </c:dateAx>
      <c:valAx>
        <c:axId val="-3057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2495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800" b="0" i="0" u="none" strike="noStrike" baseline="0">
                <a:effectLst/>
              </a:rPr>
              <a:t>cumulative Pnl Performance:</a:t>
            </a:r>
          </a:p>
          <a:p>
            <a:pPr>
              <a:defRPr/>
            </a:pPr>
            <a:r>
              <a:rPr lang="en-US" altLang="zh-CN" sz="1800" b="0" i="0" u="none" strike="noStrike" baseline="0">
                <a:effectLst/>
              </a:rPr>
              <a:t>Current </a:t>
            </a:r>
            <a:r>
              <a:rPr lang="en-US" altLang="zh-CN" b="0"/>
              <a:t>Strategy</a:t>
            </a:r>
            <a:r>
              <a:rPr lang="en-US" altLang="zh-CN" b="0" baseline="0"/>
              <a:t> </a:t>
            </a:r>
            <a:r>
              <a:rPr lang="en-US" altLang="zh-CN" b="0"/>
              <a:t>vs</a:t>
            </a:r>
            <a:r>
              <a:rPr lang="en-US" altLang="zh-CN" b="0" baseline="0"/>
              <a:t> long a SPX </a:t>
            </a:r>
            <a:endParaRPr lang="zh-CN" altLang="en-US" b="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Sheet1!$AA$5</c:f>
              <c:strCache>
                <c:ptCount val="1"/>
                <c:pt idx="0">
                  <c:v>SPX Increasing Ratio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Sheet1!$A$6:$A$1486</c:f>
              <c:numCache>
                <c:formatCode>m/d/yy</c:formatCode>
                <c:ptCount val="1481"/>
                <c:pt idx="0">
                  <c:v>40911.0</c:v>
                </c:pt>
                <c:pt idx="1">
                  <c:v>40912.0</c:v>
                </c:pt>
                <c:pt idx="2">
                  <c:v>40913.0</c:v>
                </c:pt>
                <c:pt idx="3">
                  <c:v>40914.0</c:v>
                </c:pt>
                <c:pt idx="4">
                  <c:v>40917.0</c:v>
                </c:pt>
                <c:pt idx="5">
                  <c:v>40918.0</c:v>
                </c:pt>
                <c:pt idx="6">
                  <c:v>40919.0</c:v>
                </c:pt>
                <c:pt idx="7">
                  <c:v>40920.0</c:v>
                </c:pt>
                <c:pt idx="8">
                  <c:v>40921.0</c:v>
                </c:pt>
                <c:pt idx="9">
                  <c:v>40925.0</c:v>
                </c:pt>
                <c:pt idx="10">
                  <c:v>40926.0</c:v>
                </c:pt>
                <c:pt idx="11">
                  <c:v>40927.0</c:v>
                </c:pt>
                <c:pt idx="12">
                  <c:v>40928.0</c:v>
                </c:pt>
                <c:pt idx="13">
                  <c:v>40931.0</c:v>
                </c:pt>
                <c:pt idx="14">
                  <c:v>40932.0</c:v>
                </c:pt>
                <c:pt idx="15">
                  <c:v>40933.0</c:v>
                </c:pt>
                <c:pt idx="16">
                  <c:v>40934.0</c:v>
                </c:pt>
                <c:pt idx="17">
                  <c:v>40935.0</c:v>
                </c:pt>
                <c:pt idx="18">
                  <c:v>40938.0</c:v>
                </c:pt>
                <c:pt idx="19">
                  <c:v>40939.0</c:v>
                </c:pt>
                <c:pt idx="20">
                  <c:v>40940.0</c:v>
                </c:pt>
                <c:pt idx="21">
                  <c:v>40941.0</c:v>
                </c:pt>
                <c:pt idx="22">
                  <c:v>40942.0</c:v>
                </c:pt>
                <c:pt idx="23">
                  <c:v>40945.0</c:v>
                </c:pt>
                <c:pt idx="24">
                  <c:v>40946.0</c:v>
                </c:pt>
                <c:pt idx="25">
                  <c:v>40947.0</c:v>
                </c:pt>
                <c:pt idx="26">
                  <c:v>40948.0</c:v>
                </c:pt>
                <c:pt idx="27">
                  <c:v>40949.0</c:v>
                </c:pt>
                <c:pt idx="28">
                  <c:v>40952.0</c:v>
                </c:pt>
                <c:pt idx="29">
                  <c:v>40953.0</c:v>
                </c:pt>
                <c:pt idx="30">
                  <c:v>40954.0</c:v>
                </c:pt>
                <c:pt idx="31">
                  <c:v>40955.0</c:v>
                </c:pt>
                <c:pt idx="32">
                  <c:v>40956.0</c:v>
                </c:pt>
                <c:pt idx="33">
                  <c:v>40960.0</c:v>
                </c:pt>
                <c:pt idx="34">
                  <c:v>40961.0</c:v>
                </c:pt>
                <c:pt idx="35">
                  <c:v>40962.0</c:v>
                </c:pt>
                <c:pt idx="36">
                  <c:v>40963.0</c:v>
                </c:pt>
                <c:pt idx="37">
                  <c:v>40966.0</c:v>
                </c:pt>
                <c:pt idx="38">
                  <c:v>40967.0</c:v>
                </c:pt>
                <c:pt idx="39">
                  <c:v>40968.0</c:v>
                </c:pt>
                <c:pt idx="40">
                  <c:v>40969.0</c:v>
                </c:pt>
                <c:pt idx="41">
                  <c:v>40970.0</c:v>
                </c:pt>
                <c:pt idx="42">
                  <c:v>40973.0</c:v>
                </c:pt>
                <c:pt idx="43">
                  <c:v>40974.0</c:v>
                </c:pt>
                <c:pt idx="44">
                  <c:v>40975.0</c:v>
                </c:pt>
                <c:pt idx="45">
                  <c:v>40976.0</c:v>
                </c:pt>
                <c:pt idx="46">
                  <c:v>40977.0</c:v>
                </c:pt>
                <c:pt idx="47">
                  <c:v>40980.0</c:v>
                </c:pt>
                <c:pt idx="48">
                  <c:v>40981.0</c:v>
                </c:pt>
                <c:pt idx="49">
                  <c:v>40982.0</c:v>
                </c:pt>
                <c:pt idx="50">
                  <c:v>40983.0</c:v>
                </c:pt>
                <c:pt idx="51">
                  <c:v>40984.0</c:v>
                </c:pt>
                <c:pt idx="52">
                  <c:v>40987.0</c:v>
                </c:pt>
                <c:pt idx="53">
                  <c:v>40988.0</c:v>
                </c:pt>
                <c:pt idx="54">
                  <c:v>40989.0</c:v>
                </c:pt>
                <c:pt idx="55">
                  <c:v>40990.0</c:v>
                </c:pt>
                <c:pt idx="56">
                  <c:v>40991.0</c:v>
                </c:pt>
                <c:pt idx="57">
                  <c:v>40994.0</c:v>
                </c:pt>
                <c:pt idx="58">
                  <c:v>40995.0</c:v>
                </c:pt>
                <c:pt idx="59">
                  <c:v>40996.0</c:v>
                </c:pt>
                <c:pt idx="60">
                  <c:v>40997.0</c:v>
                </c:pt>
                <c:pt idx="61">
                  <c:v>40998.0</c:v>
                </c:pt>
                <c:pt idx="62">
                  <c:v>41001.0</c:v>
                </c:pt>
                <c:pt idx="63">
                  <c:v>41002.0</c:v>
                </c:pt>
                <c:pt idx="64">
                  <c:v>41003.0</c:v>
                </c:pt>
                <c:pt idx="65">
                  <c:v>41004.0</c:v>
                </c:pt>
                <c:pt idx="66">
                  <c:v>41008.0</c:v>
                </c:pt>
                <c:pt idx="67">
                  <c:v>41009.0</c:v>
                </c:pt>
                <c:pt idx="68">
                  <c:v>41010.0</c:v>
                </c:pt>
                <c:pt idx="69">
                  <c:v>41011.0</c:v>
                </c:pt>
                <c:pt idx="70">
                  <c:v>41012.0</c:v>
                </c:pt>
                <c:pt idx="71">
                  <c:v>41015.0</c:v>
                </c:pt>
                <c:pt idx="72">
                  <c:v>41016.0</c:v>
                </c:pt>
                <c:pt idx="73">
                  <c:v>41017.0</c:v>
                </c:pt>
                <c:pt idx="74">
                  <c:v>41018.0</c:v>
                </c:pt>
                <c:pt idx="75">
                  <c:v>41019.0</c:v>
                </c:pt>
                <c:pt idx="76">
                  <c:v>41022.0</c:v>
                </c:pt>
                <c:pt idx="77">
                  <c:v>41023.0</c:v>
                </c:pt>
                <c:pt idx="78">
                  <c:v>41024.0</c:v>
                </c:pt>
                <c:pt idx="79">
                  <c:v>41025.0</c:v>
                </c:pt>
                <c:pt idx="80">
                  <c:v>41026.0</c:v>
                </c:pt>
                <c:pt idx="81">
                  <c:v>41029.0</c:v>
                </c:pt>
                <c:pt idx="82">
                  <c:v>41030.0</c:v>
                </c:pt>
                <c:pt idx="83">
                  <c:v>41031.0</c:v>
                </c:pt>
                <c:pt idx="84">
                  <c:v>41032.0</c:v>
                </c:pt>
                <c:pt idx="85">
                  <c:v>41033.0</c:v>
                </c:pt>
                <c:pt idx="86">
                  <c:v>41036.0</c:v>
                </c:pt>
                <c:pt idx="87">
                  <c:v>41037.0</c:v>
                </c:pt>
                <c:pt idx="88">
                  <c:v>41038.0</c:v>
                </c:pt>
                <c:pt idx="89">
                  <c:v>41039.0</c:v>
                </c:pt>
                <c:pt idx="90">
                  <c:v>41040.0</c:v>
                </c:pt>
                <c:pt idx="91">
                  <c:v>41043.0</c:v>
                </c:pt>
                <c:pt idx="92">
                  <c:v>41044.0</c:v>
                </c:pt>
                <c:pt idx="93">
                  <c:v>41045.0</c:v>
                </c:pt>
                <c:pt idx="94">
                  <c:v>41046.0</c:v>
                </c:pt>
                <c:pt idx="95">
                  <c:v>41047.0</c:v>
                </c:pt>
                <c:pt idx="96">
                  <c:v>41050.0</c:v>
                </c:pt>
                <c:pt idx="97">
                  <c:v>41051.0</c:v>
                </c:pt>
                <c:pt idx="98">
                  <c:v>41052.0</c:v>
                </c:pt>
                <c:pt idx="99">
                  <c:v>41053.0</c:v>
                </c:pt>
                <c:pt idx="100">
                  <c:v>41054.0</c:v>
                </c:pt>
                <c:pt idx="101">
                  <c:v>41058.0</c:v>
                </c:pt>
                <c:pt idx="102">
                  <c:v>41059.0</c:v>
                </c:pt>
                <c:pt idx="103">
                  <c:v>41060.0</c:v>
                </c:pt>
                <c:pt idx="104">
                  <c:v>41061.0</c:v>
                </c:pt>
                <c:pt idx="105">
                  <c:v>41064.0</c:v>
                </c:pt>
                <c:pt idx="106">
                  <c:v>41065.0</c:v>
                </c:pt>
                <c:pt idx="107">
                  <c:v>41066.0</c:v>
                </c:pt>
                <c:pt idx="108">
                  <c:v>41067.0</c:v>
                </c:pt>
                <c:pt idx="109">
                  <c:v>41068.0</c:v>
                </c:pt>
                <c:pt idx="110">
                  <c:v>41071.0</c:v>
                </c:pt>
                <c:pt idx="111">
                  <c:v>41072.0</c:v>
                </c:pt>
                <c:pt idx="112">
                  <c:v>41073.0</c:v>
                </c:pt>
                <c:pt idx="113">
                  <c:v>41074.0</c:v>
                </c:pt>
                <c:pt idx="114">
                  <c:v>41075.0</c:v>
                </c:pt>
                <c:pt idx="115">
                  <c:v>41078.0</c:v>
                </c:pt>
                <c:pt idx="116">
                  <c:v>41079.0</c:v>
                </c:pt>
                <c:pt idx="117">
                  <c:v>41080.0</c:v>
                </c:pt>
                <c:pt idx="118">
                  <c:v>41081.0</c:v>
                </c:pt>
                <c:pt idx="119">
                  <c:v>41082.0</c:v>
                </c:pt>
                <c:pt idx="120">
                  <c:v>41085.0</c:v>
                </c:pt>
                <c:pt idx="121">
                  <c:v>41086.0</c:v>
                </c:pt>
                <c:pt idx="122">
                  <c:v>41087.0</c:v>
                </c:pt>
                <c:pt idx="123">
                  <c:v>41088.0</c:v>
                </c:pt>
                <c:pt idx="124">
                  <c:v>41089.0</c:v>
                </c:pt>
                <c:pt idx="125">
                  <c:v>41092.0</c:v>
                </c:pt>
                <c:pt idx="126">
                  <c:v>41093.0</c:v>
                </c:pt>
                <c:pt idx="127">
                  <c:v>41095.0</c:v>
                </c:pt>
                <c:pt idx="128">
                  <c:v>41096.0</c:v>
                </c:pt>
                <c:pt idx="129">
                  <c:v>41099.0</c:v>
                </c:pt>
                <c:pt idx="130">
                  <c:v>41100.0</c:v>
                </c:pt>
                <c:pt idx="131">
                  <c:v>41101.0</c:v>
                </c:pt>
                <c:pt idx="132">
                  <c:v>41102.0</c:v>
                </c:pt>
                <c:pt idx="133">
                  <c:v>41103.0</c:v>
                </c:pt>
                <c:pt idx="134">
                  <c:v>41106.0</c:v>
                </c:pt>
                <c:pt idx="135">
                  <c:v>41107.0</c:v>
                </c:pt>
                <c:pt idx="136">
                  <c:v>41108.0</c:v>
                </c:pt>
                <c:pt idx="137">
                  <c:v>41109.0</c:v>
                </c:pt>
                <c:pt idx="138">
                  <c:v>41110.0</c:v>
                </c:pt>
                <c:pt idx="139">
                  <c:v>41113.0</c:v>
                </c:pt>
                <c:pt idx="140">
                  <c:v>41114.0</c:v>
                </c:pt>
                <c:pt idx="141">
                  <c:v>41115.0</c:v>
                </c:pt>
                <c:pt idx="142">
                  <c:v>41116.0</c:v>
                </c:pt>
                <c:pt idx="143">
                  <c:v>41117.0</c:v>
                </c:pt>
                <c:pt idx="144">
                  <c:v>41120.0</c:v>
                </c:pt>
                <c:pt idx="145">
                  <c:v>41121.0</c:v>
                </c:pt>
                <c:pt idx="146">
                  <c:v>41122.0</c:v>
                </c:pt>
                <c:pt idx="147">
                  <c:v>41123.0</c:v>
                </c:pt>
                <c:pt idx="148">
                  <c:v>41124.0</c:v>
                </c:pt>
                <c:pt idx="149">
                  <c:v>41127.0</c:v>
                </c:pt>
                <c:pt idx="150">
                  <c:v>41128.0</c:v>
                </c:pt>
                <c:pt idx="151">
                  <c:v>41129.0</c:v>
                </c:pt>
                <c:pt idx="152">
                  <c:v>41130.0</c:v>
                </c:pt>
                <c:pt idx="153">
                  <c:v>41131.0</c:v>
                </c:pt>
                <c:pt idx="154">
                  <c:v>41134.0</c:v>
                </c:pt>
                <c:pt idx="155">
                  <c:v>41135.0</c:v>
                </c:pt>
                <c:pt idx="156">
                  <c:v>41136.0</c:v>
                </c:pt>
                <c:pt idx="157">
                  <c:v>41137.0</c:v>
                </c:pt>
                <c:pt idx="158">
                  <c:v>41138.0</c:v>
                </c:pt>
                <c:pt idx="159">
                  <c:v>41141.0</c:v>
                </c:pt>
                <c:pt idx="160">
                  <c:v>41142.0</c:v>
                </c:pt>
                <c:pt idx="161">
                  <c:v>41143.0</c:v>
                </c:pt>
                <c:pt idx="162">
                  <c:v>41144.0</c:v>
                </c:pt>
                <c:pt idx="163">
                  <c:v>41145.0</c:v>
                </c:pt>
                <c:pt idx="164">
                  <c:v>41148.0</c:v>
                </c:pt>
                <c:pt idx="165">
                  <c:v>41149.0</c:v>
                </c:pt>
                <c:pt idx="166">
                  <c:v>41150.0</c:v>
                </c:pt>
                <c:pt idx="167">
                  <c:v>41151.0</c:v>
                </c:pt>
                <c:pt idx="168">
                  <c:v>41152.0</c:v>
                </c:pt>
                <c:pt idx="169">
                  <c:v>41156.0</c:v>
                </c:pt>
                <c:pt idx="170">
                  <c:v>41157.0</c:v>
                </c:pt>
                <c:pt idx="171">
                  <c:v>41158.0</c:v>
                </c:pt>
                <c:pt idx="172">
                  <c:v>41159.0</c:v>
                </c:pt>
                <c:pt idx="173">
                  <c:v>41162.0</c:v>
                </c:pt>
                <c:pt idx="174">
                  <c:v>41163.0</c:v>
                </c:pt>
                <c:pt idx="175">
                  <c:v>41164.0</c:v>
                </c:pt>
                <c:pt idx="176">
                  <c:v>41165.0</c:v>
                </c:pt>
                <c:pt idx="177">
                  <c:v>41166.0</c:v>
                </c:pt>
                <c:pt idx="178">
                  <c:v>41169.0</c:v>
                </c:pt>
                <c:pt idx="179">
                  <c:v>41170.0</c:v>
                </c:pt>
                <c:pt idx="180">
                  <c:v>41171.0</c:v>
                </c:pt>
                <c:pt idx="181">
                  <c:v>41172.0</c:v>
                </c:pt>
                <c:pt idx="182">
                  <c:v>41173.0</c:v>
                </c:pt>
                <c:pt idx="183">
                  <c:v>41176.0</c:v>
                </c:pt>
                <c:pt idx="184">
                  <c:v>41177.0</c:v>
                </c:pt>
                <c:pt idx="185">
                  <c:v>41178.0</c:v>
                </c:pt>
                <c:pt idx="186">
                  <c:v>41179.0</c:v>
                </c:pt>
                <c:pt idx="187">
                  <c:v>41180.0</c:v>
                </c:pt>
                <c:pt idx="188">
                  <c:v>41183.0</c:v>
                </c:pt>
                <c:pt idx="189">
                  <c:v>41184.0</c:v>
                </c:pt>
                <c:pt idx="190">
                  <c:v>41185.0</c:v>
                </c:pt>
                <c:pt idx="191">
                  <c:v>41186.0</c:v>
                </c:pt>
                <c:pt idx="192">
                  <c:v>41187.0</c:v>
                </c:pt>
                <c:pt idx="193">
                  <c:v>41190.0</c:v>
                </c:pt>
                <c:pt idx="194">
                  <c:v>41191.0</c:v>
                </c:pt>
                <c:pt idx="195">
                  <c:v>41192.0</c:v>
                </c:pt>
                <c:pt idx="196">
                  <c:v>41193.0</c:v>
                </c:pt>
                <c:pt idx="197">
                  <c:v>41194.0</c:v>
                </c:pt>
                <c:pt idx="198">
                  <c:v>41197.0</c:v>
                </c:pt>
                <c:pt idx="199">
                  <c:v>41198.0</c:v>
                </c:pt>
                <c:pt idx="200">
                  <c:v>41199.0</c:v>
                </c:pt>
                <c:pt idx="201">
                  <c:v>41200.0</c:v>
                </c:pt>
                <c:pt idx="202">
                  <c:v>41201.0</c:v>
                </c:pt>
                <c:pt idx="203">
                  <c:v>41204.0</c:v>
                </c:pt>
                <c:pt idx="204">
                  <c:v>41205.0</c:v>
                </c:pt>
                <c:pt idx="205">
                  <c:v>41206.0</c:v>
                </c:pt>
                <c:pt idx="206">
                  <c:v>41207.0</c:v>
                </c:pt>
                <c:pt idx="207">
                  <c:v>41208.0</c:v>
                </c:pt>
                <c:pt idx="208">
                  <c:v>41213.0</c:v>
                </c:pt>
                <c:pt idx="209">
                  <c:v>41214.0</c:v>
                </c:pt>
                <c:pt idx="210">
                  <c:v>41215.0</c:v>
                </c:pt>
                <c:pt idx="211">
                  <c:v>41218.0</c:v>
                </c:pt>
                <c:pt idx="212">
                  <c:v>41219.0</c:v>
                </c:pt>
                <c:pt idx="213">
                  <c:v>41220.0</c:v>
                </c:pt>
                <c:pt idx="214">
                  <c:v>41221.0</c:v>
                </c:pt>
                <c:pt idx="215">
                  <c:v>41222.0</c:v>
                </c:pt>
                <c:pt idx="216">
                  <c:v>41225.0</c:v>
                </c:pt>
                <c:pt idx="217">
                  <c:v>41226.0</c:v>
                </c:pt>
                <c:pt idx="218">
                  <c:v>41227.0</c:v>
                </c:pt>
                <c:pt idx="219">
                  <c:v>41228.0</c:v>
                </c:pt>
                <c:pt idx="220">
                  <c:v>41229.0</c:v>
                </c:pt>
                <c:pt idx="221">
                  <c:v>41232.0</c:v>
                </c:pt>
                <c:pt idx="222">
                  <c:v>41233.0</c:v>
                </c:pt>
                <c:pt idx="223">
                  <c:v>41234.0</c:v>
                </c:pt>
                <c:pt idx="224">
                  <c:v>41236.0</c:v>
                </c:pt>
                <c:pt idx="225">
                  <c:v>41239.0</c:v>
                </c:pt>
                <c:pt idx="226">
                  <c:v>41240.0</c:v>
                </c:pt>
                <c:pt idx="227">
                  <c:v>41241.0</c:v>
                </c:pt>
                <c:pt idx="228">
                  <c:v>41242.0</c:v>
                </c:pt>
                <c:pt idx="229">
                  <c:v>41243.0</c:v>
                </c:pt>
                <c:pt idx="230">
                  <c:v>41246.0</c:v>
                </c:pt>
                <c:pt idx="231">
                  <c:v>41247.0</c:v>
                </c:pt>
                <c:pt idx="232">
                  <c:v>41248.0</c:v>
                </c:pt>
                <c:pt idx="233">
                  <c:v>41249.0</c:v>
                </c:pt>
                <c:pt idx="234">
                  <c:v>41250.0</c:v>
                </c:pt>
                <c:pt idx="235">
                  <c:v>41253.0</c:v>
                </c:pt>
                <c:pt idx="236">
                  <c:v>41254.0</c:v>
                </c:pt>
                <c:pt idx="237">
                  <c:v>41255.0</c:v>
                </c:pt>
                <c:pt idx="238">
                  <c:v>41256.0</c:v>
                </c:pt>
                <c:pt idx="239">
                  <c:v>41257.0</c:v>
                </c:pt>
                <c:pt idx="240">
                  <c:v>41260.0</c:v>
                </c:pt>
                <c:pt idx="241">
                  <c:v>41261.0</c:v>
                </c:pt>
                <c:pt idx="242">
                  <c:v>41262.0</c:v>
                </c:pt>
                <c:pt idx="243">
                  <c:v>41263.0</c:v>
                </c:pt>
                <c:pt idx="244">
                  <c:v>41264.0</c:v>
                </c:pt>
                <c:pt idx="245">
                  <c:v>41267.0</c:v>
                </c:pt>
                <c:pt idx="246">
                  <c:v>41269.0</c:v>
                </c:pt>
                <c:pt idx="247">
                  <c:v>41270.0</c:v>
                </c:pt>
                <c:pt idx="248">
                  <c:v>41271.0</c:v>
                </c:pt>
                <c:pt idx="249">
                  <c:v>41274.0</c:v>
                </c:pt>
                <c:pt idx="250">
                  <c:v>41276.0</c:v>
                </c:pt>
                <c:pt idx="251">
                  <c:v>41277.0</c:v>
                </c:pt>
                <c:pt idx="252">
                  <c:v>41278.0</c:v>
                </c:pt>
                <c:pt idx="253">
                  <c:v>41281.0</c:v>
                </c:pt>
                <c:pt idx="254">
                  <c:v>41282.0</c:v>
                </c:pt>
                <c:pt idx="255">
                  <c:v>41283.0</c:v>
                </c:pt>
                <c:pt idx="256">
                  <c:v>41284.0</c:v>
                </c:pt>
                <c:pt idx="257">
                  <c:v>41285.0</c:v>
                </c:pt>
                <c:pt idx="258">
                  <c:v>41288.0</c:v>
                </c:pt>
                <c:pt idx="259">
                  <c:v>41289.0</c:v>
                </c:pt>
                <c:pt idx="260">
                  <c:v>41290.0</c:v>
                </c:pt>
                <c:pt idx="261">
                  <c:v>41291.0</c:v>
                </c:pt>
                <c:pt idx="262">
                  <c:v>41292.0</c:v>
                </c:pt>
                <c:pt idx="263">
                  <c:v>41296.0</c:v>
                </c:pt>
                <c:pt idx="264">
                  <c:v>41297.0</c:v>
                </c:pt>
                <c:pt idx="265">
                  <c:v>41298.0</c:v>
                </c:pt>
                <c:pt idx="266">
                  <c:v>41299.0</c:v>
                </c:pt>
                <c:pt idx="267">
                  <c:v>41302.0</c:v>
                </c:pt>
                <c:pt idx="268">
                  <c:v>41303.0</c:v>
                </c:pt>
                <c:pt idx="269">
                  <c:v>41304.0</c:v>
                </c:pt>
                <c:pt idx="270">
                  <c:v>41305.0</c:v>
                </c:pt>
                <c:pt idx="271">
                  <c:v>41306.0</c:v>
                </c:pt>
                <c:pt idx="272">
                  <c:v>41309.0</c:v>
                </c:pt>
                <c:pt idx="273">
                  <c:v>41310.0</c:v>
                </c:pt>
                <c:pt idx="274">
                  <c:v>41311.0</c:v>
                </c:pt>
                <c:pt idx="275">
                  <c:v>41312.0</c:v>
                </c:pt>
                <c:pt idx="276">
                  <c:v>41313.0</c:v>
                </c:pt>
                <c:pt idx="277">
                  <c:v>41316.0</c:v>
                </c:pt>
                <c:pt idx="278">
                  <c:v>41317.0</c:v>
                </c:pt>
                <c:pt idx="279">
                  <c:v>41318.0</c:v>
                </c:pt>
                <c:pt idx="280">
                  <c:v>41319.0</c:v>
                </c:pt>
                <c:pt idx="281">
                  <c:v>41320.0</c:v>
                </c:pt>
                <c:pt idx="282">
                  <c:v>41324.0</c:v>
                </c:pt>
                <c:pt idx="283">
                  <c:v>41325.0</c:v>
                </c:pt>
                <c:pt idx="284">
                  <c:v>41326.0</c:v>
                </c:pt>
                <c:pt idx="285">
                  <c:v>41327.0</c:v>
                </c:pt>
                <c:pt idx="286">
                  <c:v>41330.0</c:v>
                </c:pt>
                <c:pt idx="287">
                  <c:v>41331.0</c:v>
                </c:pt>
                <c:pt idx="288">
                  <c:v>41332.0</c:v>
                </c:pt>
                <c:pt idx="289">
                  <c:v>41333.0</c:v>
                </c:pt>
                <c:pt idx="290">
                  <c:v>41334.0</c:v>
                </c:pt>
                <c:pt idx="291">
                  <c:v>41337.0</c:v>
                </c:pt>
                <c:pt idx="292">
                  <c:v>41338.0</c:v>
                </c:pt>
                <c:pt idx="293">
                  <c:v>41339.0</c:v>
                </c:pt>
                <c:pt idx="294">
                  <c:v>41340.0</c:v>
                </c:pt>
                <c:pt idx="295">
                  <c:v>41341.0</c:v>
                </c:pt>
                <c:pt idx="296">
                  <c:v>41344.0</c:v>
                </c:pt>
                <c:pt idx="297">
                  <c:v>41345.0</c:v>
                </c:pt>
                <c:pt idx="298">
                  <c:v>41346.0</c:v>
                </c:pt>
                <c:pt idx="299">
                  <c:v>41347.0</c:v>
                </c:pt>
                <c:pt idx="300">
                  <c:v>41348.0</c:v>
                </c:pt>
                <c:pt idx="301">
                  <c:v>41351.0</c:v>
                </c:pt>
                <c:pt idx="302">
                  <c:v>41352.0</c:v>
                </c:pt>
                <c:pt idx="303">
                  <c:v>41353.0</c:v>
                </c:pt>
                <c:pt idx="304">
                  <c:v>41354.0</c:v>
                </c:pt>
                <c:pt idx="305">
                  <c:v>41355.0</c:v>
                </c:pt>
                <c:pt idx="306">
                  <c:v>41358.0</c:v>
                </c:pt>
                <c:pt idx="307">
                  <c:v>41359.0</c:v>
                </c:pt>
                <c:pt idx="308">
                  <c:v>41360.0</c:v>
                </c:pt>
                <c:pt idx="309">
                  <c:v>41361.0</c:v>
                </c:pt>
                <c:pt idx="310">
                  <c:v>41365.0</c:v>
                </c:pt>
                <c:pt idx="311">
                  <c:v>41366.0</c:v>
                </c:pt>
                <c:pt idx="312">
                  <c:v>41367.0</c:v>
                </c:pt>
                <c:pt idx="313">
                  <c:v>41368.0</c:v>
                </c:pt>
                <c:pt idx="314">
                  <c:v>41369.0</c:v>
                </c:pt>
                <c:pt idx="315">
                  <c:v>41372.0</c:v>
                </c:pt>
                <c:pt idx="316">
                  <c:v>41373.0</c:v>
                </c:pt>
                <c:pt idx="317">
                  <c:v>41374.0</c:v>
                </c:pt>
                <c:pt idx="318">
                  <c:v>41375.0</c:v>
                </c:pt>
                <c:pt idx="319">
                  <c:v>41376.0</c:v>
                </c:pt>
                <c:pt idx="320">
                  <c:v>41379.0</c:v>
                </c:pt>
                <c:pt idx="321">
                  <c:v>41380.0</c:v>
                </c:pt>
                <c:pt idx="322">
                  <c:v>41381.0</c:v>
                </c:pt>
                <c:pt idx="323">
                  <c:v>41382.0</c:v>
                </c:pt>
                <c:pt idx="324">
                  <c:v>41383.0</c:v>
                </c:pt>
                <c:pt idx="325">
                  <c:v>41386.0</c:v>
                </c:pt>
                <c:pt idx="326">
                  <c:v>41387.0</c:v>
                </c:pt>
                <c:pt idx="327">
                  <c:v>41388.0</c:v>
                </c:pt>
                <c:pt idx="328">
                  <c:v>41389.0</c:v>
                </c:pt>
                <c:pt idx="329">
                  <c:v>41390.0</c:v>
                </c:pt>
                <c:pt idx="330">
                  <c:v>41393.0</c:v>
                </c:pt>
                <c:pt idx="331">
                  <c:v>41394.0</c:v>
                </c:pt>
                <c:pt idx="332">
                  <c:v>41395.0</c:v>
                </c:pt>
                <c:pt idx="333">
                  <c:v>41396.0</c:v>
                </c:pt>
                <c:pt idx="334">
                  <c:v>41397.0</c:v>
                </c:pt>
                <c:pt idx="335">
                  <c:v>41400.0</c:v>
                </c:pt>
                <c:pt idx="336">
                  <c:v>41401.0</c:v>
                </c:pt>
                <c:pt idx="337">
                  <c:v>41402.0</c:v>
                </c:pt>
                <c:pt idx="338">
                  <c:v>41403.0</c:v>
                </c:pt>
                <c:pt idx="339">
                  <c:v>41404.0</c:v>
                </c:pt>
                <c:pt idx="340">
                  <c:v>41407.0</c:v>
                </c:pt>
                <c:pt idx="341">
                  <c:v>41408.0</c:v>
                </c:pt>
                <c:pt idx="342">
                  <c:v>41409.0</c:v>
                </c:pt>
                <c:pt idx="343">
                  <c:v>41410.0</c:v>
                </c:pt>
                <c:pt idx="344">
                  <c:v>41411.0</c:v>
                </c:pt>
                <c:pt idx="345">
                  <c:v>41414.0</c:v>
                </c:pt>
                <c:pt idx="346">
                  <c:v>41415.0</c:v>
                </c:pt>
                <c:pt idx="347">
                  <c:v>41416.0</c:v>
                </c:pt>
                <c:pt idx="348">
                  <c:v>41417.0</c:v>
                </c:pt>
                <c:pt idx="349">
                  <c:v>41418.0</c:v>
                </c:pt>
                <c:pt idx="350">
                  <c:v>41422.0</c:v>
                </c:pt>
                <c:pt idx="351">
                  <c:v>41423.0</c:v>
                </c:pt>
                <c:pt idx="352">
                  <c:v>41424.0</c:v>
                </c:pt>
                <c:pt idx="353">
                  <c:v>41425.0</c:v>
                </c:pt>
                <c:pt idx="354">
                  <c:v>41428.0</c:v>
                </c:pt>
                <c:pt idx="355">
                  <c:v>41429.0</c:v>
                </c:pt>
                <c:pt idx="356">
                  <c:v>41430.0</c:v>
                </c:pt>
                <c:pt idx="357">
                  <c:v>41431.0</c:v>
                </c:pt>
                <c:pt idx="358">
                  <c:v>41432.0</c:v>
                </c:pt>
                <c:pt idx="359">
                  <c:v>41435.0</c:v>
                </c:pt>
                <c:pt idx="360">
                  <c:v>41436.0</c:v>
                </c:pt>
                <c:pt idx="361">
                  <c:v>41437.0</c:v>
                </c:pt>
                <c:pt idx="362">
                  <c:v>41438.0</c:v>
                </c:pt>
                <c:pt idx="363">
                  <c:v>41439.0</c:v>
                </c:pt>
                <c:pt idx="364">
                  <c:v>41442.0</c:v>
                </c:pt>
                <c:pt idx="365">
                  <c:v>41443.0</c:v>
                </c:pt>
                <c:pt idx="366">
                  <c:v>41444.0</c:v>
                </c:pt>
                <c:pt idx="367">
                  <c:v>41445.0</c:v>
                </c:pt>
                <c:pt idx="368">
                  <c:v>41446.0</c:v>
                </c:pt>
                <c:pt idx="369">
                  <c:v>41449.0</c:v>
                </c:pt>
                <c:pt idx="370">
                  <c:v>41450.0</c:v>
                </c:pt>
                <c:pt idx="371">
                  <c:v>41451.0</c:v>
                </c:pt>
                <c:pt idx="372">
                  <c:v>41452.0</c:v>
                </c:pt>
                <c:pt idx="373">
                  <c:v>41453.0</c:v>
                </c:pt>
                <c:pt idx="374">
                  <c:v>41456.0</c:v>
                </c:pt>
                <c:pt idx="375">
                  <c:v>41457.0</c:v>
                </c:pt>
                <c:pt idx="376">
                  <c:v>41458.0</c:v>
                </c:pt>
                <c:pt idx="377">
                  <c:v>41460.0</c:v>
                </c:pt>
                <c:pt idx="378">
                  <c:v>41463.0</c:v>
                </c:pt>
                <c:pt idx="379">
                  <c:v>41464.0</c:v>
                </c:pt>
                <c:pt idx="380">
                  <c:v>41465.0</c:v>
                </c:pt>
                <c:pt idx="381">
                  <c:v>41466.0</c:v>
                </c:pt>
                <c:pt idx="382">
                  <c:v>41467.0</c:v>
                </c:pt>
                <c:pt idx="383">
                  <c:v>41470.0</c:v>
                </c:pt>
                <c:pt idx="384">
                  <c:v>41471.0</c:v>
                </c:pt>
                <c:pt idx="385">
                  <c:v>41472.0</c:v>
                </c:pt>
                <c:pt idx="386">
                  <c:v>41473.0</c:v>
                </c:pt>
                <c:pt idx="387">
                  <c:v>41474.0</c:v>
                </c:pt>
                <c:pt idx="388">
                  <c:v>41477.0</c:v>
                </c:pt>
                <c:pt idx="389">
                  <c:v>41478.0</c:v>
                </c:pt>
                <c:pt idx="390">
                  <c:v>41479.0</c:v>
                </c:pt>
                <c:pt idx="391">
                  <c:v>41480.0</c:v>
                </c:pt>
                <c:pt idx="392">
                  <c:v>41481.0</c:v>
                </c:pt>
                <c:pt idx="393">
                  <c:v>41484.0</c:v>
                </c:pt>
                <c:pt idx="394">
                  <c:v>41485.0</c:v>
                </c:pt>
                <c:pt idx="395">
                  <c:v>41486.0</c:v>
                </c:pt>
                <c:pt idx="396">
                  <c:v>41487.0</c:v>
                </c:pt>
                <c:pt idx="397">
                  <c:v>41488.0</c:v>
                </c:pt>
                <c:pt idx="398">
                  <c:v>41491.0</c:v>
                </c:pt>
                <c:pt idx="399">
                  <c:v>41492.0</c:v>
                </c:pt>
                <c:pt idx="400">
                  <c:v>41493.0</c:v>
                </c:pt>
                <c:pt idx="401">
                  <c:v>41494.0</c:v>
                </c:pt>
                <c:pt idx="402">
                  <c:v>41495.0</c:v>
                </c:pt>
                <c:pt idx="403">
                  <c:v>41498.0</c:v>
                </c:pt>
                <c:pt idx="404">
                  <c:v>41499.0</c:v>
                </c:pt>
                <c:pt idx="405">
                  <c:v>41500.0</c:v>
                </c:pt>
                <c:pt idx="406">
                  <c:v>41501.0</c:v>
                </c:pt>
                <c:pt idx="407">
                  <c:v>41502.0</c:v>
                </c:pt>
                <c:pt idx="408">
                  <c:v>41505.0</c:v>
                </c:pt>
                <c:pt idx="409">
                  <c:v>41506.0</c:v>
                </c:pt>
                <c:pt idx="410">
                  <c:v>41507.0</c:v>
                </c:pt>
                <c:pt idx="411">
                  <c:v>41508.0</c:v>
                </c:pt>
                <c:pt idx="412">
                  <c:v>41509.0</c:v>
                </c:pt>
                <c:pt idx="413">
                  <c:v>41512.0</c:v>
                </c:pt>
                <c:pt idx="414">
                  <c:v>41513.0</c:v>
                </c:pt>
                <c:pt idx="415">
                  <c:v>41514.0</c:v>
                </c:pt>
                <c:pt idx="416">
                  <c:v>41515.0</c:v>
                </c:pt>
                <c:pt idx="417">
                  <c:v>41516.0</c:v>
                </c:pt>
                <c:pt idx="418">
                  <c:v>41520.0</c:v>
                </c:pt>
                <c:pt idx="419">
                  <c:v>41521.0</c:v>
                </c:pt>
                <c:pt idx="420">
                  <c:v>41522.0</c:v>
                </c:pt>
                <c:pt idx="421">
                  <c:v>41523.0</c:v>
                </c:pt>
                <c:pt idx="422">
                  <c:v>41526.0</c:v>
                </c:pt>
                <c:pt idx="423">
                  <c:v>41527.0</c:v>
                </c:pt>
                <c:pt idx="424">
                  <c:v>41528.0</c:v>
                </c:pt>
                <c:pt idx="425">
                  <c:v>41529.0</c:v>
                </c:pt>
                <c:pt idx="426">
                  <c:v>41530.0</c:v>
                </c:pt>
                <c:pt idx="427">
                  <c:v>41533.0</c:v>
                </c:pt>
                <c:pt idx="428">
                  <c:v>41534.0</c:v>
                </c:pt>
                <c:pt idx="429">
                  <c:v>41535.0</c:v>
                </c:pt>
                <c:pt idx="430">
                  <c:v>41536.0</c:v>
                </c:pt>
                <c:pt idx="431">
                  <c:v>41537.0</c:v>
                </c:pt>
                <c:pt idx="432">
                  <c:v>41540.0</c:v>
                </c:pt>
                <c:pt idx="433">
                  <c:v>41541.0</c:v>
                </c:pt>
                <c:pt idx="434">
                  <c:v>41542.0</c:v>
                </c:pt>
                <c:pt idx="435">
                  <c:v>41543.0</c:v>
                </c:pt>
                <c:pt idx="436">
                  <c:v>41544.0</c:v>
                </c:pt>
                <c:pt idx="437">
                  <c:v>41547.0</c:v>
                </c:pt>
                <c:pt idx="438">
                  <c:v>41548.0</c:v>
                </c:pt>
                <c:pt idx="439">
                  <c:v>41549.0</c:v>
                </c:pt>
                <c:pt idx="440">
                  <c:v>41550.0</c:v>
                </c:pt>
                <c:pt idx="441">
                  <c:v>41551.0</c:v>
                </c:pt>
                <c:pt idx="442">
                  <c:v>41554.0</c:v>
                </c:pt>
                <c:pt idx="443">
                  <c:v>41555.0</c:v>
                </c:pt>
                <c:pt idx="444">
                  <c:v>41556.0</c:v>
                </c:pt>
                <c:pt idx="445">
                  <c:v>41557.0</c:v>
                </c:pt>
                <c:pt idx="446">
                  <c:v>41558.0</c:v>
                </c:pt>
                <c:pt idx="447">
                  <c:v>41561.0</c:v>
                </c:pt>
                <c:pt idx="448">
                  <c:v>41562.0</c:v>
                </c:pt>
                <c:pt idx="449">
                  <c:v>41563.0</c:v>
                </c:pt>
                <c:pt idx="450">
                  <c:v>41564.0</c:v>
                </c:pt>
                <c:pt idx="451">
                  <c:v>41565.0</c:v>
                </c:pt>
                <c:pt idx="452">
                  <c:v>41568.0</c:v>
                </c:pt>
                <c:pt idx="453">
                  <c:v>41569.0</c:v>
                </c:pt>
                <c:pt idx="454">
                  <c:v>41570.0</c:v>
                </c:pt>
                <c:pt idx="455">
                  <c:v>41571.0</c:v>
                </c:pt>
                <c:pt idx="456">
                  <c:v>41572.0</c:v>
                </c:pt>
                <c:pt idx="457">
                  <c:v>41575.0</c:v>
                </c:pt>
                <c:pt idx="458">
                  <c:v>41576.0</c:v>
                </c:pt>
                <c:pt idx="459">
                  <c:v>41577.0</c:v>
                </c:pt>
                <c:pt idx="460">
                  <c:v>41578.0</c:v>
                </c:pt>
                <c:pt idx="461">
                  <c:v>41579.0</c:v>
                </c:pt>
                <c:pt idx="462">
                  <c:v>41582.0</c:v>
                </c:pt>
                <c:pt idx="463">
                  <c:v>41583.0</c:v>
                </c:pt>
                <c:pt idx="464">
                  <c:v>41584.0</c:v>
                </c:pt>
                <c:pt idx="465">
                  <c:v>41585.0</c:v>
                </c:pt>
                <c:pt idx="466">
                  <c:v>41586.0</c:v>
                </c:pt>
                <c:pt idx="467">
                  <c:v>41589.0</c:v>
                </c:pt>
                <c:pt idx="468">
                  <c:v>41590.0</c:v>
                </c:pt>
                <c:pt idx="469">
                  <c:v>41591.0</c:v>
                </c:pt>
                <c:pt idx="470">
                  <c:v>41592.0</c:v>
                </c:pt>
                <c:pt idx="471">
                  <c:v>41593.0</c:v>
                </c:pt>
                <c:pt idx="472">
                  <c:v>41596.0</c:v>
                </c:pt>
                <c:pt idx="473">
                  <c:v>41597.0</c:v>
                </c:pt>
                <c:pt idx="474">
                  <c:v>41598.0</c:v>
                </c:pt>
                <c:pt idx="475">
                  <c:v>41599.0</c:v>
                </c:pt>
                <c:pt idx="476">
                  <c:v>41600.0</c:v>
                </c:pt>
                <c:pt idx="477">
                  <c:v>41603.0</c:v>
                </c:pt>
                <c:pt idx="478">
                  <c:v>41604.0</c:v>
                </c:pt>
                <c:pt idx="479">
                  <c:v>41605.0</c:v>
                </c:pt>
                <c:pt idx="480">
                  <c:v>41607.0</c:v>
                </c:pt>
                <c:pt idx="481">
                  <c:v>41610.0</c:v>
                </c:pt>
                <c:pt idx="482">
                  <c:v>41611.0</c:v>
                </c:pt>
                <c:pt idx="483">
                  <c:v>41612.0</c:v>
                </c:pt>
                <c:pt idx="484">
                  <c:v>41613.0</c:v>
                </c:pt>
                <c:pt idx="485">
                  <c:v>41614.0</c:v>
                </c:pt>
                <c:pt idx="486">
                  <c:v>41617.0</c:v>
                </c:pt>
                <c:pt idx="487">
                  <c:v>41618.0</c:v>
                </c:pt>
                <c:pt idx="488">
                  <c:v>41619.0</c:v>
                </c:pt>
                <c:pt idx="489">
                  <c:v>41620.0</c:v>
                </c:pt>
                <c:pt idx="490">
                  <c:v>41621.0</c:v>
                </c:pt>
                <c:pt idx="491">
                  <c:v>41624.0</c:v>
                </c:pt>
                <c:pt idx="492">
                  <c:v>41625.0</c:v>
                </c:pt>
                <c:pt idx="493">
                  <c:v>41626.0</c:v>
                </c:pt>
                <c:pt idx="494">
                  <c:v>41627.0</c:v>
                </c:pt>
                <c:pt idx="495">
                  <c:v>41628.0</c:v>
                </c:pt>
                <c:pt idx="496">
                  <c:v>41631.0</c:v>
                </c:pt>
                <c:pt idx="497">
                  <c:v>41632.0</c:v>
                </c:pt>
                <c:pt idx="498">
                  <c:v>41634.0</c:v>
                </c:pt>
                <c:pt idx="499">
                  <c:v>41635.0</c:v>
                </c:pt>
                <c:pt idx="500">
                  <c:v>41638.0</c:v>
                </c:pt>
                <c:pt idx="501">
                  <c:v>41639.0</c:v>
                </c:pt>
                <c:pt idx="502">
                  <c:v>41641.0</c:v>
                </c:pt>
                <c:pt idx="503">
                  <c:v>41642.0</c:v>
                </c:pt>
                <c:pt idx="504">
                  <c:v>41645.0</c:v>
                </c:pt>
                <c:pt idx="505">
                  <c:v>41646.0</c:v>
                </c:pt>
                <c:pt idx="506">
                  <c:v>41647.0</c:v>
                </c:pt>
                <c:pt idx="507">
                  <c:v>41648.0</c:v>
                </c:pt>
                <c:pt idx="508">
                  <c:v>41649.0</c:v>
                </c:pt>
                <c:pt idx="509">
                  <c:v>41652.0</c:v>
                </c:pt>
                <c:pt idx="510">
                  <c:v>41653.0</c:v>
                </c:pt>
                <c:pt idx="511">
                  <c:v>41654.0</c:v>
                </c:pt>
                <c:pt idx="512">
                  <c:v>41655.0</c:v>
                </c:pt>
                <c:pt idx="513">
                  <c:v>41656.0</c:v>
                </c:pt>
                <c:pt idx="514">
                  <c:v>41660.0</c:v>
                </c:pt>
                <c:pt idx="515">
                  <c:v>41661.0</c:v>
                </c:pt>
                <c:pt idx="516">
                  <c:v>41662.0</c:v>
                </c:pt>
                <c:pt idx="517">
                  <c:v>41663.0</c:v>
                </c:pt>
                <c:pt idx="518">
                  <c:v>41666.0</c:v>
                </c:pt>
                <c:pt idx="519">
                  <c:v>41667.0</c:v>
                </c:pt>
                <c:pt idx="520">
                  <c:v>41668.0</c:v>
                </c:pt>
                <c:pt idx="521">
                  <c:v>41669.0</c:v>
                </c:pt>
                <c:pt idx="522">
                  <c:v>41670.0</c:v>
                </c:pt>
                <c:pt idx="523">
                  <c:v>41673.0</c:v>
                </c:pt>
                <c:pt idx="524">
                  <c:v>41674.0</c:v>
                </c:pt>
                <c:pt idx="525">
                  <c:v>41675.0</c:v>
                </c:pt>
                <c:pt idx="526">
                  <c:v>41676.0</c:v>
                </c:pt>
                <c:pt idx="527">
                  <c:v>41677.0</c:v>
                </c:pt>
                <c:pt idx="528">
                  <c:v>41680.0</c:v>
                </c:pt>
                <c:pt idx="529">
                  <c:v>41681.0</c:v>
                </c:pt>
                <c:pt idx="530">
                  <c:v>41682.0</c:v>
                </c:pt>
                <c:pt idx="531">
                  <c:v>41683.0</c:v>
                </c:pt>
                <c:pt idx="532">
                  <c:v>41684.0</c:v>
                </c:pt>
                <c:pt idx="533">
                  <c:v>41688.0</c:v>
                </c:pt>
                <c:pt idx="534">
                  <c:v>41689.0</c:v>
                </c:pt>
                <c:pt idx="535">
                  <c:v>41690.0</c:v>
                </c:pt>
                <c:pt idx="536">
                  <c:v>41691.0</c:v>
                </c:pt>
                <c:pt idx="537">
                  <c:v>41694.0</c:v>
                </c:pt>
                <c:pt idx="538">
                  <c:v>41695.0</c:v>
                </c:pt>
                <c:pt idx="539">
                  <c:v>41696.0</c:v>
                </c:pt>
                <c:pt idx="540">
                  <c:v>41697.0</c:v>
                </c:pt>
                <c:pt idx="541">
                  <c:v>41698.0</c:v>
                </c:pt>
                <c:pt idx="542">
                  <c:v>41701.0</c:v>
                </c:pt>
                <c:pt idx="543">
                  <c:v>41702.0</c:v>
                </c:pt>
                <c:pt idx="544">
                  <c:v>41703.0</c:v>
                </c:pt>
                <c:pt idx="545">
                  <c:v>41704.0</c:v>
                </c:pt>
                <c:pt idx="546">
                  <c:v>41705.0</c:v>
                </c:pt>
                <c:pt idx="547">
                  <c:v>41708.0</c:v>
                </c:pt>
                <c:pt idx="548">
                  <c:v>41709.0</c:v>
                </c:pt>
                <c:pt idx="549">
                  <c:v>41710.0</c:v>
                </c:pt>
                <c:pt idx="550">
                  <c:v>41711.0</c:v>
                </c:pt>
                <c:pt idx="551">
                  <c:v>41712.0</c:v>
                </c:pt>
                <c:pt idx="552">
                  <c:v>41715.0</c:v>
                </c:pt>
                <c:pt idx="553">
                  <c:v>41716.0</c:v>
                </c:pt>
                <c:pt idx="554">
                  <c:v>41717.0</c:v>
                </c:pt>
                <c:pt idx="555">
                  <c:v>41718.0</c:v>
                </c:pt>
                <c:pt idx="556">
                  <c:v>41719.0</c:v>
                </c:pt>
                <c:pt idx="557">
                  <c:v>41722.0</c:v>
                </c:pt>
                <c:pt idx="558">
                  <c:v>41723.0</c:v>
                </c:pt>
                <c:pt idx="559">
                  <c:v>41724.0</c:v>
                </c:pt>
                <c:pt idx="560">
                  <c:v>41725.0</c:v>
                </c:pt>
                <c:pt idx="561">
                  <c:v>41726.0</c:v>
                </c:pt>
                <c:pt idx="562">
                  <c:v>41729.0</c:v>
                </c:pt>
                <c:pt idx="563">
                  <c:v>41730.0</c:v>
                </c:pt>
                <c:pt idx="564">
                  <c:v>41731.0</c:v>
                </c:pt>
                <c:pt idx="565">
                  <c:v>41732.0</c:v>
                </c:pt>
                <c:pt idx="566">
                  <c:v>41733.0</c:v>
                </c:pt>
                <c:pt idx="567">
                  <c:v>41736.0</c:v>
                </c:pt>
                <c:pt idx="568">
                  <c:v>41737.0</c:v>
                </c:pt>
                <c:pt idx="569">
                  <c:v>41738.0</c:v>
                </c:pt>
                <c:pt idx="570">
                  <c:v>41739.0</c:v>
                </c:pt>
                <c:pt idx="571">
                  <c:v>41740.0</c:v>
                </c:pt>
                <c:pt idx="572">
                  <c:v>41743.0</c:v>
                </c:pt>
                <c:pt idx="573">
                  <c:v>41744.0</c:v>
                </c:pt>
                <c:pt idx="574">
                  <c:v>41745.0</c:v>
                </c:pt>
                <c:pt idx="575">
                  <c:v>41746.0</c:v>
                </c:pt>
                <c:pt idx="576">
                  <c:v>41750.0</c:v>
                </c:pt>
                <c:pt idx="577">
                  <c:v>41751.0</c:v>
                </c:pt>
                <c:pt idx="578">
                  <c:v>41752.0</c:v>
                </c:pt>
                <c:pt idx="579">
                  <c:v>41753.0</c:v>
                </c:pt>
                <c:pt idx="580">
                  <c:v>41754.0</c:v>
                </c:pt>
                <c:pt idx="581">
                  <c:v>41757.0</c:v>
                </c:pt>
                <c:pt idx="582">
                  <c:v>41758.0</c:v>
                </c:pt>
                <c:pt idx="583">
                  <c:v>41759.0</c:v>
                </c:pt>
                <c:pt idx="584">
                  <c:v>41760.0</c:v>
                </c:pt>
                <c:pt idx="585">
                  <c:v>41761.0</c:v>
                </c:pt>
                <c:pt idx="586">
                  <c:v>41764.0</c:v>
                </c:pt>
                <c:pt idx="587">
                  <c:v>41765.0</c:v>
                </c:pt>
                <c:pt idx="588">
                  <c:v>41766.0</c:v>
                </c:pt>
                <c:pt idx="589">
                  <c:v>41767.0</c:v>
                </c:pt>
                <c:pt idx="590">
                  <c:v>41768.0</c:v>
                </c:pt>
                <c:pt idx="591">
                  <c:v>41771.0</c:v>
                </c:pt>
                <c:pt idx="592">
                  <c:v>41772.0</c:v>
                </c:pt>
                <c:pt idx="593">
                  <c:v>41773.0</c:v>
                </c:pt>
                <c:pt idx="594">
                  <c:v>41774.0</c:v>
                </c:pt>
                <c:pt idx="595">
                  <c:v>41775.0</c:v>
                </c:pt>
                <c:pt idx="596">
                  <c:v>41778.0</c:v>
                </c:pt>
                <c:pt idx="597">
                  <c:v>41779.0</c:v>
                </c:pt>
                <c:pt idx="598">
                  <c:v>41780.0</c:v>
                </c:pt>
                <c:pt idx="599">
                  <c:v>41781.0</c:v>
                </c:pt>
                <c:pt idx="600">
                  <c:v>41782.0</c:v>
                </c:pt>
                <c:pt idx="601">
                  <c:v>41786.0</c:v>
                </c:pt>
                <c:pt idx="602">
                  <c:v>41787.0</c:v>
                </c:pt>
                <c:pt idx="603">
                  <c:v>41788.0</c:v>
                </c:pt>
                <c:pt idx="604">
                  <c:v>41789.0</c:v>
                </c:pt>
                <c:pt idx="605">
                  <c:v>41792.0</c:v>
                </c:pt>
                <c:pt idx="606">
                  <c:v>41793.0</c:v>
                </c:pt>
                <c:pt idx="607">
                  <c:v>41794.0</c:v>
                </c:pt>
                <c:pt idx="608">
                  <c:v>41795.0</c:v>
                </c:pt>
                <c:pt idx="609">
                  <c:v>41796.0</c:v>
                </c:pt>
                <c:pt idx="610">
                  <c:v>41799.0</c:v>
                </c:pt>
                <c:pt idx="611">
                  <c:v>41800.0</c:v>
                </c:pt>
                <c:pt idx="612">
                  <c:v>41801.0</c:v>
                </c:pt>
                <c:pt idx="613">
                  <c:v>41802.0</c:v>
                </c:pt>
                <c:pt idx="614">
                  <c:v>41803.0</c:v>
                </c:pt>
                <c:pt idx="615">
                  <c:v>41806.0</c:v>
                </c:pt>
                <c:pt idx="616">
                  <c:v>41807.0</c:v>
                </c:pt>
                <c:pt idx="617">
                  <c:v>41808.0</c:v>
                </c:pt>
                <c:pt idx="618">
                  <c:v>41809.0</c:v>
                </c:pt>
                <c:pt idx="619">
                  <c:v>41810.0</c:v>
                </c:pt>
                <c:pt idx="620">
                  <c:v>41813.0</c:v>
                </c:pt>
                <c:pt idx="621">
                  <c:v>41814.0</c:v>
                </c:pt>
                <c:pt idx="622">
                  <c:v>41815.0</c:v>
                </c:pt>
                <c:pt idx="623">
                  <c:v>41816.0</c:v>
                </c:pt>
                <c:pt idx="624">
                  <c:v>41817.0</c:v>
                </c:pt>
                <c:pt idx="625">
                  <c:v>41820.0</c:v>
                </c:pt>
                <c:pt idx="626">
                  <c:v>41821.0</c:v>
                </c:pt>
                <c:pt idx="627">
                  <c:v>41822.0</c:v>
                </c:pt>
                <c:pt idx="628">
                  <c:v>41823.0</c:v>
                </c:pt>
                <c:pt idx="629">
                  <c:v>41827.0</c:v>
                </c:pt>
                <c:pt idx="630">
                  <c:v>41828.0</c:v>
                </c:pt>
                <c:pt idx="631">
                  <c:v>41829.0</c:v>
                </c:pt>
                <c:pt idx="632">
                  <c:v>41830.0</c:v>
                </c:pt>
                <c:pt idx="633">
                  <c:v>41831.0</c:v>
                </c:pt>
                <c:pt idx="634">
                  <c:v>41834.0</c:v>
                </c:pt>
                <c:pt idx="635">
                  <c:v>41835.0</c:v>
                </c:pt>
                <c:pt idx="636">
                  <c:v>41836.0</c:v>
                </c:pt>
                <c:pt idx="637">
                  <c:v>41837.0</c:v>
                </c:pt>
                <c:pt idx="638">
                  <c:v>41838.0</c:v>
                </c:pt>
                <c:pt idx="639">
                  <c:v>41841.0</c:v>
                </c:pt>
                <c:pt idx="640">
                  <c:v>41842.0</c:v>
                </c:pt>
                <c:pt idx="641">
                  <c:v>41843.0</c:v>
                </c:pt>
                <c:pt idx="642">
                  <c:v>41844.0</c:v>
                </c:pt>
                <c:pt idx="643">
                  <c:v>41845.0</c:v>
                </c:pt>
                <c:pt idx="644">
                  <c:v>41848.0</c:v>
                </c:pt>
                <c:pt idx="645">
                  <c:v>41849.0</c:v>
                </c:pt>
                <c:pt idx="646">
                  <c:v>41850.0</c:v>
                </c:pt>
                <c:pt idx="647">
                  <c:v>41851.0</c:v>
                </c:pt>
                <c:pt idx="648">
                  <c:v>41852.0</c:v>
                </c:pt>
                <c:pt idx="649">
                  <c:v>41855.0</c:v>
                </c:pt>
                <c:pt idx="650">
                  <c:v>41856.0</c:v>
                </c:pt>
                <c:pt idx="651">
                  <c:v>41857.0</c:v>
                </c:pt>
                <c:pt idx="652">
                  <c:v>41858.0</c:v>
                </c:pt>
                <c:pt idx="653">
                  <c:v>41859.0</c:v>
                </c:pt>
                <c:pt idx="654">
                  <c:v>41862.0</c:v>
                </c:pt>
                <c:pt idx="655">
                  <c:v>41863.0</c:v>
                </c:pt>
                <c:pt idx="656">
                  <c:v>41864.0</c:v>
                </c:pt>
                <c:pt idx="657">
                  <c:v>41865.0</c:v>
                </c:pt>
                <c:pt idx="658">
                  <c:v>41866.0</c:v>
                </c:pt>
                <c:pt idx="659">
                  <c:v>41869.0</c:v>
                </c:pt>
                <c:pt idx="660">
                  <c:v>41870.0</c:v>
                </c:pt>
                <c:pt idx="661">
                  <c:v>41871.0</c:v>
                </c:pt>
                <c:pt idx="662">
                  <c:v>41872.0</c:v>
                </c:pt>
                <c:pt idx="663">
                  <c:v>41873.0</c:v>
                </c:pt>
                <c:pt idx="664">
                  <c:v>41876.0</c:v>
                </c:pt>
                <c:pt idx="665">
                  <c:v>41877.0</c:v>
                </c:pt>
                <c:pt idx="666">
                  <c:v>41878.0</c:v>
                </c:pt>
                <c:pt idx="667">
                  <c:v>41879.0</c:v>
                </c:pt>
                <c:pt idx="668">
                  <c:v>41880.0</c:v>
                </c:pt>
                <c:pt idx="669">
                  <c:v>41884.0</c:v>
                </c:pt>
                <c:pt idx="670">
                  <c:v>41885.0</c:v>
                </c:pt>
                <c:pt idx="671">
                  <c:v>41886.0</c:v>
                </c:pt>
                <c:pt idx="672">
                  <c:v>41887.0</c:v>
                </c:pt>
                <c:pt idx="673">
                  <c:v>41890.0</c:v>
                </c:pt>
                <c:pt idx="674">
                  <c:v>41891.0</c:v>
                </c:pt>
                <c:pt idx="675">
                  <c:v>41892.0</c:v>
                </c:pt>
                <c:pt idx="676">
                  <c:v>41893.0</c:v>
                </c:pt>
                <c:pt idx="677">
                  <c:v>41894.0</c:v>
                </c:pt>
                <c:pt idx="678">
                  <c:v>41897.0</c:v>
                </c:pt>
                <c:pt idx="679">
                  <c:v>41898.0</c:v>
                </c:pt>
                <c:pt idx="680">
                  <c:v>41899.0</c:v>
                </c:pt>
                <c:pt idx="681">
                  <c:v>41900.0</c:v>
                </c:pt>
                <c:pt idx="682">
                  <c:v>41901.0</c:v>
                </c:pt>
                <c:pt idx="683">
                  <c:v>41904.0</c:v>
                </c:pt>
                <c:pt idx="684">
                  <c:v>41905.0</c:v>
                </c:pt>
                <c:pt idx="685">
                  <c:v>41906.0</c:v>
                </c:pt>
                <c:pt idx="686">
                  <c:v>41907.0</c:v>
                </c:pt>
                <c:pt idx="687">
                  <c:v>41908.0</c:v>
                </c:pt>
                <c:pt idx="688">
                  <c:v>41911.0</c:v>
                </c:pt>
                <c:pt idx="689">
                  <c:v>41912.0</c:v>
                </c:pt>
                <c:pt idx="690">
                  <c:v>41913.0</c:v>
                </c:pt>
                <c:pt idx="691">
                  <c:v>41914.0</c:v>
                </c:pt>
                <c:pt idx="692">
                  <c:v>41915.0</c:v>
                </c:pt>
                <c:pt idx="693">
                  <c:v>41918.0</c:v>
                </c:pt>
                <c:pt idx="694">
                  <c:v>41919.0</c:v>
                </c:pt>
                <c:pt idx="695">
                  <c:v>41920.0</c:v>
                </c:pt>
                <c:pt idx="696">
                  <c:v>41921.0</c:v>
                </c:pt>
                <c:pt idx="697">
                  <c:v>41922.0</c:v>
                </c:pt>
                <c:pt idx="698">
                  <c:v>41925.0</c:v>
                </c:pt>
                <c:pt idx="699">
                  <c:v>41926.0</c:v>
                </c:pt>
                <c:pt idx="700">
                  <c:v>41927.0</c:v>
                </c:pt>
                <c:pt idx="701">
                  <c:v>41928.0</c:v>
                </c:pt>
                <c:pt idx="702">
                  <c:v>41929.0</c:v>
                </c:pt>
                <c:pt idx="703">
                  <c:v>41932.0</c:v>
                </c:pt>
                <c:pt idx="704">
                  <c:v>41933.0</c:v>
                </c:pt>
                <c:pt idx="705">
                  <c:v>41934.0</c:v>
                </c:pt>
                <c:pt idx="706">
                  <c:v>41935.0</c:v>
                </c:pt>
                <c:pt idx="707">
                  <c:v>41936.0</c:v>
                </c:pt>
                <c:pt idx="708">
                  <c:v>41939.0</c:v>
                </c:pt>
                <c:pt idx="709">
                  <c:v>41940.0</c:v>
                </c:pt>
                <c:pt idx="710">
                  <c:v>41941.0</c:v>
                </c:pt>
                <c:pt idx="711">
                  <c:v>41942.0</c:v>
                </c:pt>
                <c:pt idx="712">
                  <c:v>41943.0</c:v>
                </c:pt>
                <c:pt idx="713">
                  <c:v>41946.0</c:v>
                </c:pt>
                <c:pt idx="714">
                  <c:v>41947.0</c:v>
                </c:pt>
                <c:pt idx="715">
                  <c:v>41948.0</c:v>
                </c:pt>
                <c:pt idx="716">
                  <c:v>41949.0</c:v>
                </c:pt>
                <c:pt idx="717">
                  <c:v>41950.0</c:v>
                </c:pt>
                <c:pt idx="718">
                  <c:v>41953.0</c:v>
                </c:pt>
                <c:pt idx="719">
                  <c:v>41954.0</c:v>
                </c:pt>
                <c:pt idx="720">
                  <c:v>41955.0</c:v>
                </c:pt>
                <c:pt idx="721">
                  <c:v>41956.0</c:v>
                </c:pt>
                <c:pt idx="722">
                  <c:v>41957.0</c:v>
                </c:pt>
                <c:pt idx="723">
                  <c:v>41960.0</c:v>
                </c:pt>
                <c:pt idx="724">
                  <c:v>41961.0</c:v>
                </c:pt>
                <c:pt idx="725">
                  <c:v>41962.0</c:v>
                </c:pt>
                <c:pt idx="726">
                  <c:v>41963.0</c:v>
                </c:pt>
                <c:pt idx="727">
                  <c:v>41964.0</c:v>
                </c:pt>
                <c:pt idx="728">
                  <c:v>41967.0</c:v>
                </c:pt>
                <c:pt idx="729">
                  <c:v>41968.0</c:v>
                </c:pt>
                <c:pt idx="730">
                  <c:v>41969.0</c:v>
                </c:pt>
                <c:pt idx="731">
                  <c:v>41971.0</c:v>
                </c:pt>
                <c:pt idx="732">
                  <c:v>41974.0</c:v>
                </c:pt>
                <c:pt idx="733">
                  <c:v>41975.0</c:v>
                </c:pt>
                <c:pt idx="734">
                  <c:v>41976.0</c:v>
                </c:pt>
                <c:pt idx="735">
                  <c:v>41977.0</c:v>
                </c:pt>
                <c:pt idx="736">
                  <c:v>41978.0</c:v>
                </c:pt>
                <c:pt idx="737">
                  <c:v>41981.0</c:v>
                </c:pt>
                <c:pt idx="738">
                  <c:v>41982.0</c:v>
                </c:pt>
                <c:pt idx="739">
                  <c:v>41983.0</c:v>
                </c:pt>
                <c:pt idx="740">
                  <c:v>41984.0</c:v>
                </c:pt>
                <c:pt idx="741">
                  <c:v>41985.0</c:v>
                </c:pt>
                <c:pt idx="742">
                  <c:v>41988.0</c:v>
                </c:pt>
                <c:pt idx="743">
                  <c:v>41989.0</c:v>
                </c:pt>
                <c:pt idx="744">
                  <c:v>41990.0</c:v>
                </c:pt>
                <c:pt idx="745">
                  <c:v>41991.0</c:v>
                </c:pt>
                <c:pt idx="746">
                  <c:v>41992.0</c:v>
                </c:pt>
                <c:pt idx="747">
                  <c:v>41995.0</c:v>
                </c:pt>
                <c:pt idx="748">
                  <c:v>41996.0</c:v>
                </c:pt>
                <c:pt idx="749">
                  <c:v>41997.0</c:v>
                </c:pt>
                <c:pt idx="750">
                  <c:v>41999.0</c:v>
                </c:pt>
                <c:pt idx="751">
                  <c:v>42002.0</c:v>
                </c:pt>
                <c:pt idx="752">
                  <c:v>42003.0</c:v>
                </c:pt>
                <c:pt idx="753">
                  <c:v>42004.0</c:v>
                </c:pt>
                <c:pt idx="754">
                  <c:v>42006.0</c:v>
                </c:pt>
                <c:pt idx="755">
                  <c:v>42009.0</c:v>
                </c:pt>
                <c:pt idx="756">
                  <c:v>42010.0</c:v>
                </c:pt>
                <c:pt idx="757">
                  <c:v>42011.0</c:v>
                </c:pt>
                <c:pt idx="758">
                  <c:v>42012.0</c:v>
                </c:pt>
                <c:pt idx="759">
                  <c:v>42013.0</c:v>
                </c:pt>
                <c:pt idx="760">
                  <c:v>42016.0</c:v>
                </c:pt>
                <c:pt idx="761">
                  <c:v>42017.0</c:v>
                </c:pt>
                <c:pt idx="762">
                  <c:v>42018.0</c:v>
                </c:pt>
                <c:pt idx="763">
                  <c:v>42019.0</c:v>
                </c:pt>
                <c:pt idx="764">
                  <c:v>42020.0</c:v>
                </c:pt>
                <c:pt idx="765">
                  <c:v>42024.0</c:v>
                </c:pt>
                <c:pt idx="766">
                  <c:v>42025.0</c:v>
                </c:pt>
                <c:pt idx="767">
                  <c:v>42026.0</c:v>
                </c:pt>
                <c:pt idx="768">
                  <c:v>42027.0</c:v>
                </c:pt>
                <c:pt idx="769">
                  <c:v>42030.0</c:v>
                </c:pt>
                <c:pt idx="770">
                  <c:v>42031.0</c:v>
                </c:pt>
                <c:pt idx="771">
                  <c:v>42032.0</c:v>
                </c:pt>
                <c:pt idx="772">
                  <c:v>42033.0</c:v>
                </c:pt>
                <c:pt idx="773">
                  <c:v>42034.0</c:v>
                </c:pt>
                <c:pt idx="774">
                  <c:v>42037.0</c:v>
                </c:pt>
                <c:pt idx="775">
                  <c:v>42038.0</c:v>
                </c:pt>
                <c:pt idx="776">
                  <c:v>42039.0</c:v>
                </c:pt>
                <c:pt idx="777">
                  <c:v>42040.0</c:v>
                </c:pt>
                <c:pt idx="778">
                  <c:v>42041.0</c:v>
                </c:pt>
                <c:pt idx="779">
                  <c:v>42044.0</c:v>
                </c:pt>
                <c:pt idx="780">
                  <c:v>42045.0</c:v>
                </c:pt>
                <c:pt idx="781">
                  <c:v>42046.0</c:v>
                </c:pt>
                <c:pt idx="782">
                  <c:v>42047.0</c:v>
                </c:pt>
                <c:pt idx="783">
                  <c:v>42048.0</c:v>
                </c:pt>
                <c:pt idx="784">
                  <c:v>42052.0</c:v>
                </c:pt>
                <c:pt idx="785">
                  <c:v>42053.0</c:v>
                </c:pt>
                <c:pt idx="786">
                  <c:v>42054.0</c:v>
                </c:pt>
                <c:pt idx="787">
                  <c:v>42055.0</c:v>
                </c:pt>
                <c:pt idx="788">
                  <c:v>42058.0</c:v>
                </c:pt>
                <c:pt idx="789">
                  <c:v>42059.0</c:v>
                </c:pt>
                <c:pt idx="790">
                  <c:v>42060.0</c:v>
                </c:pt>
                <c:pt idx="791">
                  <c:v>42061.0</c:v>
                </c:pt>
                <c:pt idx="792">
                  <c:v>42062.0</c:v>
                </c:pt>
                <c:pt idx="793">
                  <c:v>42065.0</c:v>
                </c:pt>
                <c:pt idx="794">
                  <c:v>42066.0</c:v>
                </c:pt>
                <c:pt idx="795">
                  <c:v>42067.0</c:v>
                </c:pt>
                <c:pt idx="796">
                  <c:v>42068.0</c:v>
                </c:pt>
                <c:pt idx="797">
                  <c:v>42069.0</c:v>
                </c:pt>
                <c:pt idx="798">
                  <c:v>42072.0</c:v>
                </c:pt>
                <c:pt idx="799">
                  <c:v>42073.0</c:v>
                </c:pt>
                <c:pt idx="800">
                  <c:v>42074.0</c:v>
                </c:pt>
                <c:pt idx="801">
                  <c:v>42075.0</c:v>
                </c:pt>
                <c:pt idx="802">
                  <c:v>42076.0</c:v>
                </c:pt>
                <c:pt idx="803">
                  <c:v>42079.0</c:v>
                </c:pt>
                <c:pt idx="804">
                  <c:v>42080.0</c:v>
                </c:pt>
                <c:pt idx="805">
                  <c:v>42081.0</c:v>
                </c:pt>
                <c:pt idx="806">
                  <c:v>42082.0</c:v>
                </c:pt>
                <c:pt idx="807">
                  <c:v>42083.0</c:v>
                </c:pt>
                <c:pt idx="808">
                  <c:v>42086.0</c:v>
                </c:pt>
                <c:pt idx="809">
                  <c:v>42087.0</c:v>
                </c:pt>
                <c:pt idx="810">
                  <c:v>42088.0</c:v>
                </c:pt>
                <c:pt idx="811">
                  <c:v>42089.0</c:v>
                </c:pt>
                <c:pt idx="812">
                  <c:v>42090.0</c:v>
                </c:pt>
                <c:pt idx="813">
                  <c:v>42093.0</c:v>
                </c:pt>
                <c:pt idx="814">
                  <c:v>42094.0</c:v>
                </c:pt>
                <c:pt idx="815">
                  <c:v>42095.0</c:v>
                </c:pt>
                <c:pt idx="816">
                  <c:v>42096.0</c:v>
                </c:pt>
                <c:pt idx="817">
                  <c:v>42100.0</c:v>
                </c:pt>
                <c:pt idx="818">
                  <c:v>42101.0</c:v>
                </c:pt>
                <c:pt idx="819">
                  <c:v>42102.0</c:v>
                </c:pt>
                <c:pt idx="820">
                  <c:v>42103.0</c:v>
                </c:pt>
                <c:pt idx="821">
                  <c:v>42104.0</c:v>
                </c:pt>
                <c:pt idx="822">
                  <c:v>42107.0</c:v>
                </c:pt>
                <c:pt idx="823">
                  <c:v>42108.0</c:v>
                </c:pt>
                <c:pt idx="824">
                  <c:v>42109.0</c:v>
                </c:pt>
                <c:pt idx="825">
                  <c:v>42110.0</c:v>
                </c:pt>
                <c:pt idx="826">
                  <c:v>42111.0</c:v>
                </c:pt>
                <c:pt idx="827">
                  <c:v>42114.0</c:v>
                </c:pt>
                <c:pt idx="828">
                  <c:v>42115.0</c:v>
                </c:pt>
                <c:pt idx="829">
                  <c:v>42116.0</c:v>
                </c:pt>
                <c:pt idx="830">
                  <c:v>42117.0</c:v>
                </c:pt>
                <c:pt idx="831">
                  <c:v>42118.0</c:v>
                </c:pt>
                <c:pt idx="832">
                  <c:v>42121.0</c:v>
                </c:pt>
                <c:pt idx="833">
                  <c:v>42122.0</c:v>
                </c:pt>
                <c:pt idx="834">
                  <c:v>42123.0</c:v>
                </c:pt>
                <c:pt idx="835">
                  <c:v>42124.0</c:v>
                </c:pt>
                <c:pt idx="836">
                  <c:v>42125.0</c:v>
                </c:pt>
                <c:pt idx="837">
                  <c:v>42128.0</c:v>
                </c:pt>
                <c:pt idx="838">
                  <c:v>42129.0</c:v>
                </c:pt>
                <c:pt idx="839">
                  <c:v>42130.0</c:v>
                </c:pt>
                <c:pt idx="840">
                  <c:v>42131.0</c:v>
                </c:pt>
                <c:pt idx="841">
                  <c:v>42132.0</c:v>
                </c:pt>
                <c:pt idx="842">
                  <c:v>42135.0</c:v>
                </c:pt>
                <c:pt idx="843">
                  <c:v>42136.0</c:v>
                </c:pt>
                <c:pt idx="844">
                  <c:v>42137.0</c:v>
                </c:pt>
                <c:pt idx="845">
                  <c:v>42138.0</c:v>
                </c:pt>
                <c:pt idx="846">
                  <c:v>42139.0</c:v>
                </c:pt>
                <c:pt idx="847">
                  <c:v>42142.0</c:v>
                </c:pt>
                <c:pt idx="848">
                  <c:v>42143.0</c:v>
                </c:pt>
                <c:pt idx="849">
                  <c:v>42144.0</c:v>
                </c:pt>
                <c:pt idx="850">
                  <c:v>42145.0</c:v>
                </c:pt>
                <c:pt idx="851">
                  <c:v>42146.0</c:v>
                </c:pt>
                <c:pt idx="852">
                  <c:v>42150.0</c:v>
                </c:pt>
                <c:pt idx="853">
                  <c:v>42151.0</c:v>
                </c:pt>
                <c:pt idx="854">
                  <c:v>42152.0</c:v>
                </c:pt>
                <c:pt idx="855">
                  <c:v>42153.0</c:v>
                </c:pt>
                <c:pt idx="856">
                  <c:v>42156.0</c:v>
                </c:pt>
                <c:pt idx="857">
                  <c:v>42157.0</c:v>
                </c:pt>
                <c:pt idx="858">
                  <c:v>42158.0</c:v>
                </c:pt>
                <c:pt idx="859">
                  <c:v>42159.0</c:v>
                </c:pt>
                <c:pt idx="860">
                  <c:v>42160.0</c:v>
                </c:pt>
                <c:pt idx="861">
                  <c:v>42163.0</c:v>
                </c:pt>
                <c:pt idx="862">
                  <c:v>42164.0</c:v>
                </c:pt>
                <c:pt idx="863">
                  <c:v>42165.0</c:v>
                </c:pt>
                <c:pt idx="864">
                  <c:v>42166.0</c:v>
                </c:pt>
                <c:pt idx="865">
                  <c:v>42167.0</c:v>
                </c:pt>
                <c:pt idx="866">
                  <c:v>42170.0</c:v>
                </c:pt>
                <c:pt idx="867">
                  <c:v>42171.0</c:v>
                </c:pt>
                <c:pt idx="868">
                  <c:v>42172.0</c:v>
                </c:pt>
                <c:pt idx="869">
                  <c:v>42173.0</c:v>
                </c:pt>
                <c:pt idx="870">
                  <c:v>42174.0</c:v>
                </c:pt>
                <c:pt idx="871">
                  <c:v>42177.0</c:v>
                </c:pt>
                <c:pt idx="872">
                  <c:v>42178.0</c:v>
                </c:pt>
                <c:pt idx="873">
                  <c:v>42179.0</c:v>
                </c:pt>
                <c:pt idx="874">
                  <c:v>42180.0</c:v>
                </c:pt>
                <c:pt idx="875">
                  <c:v>42181.0</c:v>
                </c:pt>
                <c:pt idx="876">
                  <c:v>42184.0</c:v>
                </c:pt>
                <c:pt idx="877">
                  <c:v>42185.0</c:v>
                </c:pt>
                <c:pt idx="878">
                  <c:v>42186.0</c:v>
                </c:pt>
                <c:pt idx="879">
                  <c:v>42187.0</c:v>
                </c:pt>
                <c:pt idx="880">
                  <c:v>42191.0</c:v>
                </c:pt>
                <c:pt idx="881">
                  <c:v>42192.0</c:v>
                </c:pt>
                <c:pt idx="882">
                  <c:v>42193.0</c:v>
                </c:pt>
                <c:pt idx="883">
                  <c:v>42194.0</c:v>
                </c:pt>
                <c:pt idx="884">
                  <c:v>42195.0</c:v>
                </c:pt>
                <c:pt idx="885">
                  <c:v>42198.0</c:v>
                </c:pt>
                <c:pt idx="886">
                  <c:v>42199.0</c:v>
                </c:pt>
                <c:pt idx="887">
                  <c:v>42200.0</c:v>
                </c:pt>
                <c:pt idx="888">
                  <c:v>42201.0</c:v>
                </c:pt>
                <c:pt idx="889">
                  <c:v>42202.0</c:v>
                </c:pt>
                <c:pt idx="890">
                  <c:v>42205.0</c:v>
                </c:pt>
                <c:pt idx="891">
                  <c:v>42206.0</c:v>
                </c:pt>
                <c:pt idx="892">
                  <c:v>42207.0</c:v>
                </c:pt>
                <c:pt idx="893">
                  <c:v>42208.0</c:v>
                </c:pt>
                <c:pt idx="894">
                  <c:v>42209.0</c:v>
                </c:pt>
                <c:pt idx="895">
                  <c:v>42212.0</c:v>
                </c:pt>
                <c:pt idx="896">
                  <c:v>42213.0</c:v>
                </c:pt>
                <c:pt idx="897">
                  <c:v>42214.0</c:v>
                </c:pt>
                <c:pt idx="898">
                  <c:v>42215.0</c:v>
                </c:pt>
                <c:pt idx="899">
                  <c:v>42216.0</c:v>
                </c:pt>
                <c:pt idx="900">
                  <c:v>42219.0</c:v>
                </c:pt>
                <c:pt idx="901">
                  <c:v>42220.0</c:v>
                </c:pt>
                <c:pt idx="902">
                  <c:v>42221.0</c:v>
                </c:pt>
                <c:pt idx="903">
                  <c:v>42222.0</c:v>
                </c:pt>
                <c:pt idx="904">
                  <c:v>42223.0</c:v>
                </c:pt>
                <c:pt idx="905">
                  <c:v>42226.0</c:v>
                </c:pt>
                <c:pt idx="906">
                  <c:v>42227.0</c:v>
                </c:pt>
                <c:pt idx="907">
                  <c:v>42228.0</c:v>
                </c:pt>
                <c:pt idx="908">
                  <c:v>42229.0</c:v>
                </c:pt>
                <c:pt idx="909">
                  <c:v>42230.0</c:v>
                </c:pt>
                <c:pt idx="910">
                  <c:v>42233.0</c:v>
                </c:pt>
                <c:pt idx="911">
                  <c:v>42234.0</c:v>
                </c:pt>
                <c:pt idx="912">
                  <c:v>42235.0</c:v>
                </c:pt>
                <c:pt idx="913">
                  <c:v>42236.0</c:v>
                </c:pt>
                <c:pt idx="914">
                  <c:v>42237.0</c:v>
                </c:pt>
                <c:pt idx="915">
                  <c:v>42240.0</c:v>
                </c:pt>
                <c:pt idx="916">
                  <c:v>42241.0</c:v>
                </c:pt>
                <c:pt idx="917">
                  <c:v>42242.0</c:v>
                </c:pt>
                <c:pt idx="918">
                  <c:v>42243.0</c:v>
                </c:pt>
                <c:pt idx="919">
                  <c:v>42244.0</c:v>
                </c:pt>
                <c:pt idx="920">
                  <c:v>42247.0</c:v>
                </c:pt>
                <c:pt idx="921">
                  <c:v>42248.0</c:v>
                </c:pt>
                <c:pt idx="922">
                  <c:v>42249.0</c:v>
                </c:pt>
                <c:pt idx="923">
                  <c:v>42250.0</c:v>
                </c:pt>
                <c:pt idx="924">
                  <c:v>42251.0</c:v>
                </c:pt>
                <c:pt idx="925">
                  <c:v>42255.0</c:v>
                </c:pt>
                <c:pt idx="926">
                  <c:v>42256.0</c:v>
                </c:pt>
                <c:pt idx="927">
                  <c:v>42257.0</c:v>
                </c:pt>
                <c:pt idx="928">
                  <c:v>42258.0</c:v>
                </c:pt>
                <c:pt idx="929">
                  <c:v>42261.0</c:v>
                </c:pt>
                <c:pt idx="930">
                  <c:v>42262.0</c:v>
                </c:pt>
                <c:pt idx="931">
                  <c:v>42263.0</c:v>
                </c:pt>
                <c:pt idx="932">
                  <c:v>42264.0</c:v>
                </c:pt>
                <c:pt idx="933">
                  <c:v>42265.0</c:v>
                </c:pt>
                <c:pt idx="934">
                  <c:v>42268.0</c:v>
                </c:pt>
                <c:pt idx="935">
                  <c:v>42269.0</c:v>
                </c:pt>
                <c:pt idx="936">
                  <c:v>42270.0</c:v>
                </c:pt>
                <c:pt idx="937">
                  <c:v>42271.0</c:v>
                </c:pt>
                <c:pt idx="938">
                  <c:v>42272.0</c:v>
                </c:pt>
                <c:pt idx="939">
                  <c:v>42275.0</c:v>
                </c:pt>
                <c:pt idx="940">
                  <c:v>42276.0</c:v>
                </c:pt>
                <c:pt idx="941">
                  <c:v>42277.0</c:v>
                </c:pt>
                <c:pt idx="942">
                  <c:v>42278.0</c:v>
                </c:pt>
                <c:pt idx="943">
                  <c:v>42279.0</c:v>
                </c:pt>
                <c:pt idx="944">
                  <c:v>42282.0</c:v>
                </c:pt>
                <c:pt idx="945">
                  <c:v>42283.0</c:v>
                </c:pt>
                <c:pt idx="946">
                  <c:v>42284.0</c:v>
                </c:pt>
                <c:pt idx="947">
                  <c:v>42285.0</c:v>
                </c:pt>
                <c:pt idx="948">
                  <c:v>42286.0</c:v>
                </c:pt>
                <c:pt idx="949">
                  <c:v>42289.0</c:v>
                </c:pt>
                <c:pt idx="950">
                  <c:v>42290.0</c:v>
                </c:pt>
                <c:pt idx="951">
                  <c:v>42291.0</c:v>
                </c:pt>
                <c:pt idx="952">
                  <c:v>42292.0</c:v>
                </c:pt>
                <c:pt idx="953">
                  <c:v>42293.0</c:v>
                </c:pt>
                <c:pt idx="954">
                  <c:v>42296.0</c:v>
                </c:pt>
                <c:pt idx="955">
                  <c:v>42297.0</c:v>
                </c:pt>
                <c:pt idx="956">
                  <c:v>42298.0</c:v>
                </c:pt>
                <c:pt idx="957">
                  <c:v>42299.0</c:v>
                </c:pt>
                <c:pt idx="958">
                  <c:v>42300.0</c:v>
                </c:pt>
                <c:pt idx="959">
                  <c:v>42303.0</c:v>
                </c:pt>
                <c:pt idx="960">
                  <c:v>42304.0</c:v>
                </c:pt>
                <c:pt idx="961">
                  <c:v>42305.0</c:v>
                </c:pt>
                <c:pt idx="962">
                  <c:v>42306.0</c:v>
                </c:pt>
                <c:pt idx="963">
                  <c:v>42307.0</c:v>
                </c:pt>
                <c:pt idx="964">
                  <c:v>42310.0</c:v>
                </c:pt>
                <c:pt idx="965">
                  <c:v>42311.0</c:v>
                </c:pt>
                <c:pt idx="966">
                  <c:v>42312.0</c:v>
                </c:pt>
                <c:pt idx="967">
                  <c:v>42313.0</c:v>
                </c:pt>
                <c:pt idx="968">
                  <c:v>42314.0</c:v>
                </c:pt>
                <c:pt idx="969">
                  <c:v>42317.0</c:v>
                </c:pt>
                <c:pt idx="970">
                  <c:v>42318.0</c:v>
                </c:pt>
                <c:pt idx="971">
                  <c:v>42319.0</c:v>
                </c:pt>
                <c:pt idx="972">
                  <c:v>42320.0</c:v>
                </c:pt>
                <c:pt idx="973">
                  <c:v>42321.0</c:v>
                </c:pt>
                <c:pt idx="974">
                  <c:v>42324.0</c:v>
                </c:pt>
                <c:pt idx="975">
                  <c:v>42325.0</c:v>
                </c:pt>
                <c:pt idx="976">
                  <c:v>42326.0</c:v>
                </c:pt>
                <c:pt idx="977">
                  <c:v>42327.0</c:v>
                </c:pt>
                <c:pt idx="978">
                  <c:v>42328.0</c:v>
                </c:pt>
                <c:pt idx="979">
                  <c:v>42331.0</c:v>
                </c:pt>
                <c:pt idx="980">
                  <c:v>42332.0</c:v>
                </c:pt>
                <c:pt idx="981">
                  <c:v>42333.0</c:v>
                </c:pt>
                <c:pt idx="982">
                  <c:v>42335.0</c:v>
                </c:pt>
                <c:pt idx="983">
                  <c:v>42338.0</c:v>
                </c:pt>
                <c:pt idx="984">
                  <c:v>42339.0</c:v>
                </c:pt>
                <c:pt idx="985">
                  <c:v>42340.0</c:v>
                </c:pt>
                <c:pt idx="986">
                  <c:v>42341.0</c:v>
                </c:pt>
                <c:pt idx="987">
                  <c:v>42342.0</c:v>
                </c:pt>
                <c:pt idx="988">
                  <c:v>42345.0</c:v>
                </c:pt>
                <c:pt idx="989">
                  <c:v>42346.0</c:v>
                </c:pt>
                <c:pt idx="990">
                  <c:v>42347.0</c:v>
                </c:pt>
                <c:pt idx="991">
                  <c:v>42348.0</c:v>
                </c:pt>
                <c:pt idx="992">
                  <c:v>42349.0</c:v>
                </c:pt>
                <c:pt idx="993">
                  <c:v>42352.0</c:v>
                </c:pt>
                <c:pt idx="994">
                  <c:v>42353.0</c:v>
                </c:pt>
                <c:pt idx="995">
                  <c:v>42354.0</c:v>
                </c:pt>
                <c:pt idx="996">
                  <c:v>42355.0</c:v>
                </c:pt>
                <c:pt idx="997">
                  <c:v>42356.0</c:v>
                </c:pt>
                <c:pt idx="998">
                  <c:v>42359.0</c:v>
                </c:pt>
                <c:pt idx="999">
                  <c:v>42360.0</c:v>
                </c:pt>
                <c:pt idx="1000">
                  <c:v>42361.0</c:v>
                </c:pt>
                <c:pt idx="1001">
                  <c:v>42362.0</c:v>
                </c:pt>
                <c:pt idx="1002">
                  <c:v>42366.0</c:v>
                </c:pt>
                <c:pt idx="1003">
                  <c:v>42367.0</c:v>
                </c:pt>
                <c:pt idx="1004">
                  <c:v>42368.0</c:v>
                </c:pt>
                <c:pt idx="1005">
                  <c:v>42369.0</c:v>
                </c:pt>
                <c:pt idx="1006">
                  <c:v>42373.0</c:v>
                </c:pt>
                <c:pt idx="1007">
                  <c:v>42374.0</c:v>
                </c:pt>
                <c:pt idx="1008">
                  <c:v>42375.0</c:v>
                </c:pt>
                <c:pt idx="1009">
                  <c:v>42376.0</c:v>
                </c:pt>
                <c:pt idx="1010">
                  <c:v>42377.0</c:v>
                </c:pt>
                <c:pt idx="1011">
                  <c:v>42380.0</c:v>
                </c:pt>
                <c:pt idx="1012">
                  <c:v>42381.0</c:v>
                </c:pt>
                <c:pt idx="1013">
                  <c:v>42382.0</c:v>
                </c:pt>
                <c:pt idx="1014">
                  <c:v>42383.0</c:v>
                </c:pt>
                <c:pt idx="1015">
                  <c:v>42384.0</c:v>
                </c:pt>
                <c:pt idx="1016">
                  <c:v>42388.0</c:v>
                </c:pt>
                <c:pt idx="1017">
                  <c:v>42389.0</c:v>
                </c:pt>
                <c:pt idx="1018">
                  <c:v>42390.0</c:v>
                </c:pt>
                <c:pt idx="1019">
                  <c:v>42391.0</c:v>
                </c:pt>
                <c:pt idx="1020">
                  <c:v>42394.0</c:v>
                </c:pt>
                <c:pt idx="1021">
                  <c:v>42395.0</c:v>
                </c:pt>
                <c:pt idx="1022">
                  <c:v>42396.0</c:v>
                </c:pt>
                <c:pt idx="1023">
                  <c:v>42397.0</c:v>
                </c:pt>
                <c:pt idx="1024">
                  <c:v>42398.0</c:v>
                </c:pt>
                <c:pt idx="1025">
                  <c:v>42401.0</c:v>
                </c:pt>
                <c:pt idx="1026">
                  <c:v>42402.0</c:v>
                </c:pt>
                <c:pt idx="1027">
                  <c:v>42403.0</c:v>
                </c:pt>
                <c:pt idx="1028">
                  <c:v>42404.0</c:v>
                </c:pt>
                <c:pt idx="1029">
                  <c:v>42405.0</c:v>
                </c:pt>
                <c:pt idx="1030">
                  <c:v>42408.0</c:v>
                </c:pt>
                <c:pt idx="1031">
                  <c:v>42409.0</c:v>
                </c:pt>
                <c:pt idx="1032">
                  <c:v>42410.0</c:v>
                </c:pt>
                <c:pt idx="1033">
                  <c:v>42411.0</c:v>
                </c:pt>
                <c:pt idx="1034">
                  <c:v>42412.0</c:v>
                </c:pt>
                <c:pt idx="1035">
                  <c:v>42416.0</c:v>
                </c:pt>
                <c:pt idx="1036">
                  <c:v>42417.0</c:v>
                </c:pt>
                <c:pt idx="1037">
                  <c:v>42418.0</c:v>
                </c:pt>
                <c:pt idx="1038">
                  <c:v>42419.0</c:v>
                </c:pt>
                <c:pt idx="1039">
                  <c:v>42422.0</c:v>
                </c:pt>
                <c:pt idx="1040">
                  <c:v>42423.0</c:v>
                </c:pt>
                <c:pt idx="1041">
                  <c:v>42424.0</c:v>
                </c:pt>
                <c:pt idx="1042">
                  <c:v>42425.0</c:v>
                </c:pt>
                <c:pt idx="1043">
                  <c:v>42426.0</c:v>
                </c:pt>
                <c:pt idx="1044">
                  <c:v>42429.0</c:v>
                </c:pt>
                <c:pt idx="1045">
                  <c:v>42430.0</c:v>
                </c:pt>
                <c:pt idx="1046">
                  <c:v>42431.0</c:v>
                </c:pt>
                <c:pt idx="1047">
                  <c:v>42432.0</c:v>
                </c:pt>
                <c:pt idx="1048">
                  <c:v>42433.0</c:v>
                </c:pt>
                <c:pt idx="1049">
                  <c:v>42436.0</c:v>
                </c:pt>
                <c:pt idx="1050">
                  <c:v>42437.0</c:v>
                </c:pt>
                <c:pt idx="1051">
                  <c:v>42438.0</c:v>
                </c:pt>
                <c:pt idx="1052">
                  <c:v>42439.0</c:v>
                </c:pt>
                <c:pt idx="1053">
                  <c:v>42440.0</c:v>
                </c:pt>
                <c:pt idx="1054">
                  <c:v>42443.0</c:v>
                </c:pt>
                <c:pt idx="1055">
                  <c:v>42444.0</c:v>
                </c:pt>
                <c:pt idx="1056">
                  <c:v>42445.0</c:v>
                </c:pt>
                <c:pt idx="1057">
                  <c:v>42446.0</c:v>
                </c:pt>
                <c:pt idx="1058">
                  <c:v>42447.0</c:v>
                </c:pt>
                <c:pt idx="1059">
                  <c:v>42450.0</c:v>
                </c:pt>
                <c:pt idx="1060">
                  <c:v>42451.0</c:v>
                </c:pt>
                <c:pt idx="1061">
                  <c:v>42452.0</c:v>
                </c:pt>
                <c:pt idx="1062">
                  <c:v>42453.0</c:v>
                </c:pt>
                <c:pt idx="1063">
                  <c:v>42457.0</c:v>
                </c:pt>
                <c:pt idx="1064">
                  <c:v>42458.0</c:v>
                </c:pt>
                <c:pt idx="1065">
                  <c:v>42459.0</c:v>
                </c:pt>
                <c:pt idx="1066">
                  <c:v>42460.0</c:v>
                </c:pt>
                <c:pt idx="1067">
                  <c:v>42461.0</c:v>
                </c:pt>
                <c:pt idx="1068">
                  <c:v>42464.0</c:v>
                </c:pt>
                <c:pt idx="1069">
                  <c:v>42465.0</c:v>
                </c:pt>
                <c:pt idx="1070">
                  <c:v>42466.0</c:v>
                </c:pt>
                <c:pt idx="1071">
                  <c:v>42467.0</c:v>
                </c:pt>
                <c:pt idx="1072">
                  <c:v>42468.0</c:v>
                </c:pt>
                <c:pt idx="1073">
                  <c:v>42471.0</c:v>
                </c:pt>
                <c:pt idx="1074">
                  <c:v>42472.0</c:v>
                </c:pt>
                <c:pt idx="1075">
                  <c:v>42473.0</c:v>
                </c:pt>
                <c:pt idx="1076">
                  <c:v>42474.0</c:v>
                </c:pt>
                <c:pt idx="1077">
                  <c:v>42475.0</c:v>
                </c:pt>
                <c:pt idx="1078">
                  <c:v>42478.0</c:v>
                </c:pt>
                <c:pt idx="1079">
                  <c:v>42479.0</c:v>
                </c:pt>
                <c:pt idx="1080">
                  <c:v>42480.0</c:v>
                </c:pt>
                <c:pt idx="1081">
                  <c:v>42481.0</c:v>
                </c:pt>
                <c:pt idx="1082">
                  <c:v>42482.0</c:v>
                </c:pt>
                <c:pt idx="1083">
                  <c:v>42485.0</c:v>
                </c:pt>
                <c:pt idx="1084">
                  <c:v>42486.0</c:v>
                </c:pt>
                <c:pt idx="1085">
                  <c:v>42487.0</c:v>
                </c:pt>
                <c:pt idx="1086">
                  <c:v>42488.0</c:v>
                </c:pt>
                <c:pt idx="1087">
                  <c:v>42489.0</c:v>
                </c:pt>
                <c:pt idx="1088">
                  <c:v>42492.0</c:v>
                </c:pt>
                <c:pt idx="1089">
                  <c:v>42493.0</c:v>
                </c:pt>
                <c:pt idx="1090">
                  <c:v>42494.0</c:v>
                </c:pt>
                <c:pt idx="1091">
                  <c:v>42495.0</c:v>
                </c:pt>
                <c:pt idx="1092">
                  <c:v>42496.0</c:v>
                </c:pt>
                <c:pt idx="1093">
                  <c:v>42499.0</c:v>
                </c:pt>
                <c:pt idx="1094">
                  <c:v>42500.0</c:v>
                </c:pt>
                <c:pt idx="1095">
                  <c:v>42501.0</c:v>
                </c:pt>
                <c:pt idx="1096">
                  <c:v>42502.0</c:v>
                </c:pt>
                <c:pt idx="1097">
                  <c:v>42503.0</c:v>
                </c:pt>
                <c:pt idx="1098">
                  <c:v>42506.0</c:v>
                </c:pt>
                <c:pt idx="1099">
                  <c:v>42507.0</c:v>
                </c:pt>
                <c:pt idx="1100">
                  <c:v>42508.0</c:v>
                </c:pt>
                <c:pt idx="1101">
                  <c:v>42509.0</c:v>
                </c:pt>
                <c:pt idx="1102">
                  <c:v>42510.0</c:v>
                </c:pt>
                <c:pt idx="1103">
                  <c:v>42513.0</c:v>
                </c:pt>
                <c:pt idx="1104">
                  <c:v>42514.0</c:v>
                </c:pt>
                <c:pt idx="1105">
                  <c:v>42515.0</c:v>
                </c:pt>
                <c:pt idx="1106">
                  <c:v>42516.0</c:v>
                </c:pt>
                <c:pt idx="1107">
                  <c:v>42517.0</c:v>
                </c:pt>
                <c:pt idx="1108">
                  <c:v>42521.0</c:v>
                </c:pt>
                <c:pt idx="1109">
                  <c:v>42522.0</c:v>
                </c:pt>
                <c:pt idx="1110">
                  <c:v>42523.0</c:v>
                </c:pt>
                <c:pt idx="1111">
                  <c:v>42524.0</c:v>
                </c:pt>
                <c:pt idx="1112">
                  <c:v>42527.0</c:v>
                </c:pt>
                <c:pt idx="1113">
                  <c:v>42528.0</c:v>
                </c:pt>
                <c:pt idx="1114">
                  <c:v>42529.0</c:v>
                </c:pt>
                <c:pt idx="1115">
                  <c:v>42530.0</c:v>
                </c:pt>
                <c:pt idx="1116">
                  <c:v>42531.0</c:v>
                </c:pt>
                <c:pt idx="1117">
                  <c:v>42534.0</c:v>
                </c:pt>
                <c:pt idx="1118">
                  <c:v>42535.0</c:v>
                </c:pt>
                <c:pt idx="1119">
                  <c:v>42536.0</c:v>
                </c:pt>
                <c:pt idx="1120">
                  <c:v>42537.0</c:v>
                </c:pt>
                <c:pt idx="1121">
                  <c:v>42538.0</c:v>
                </c:pt>
                <c:pt idx="1122">
                  <c:v>42541.0</c:v>
                </c:pt>
                <c:pt idx="1123">
                  <c:v>42542.0</c:v>
                </c:pt>
                <c:pt idx="1124">
                  <c:v>42543.0</c:v>
                </c:pt>
                <c:pt idx="1125">
                  <c:v>42544.0</c:v>
                </c:pt>
                <c:pt idx="1126">
                  <c:v>42545.0</c:v>
                </c:pt>
                <c:pt idx="1127">
                  <c:v>42548.0</c:v>
                </c:pt>
                <c:pt idx="1128">
                  <c:v>42549.0</c:v>
                </c:pt>
                <c:pt idx="1129">
                  <c:v>42550.0</c:v>
                </c:pt>
                <c:pt idx="1130">
                  <c:v>42551.0</c:v>
                </c:pt>
                <c:pt idx="1131">
                  <c:v>42552.0</c:v>
                </c:pt>
                <c:pt idx="1132">
                  <c:v>42556.0</c:v>
                </c:pt>
                <c:pt idx="1133">
                  <c:v>42557.0</c:v>
                </c:pt>
                <c:pt idx="1134">
                  <c:v>42558.0</c:v>
                </c:pt>
                <c:pt idx="1135">
                  <c:v>42559.0</c:v>
                </c:pt>
                <c:pt idx="1136">
                  <c:v>42562.0</c:v>
                </c:pt>
                <c:pt idx="1137">
                  <c:v>42563.0</c:v>
                </c:pt>
                <c:pt idx="1138">
                  <c:v>42564.0</c:v>
                </c:pt>
                <c:pt idx="1139">
                  <c:v>42565.0</c:v>
                </c:pt>
                <c:pt idx="1140">
                  <c:v>42566.0</c:v>
                </c:pt>
                <c:pt idx="1141">
                  <c:v>42569.0</c:v>
                </c:pt>
                <c:pt idx="1142">
                  <c:v>42570.0</c:v>
                </c:pt>
                <c:pt idx="1143">
                  <c:v>42571.0</c:v>
                </c:pt>
                <c:pt idx="1144">
                  <c:v>42572.0</c:v>
                </c:pt>
                <c:pt idx="1145">
                  <c:v>42573.0</c:v>
                </c:pt>
                <c:pt idx="1146">
                  <c:v>42576.0</c:v>
                </c:pt>
                <c:pt idx="1147">
                  <c:v>42577.0</c:v>
                </c:pt>
                <c:pt idx="1148">
                  <c:v>42578.0</c:v>
                </c:pt>
                <c:pt idx="1149">
                  <c:v>42579.0</c:v>
                </c:pt>
                <c:pt idx="1150">
                  <c:v>42580.0</c:v>
                </c:pt>
                <c:pt idx="1151">
                  <c:v>42583.0</c:v>
                </c:pt>
                <c:pt idx="1152">
                  <c:v>42584.0</c:v>
                </c:pt>
                <c:pt idx="1153">
                  <c:v>42585.0</c:v>
                </c:pt>
                <c:pt idx="1154">
                  <c:v>42586.0</c:v>
                </c:pt>
                <c:pt idx="1155">
                  <c:v>42587.0</c:v>
                </c:pt>
                <c:pt idx="1156">
                  <c:v>42590.0</c:v>
                </c:pt>
                <c:pt idx="1157">
                  <c:v>42591.0</c:v>
                </c:pt>
                <c:pt idx="1158">
                  <c:v>42592.0</c:v>
                </c:pt>
                <c:pt idx="1159">
                  <c:v>42593.0</c:v>
                </c:pt>
                <c:pt idx="1160">
                  <c:v>42594.0</c:v>
                </c:pt>
                <c:pt idx="1161">
                  <c:v>42597.0</c:v>
                </c:pt>
                <c:pt idx="1162">
                  <c:v>42598.0</c:v>
                </c:pt>
                <c:pt idx="1163">
                  <c:v>42599.0</c:v>
                </c:pt>
                <c:pt idx="1164">
                  <c:v>42600.0</c:v>
                </c:pt>
                <c:pt idx="1165">
                  <c:v>42601.0</c:v>
                </c:pt>
                <c:pt idx="1166">
                  <c:v>42604.0</c:v>
                </c:pt>
                <c:pt idx="1167">
                  <c:v>42605.0</c:v>
                </c:pt>
                <c:pt idx="1168">
                  <c:v>42606.0</c:v>
                </c:pt>
                <c:pt idx="1169">
                  <c:v>42607.0</c:v>
                </c:pt>
                <c:pt idx="1170">
                  <c:v>42608.0</c:v>
                </c:pt>
                <c:pt idx="1171">
                  <c:v>42611.0</c:v>
                </c:pt>
                <c:pt idx="1172">
                  <c:v>42612.0</c:v>
                </c:pt>
                <c:pt idx="1173">
                  <c:v>42613.0</c:v>
                </c:pt>
                <c:pt idx="1174">
                  <c:v>42614.0</c:v>
                </c:pt>
                <c:pt idx="1175">
                  <c:v>42615.0</c:v>
                </c:pt>
                <c:pt idx="1176">
                  <c:v>42619.0</c:v>
                </c:pt>
                <c:pt idx="1177">
                  <c:v>42620.0</c:v>
                </c:pt>
                <c:pt idx="1178">
                  <c:v>42621.0</c:v>
                </c:pt>
                <c:pt idx="1179">
                  <c:v>42622.0</c:v>
                </c:pt>
                <c:pt idx="1180">
                  <c:v>42625.0</c:v>
                </c:pt>
                <c:pt idx="1181">
                  <c:v>42626.0</c:v>
                </c:pt>
                <c:pt idx="1182">
                  <c:v>42627.0</c:v>
                </c:pt>
                <c:pt idx="1183">
                  <c:v>42628.0</c:v>
                </c:pt>
                <c:pt idx="1184">
                  <c:v>42629.0</c:v>
                </c:pt>
                <c:pt idx="1185">
                  <c:v>42632.0</c:v>
                </c:pt>
                <c:pt idx="1186">
                  <c:v>42633.0</c:v>
                </c:pt>
                <c:pt idx="1187">
                  <c:v>42634.0</c:v>
                </c:pt>
                <c:pt idx="1188">
                  <c:v>42635.0</c:v>
                </c:pt>
                <c:pt idx="1189">
                  <c:v>42636.0</c:v>
                </c:pt>
                <c:pt idx="1190">
                  <c:v>42639.0</c:v>
                </c:pt>
                <c:pt idx="1191">
                  <c:v>42640.0</c:v>
                </c:pt>
                <c:pt idx="1192">
                  <c:v>42641.0</c:v>
                </c:pt>
                <c:pt idx="1193">
                  <c:v>42642.0</c:v>
                </c:pt>
                <c:pt idx="1194">
                  <c:v>42643.0</c:v>
                </c:pt>
                <c:pt idx="1195">
                  <c:v>42646.0</c:v>
                </c:pt>
                <c:pt idx="1196">
                  <c:v>42647.0</c:v>
                </c:pt>
                <c:pt idx="1197">
                  <c:v>42648.0</c:v>
                </c:pt>
                <c:pt idx="1198">
                  <c:v>42649.0</c:v>
                </c:pt>
                <c:pt idx="1199">
                  <c:v>42650.0</c:v>
                </c:pt>
                <c:pt idx="1200">
                  <c:v>42653.0</c:v>
                </c:pt>
                <c:pt idx="1201">
                  <c:v>42654.0</c:v>
                </c:pt>
                <c:pt idx="1202">
                  <c:v>42655.0</c:v>
                </c:pt>
                <c:pt idx="1203">
                  <c:v>42656.0</c:v>
                </c:pt>
                <c:pt idx="1204">
                  <c:v>42657.0</c:v>
                </c:pt>
                <c:pt idx="1205">
                  <c:v>42660.0</c:v>
                </c:pt>
                <c:pt idx="1206">
                  <c:v>42661.0</c:v>
                </c:pt>
                <c:pt idx="1207">
                  <c:v>42662.0</c:v>
                </c:pt>
                <c:pt idx="1208">
                  <c:v>42663.0</c:v>
                </c:pt>
                <c:pt idx="1209">
                  <c:v>42664.0</c:v>
                </c:pt>
                <c:pt idx="1210">
                  <c:v>42667.0</c:v>
                </c:pt>
                <c:pt idx="1211">
                  <c:v>42668.0</c:v>
                </c:pt>
                <c:pt idx="1212">
                  <c:v>42669.0</c:v>
                </c:pt>
                <c:pt idx="1213">
                  <c:v>42670.0</c:v>
                </c:pt>
                <c:pt idx="1214">
                  <c:v>42671.0</c:v>
                </c:pt>
                <c:pt idx="1215">
                  <c:v>42674.0</c:v>
                </c:pt>
                <c:pt idx="1216">
                  <c:v>42675.0</c:v>
                </c:pt>
                <c:pt idx="1217">
                  <c:v>42676.0</c:v>
                </c:pt>
                <c:pt idx="1218">
                  <c:v>42677.0</c:v>
                </c:pt>
                <c:pt idx="1219">
                  <c:v>42678.0</c:v>
                </c:pt>
                <c:pt idx="1220">
                  <c:v>42681.0</c:v>
                </c:pt>
                <c:pt idx="1221">
                  <c:v>42682.0</c:v>
                </c:pt>
                <c:pt idx="1222">
                  <c:v>42683.0</c:v>
                </c:pt>
                <c:pt idx="1223">
                  <c:v>42684.0</c:v>
                </c:pt>
                <c:pt idx="1224">
                  <c:v>42685.0</c:v>
                </c:pt>
                <c:pt idx="1225">
                  <c:v>42688.0</c:v>
                </c:pt>
                <c:pt idx="1226">
                  <c:v>42689.0</c:v>
                </c:pt>
                <c:pt idx="1227">
                  <c:v>42690.0</c:v>
                </c:pt>
                <c:pt idx="1228">
                  <c:v>42691.0</c:v>
                </c:pt>
                <c:pt idx="1229">
                  <c:v>42692.0</c:v>
                </c:pt>
                <c:pt idx="1230">
                  <c:v>42695.0</c:v>
                </c:pt>
                <c:pt idx="1231">
                  <c:v>42696.0</c:v>
                </c:pt>
                <c:pt idx="1232">
                  <c:v>42697.0</c:v>
                </c:pt>
                <c:pt idx="1233">
                  <c:v>42699.0</c:v>
                </c:pt>
                <c:pt idx="1234">
                  <c:v>42702.0</c:v>
                </c:pt>
                <c:pt idx="1235">
                  <c:v>42703.0</c:v>
                </c:pt>
                <c:pt idx="1236">
                  <c:v>42704.0</c:v>
                </c:pt>
                <c:pt idx="1237">
                  <c:v>42705.0</c:v>
                </c:pt>
                <c:pt idx="1238">
                  <c:v>42706.0</c:v>
                </c:pt>
                <c:pt idx="1239">
                  <c:v>42709.0</c:v>
                </c:pt>
                <c:pt idx="1240">
                  <c:v>42710.0</c:v>
                </c:pt>
                <c:pt idx="1241">
                  <c:v>42711.0</c:v>
                </c:pt>
                <c:pt idx="1242">
                  <c:v>42712.0</c:v>
                </c:pt>
                <c:pt idx="1243">
                  <c:v>42713.0</c:v>
                </c:pt>
                <c:pt idx="1244">
                  <c:v>42716.0</c:v>
                </c:pt>
                <c:pt idx="1245">
                  <c:v>42717.0</c:v>
                </c:pt>
                <c:pt idx="1246">
                  <c:v>42718.0</c:v>
                </c:pt>
                <c:pt idx="1247">
                  <c:v>42719.0</c:v>
                </c:pt>
                <c:pt idx="1248">
                  <c:v>42720.0</c:v>
                </c:pt>
                <c:pt idx="1249">
                  <c:v>42723.0</c:v>
                </c:pt>
                <c:pt idx="1250">
                  <c:v>42724.0</c:v>
                </c:pt>
                <c:pt idx="1251">
                  <c:v>42725.0</c:v>
                </c:pt>
                <c:pt idx="1252">
                  <c:v>42726.0</c:v>
                </c:pt>
                <c:pt idx="1253">
                  <c:v>42727.0</c:v>
                </c:pt>
                <c:pt idx="1254">
                  <c:v>42731.0</c:v>
                </c:pt>
                <c:pt idx="1255">
                  <c:v>42732.0</c:v>
                </c:pt>
                <c:pt idx="1256">
                  <c:v>42733.0</c:v>
                </c:pt>
                <c:pt idx="1257">
                  <c:v>42734.0</c:v>
                </c:pt>
                <c:pt idx="1258">
                  <c:v>42738.0</c:v>
                </c:pt>
                <c:pt idx="1259">
                  <c:v>42739.0</c:v>
                </c:pt>
                <c:pt idx="1260">
                  <c:v>42740.0</c:v>
                </c:pt>
                <c:pt idx="1261">
                  <c:v>42741.0</c:v>
                </c:pt>
                <c:pt idx="1262">
                  <c:v>42744.0</c:v>
                </c:pt>
                <c:pt idx="1263">
                  <c:v>42745.0</c:v>
                </c:pt>
                <c:pt idx="1264">
                  <c:v>42746.0</c:v>
                </c:pt>
                <c:pt idx="1265">
                  <c:v>42747.0</c:v>
                </c:pt>
                <c:pt idx="1266">
                  <c:v>42748.0</c:v>
                </c:pt>
                <c:pt idx="1267">
                  <c:v>42752.0</c:v>
                </c:pt>
                <c:pt idx="1268">
                  <c:v>42753.0</c:v>
                </c:pt>
                <c:pt idx="1269">
                  <c:v>42754.0</c:v>
                </c:pt>
                <c:pt idx="1270">
                  <c:v>42755.0</c:v>
                </c:pt>
                <c:pt idx="1271">
                  <c:v>42758.0</c:v>
                </c:pt>
                <c:pt idx="1272">
                  <c:v>42759.0</c:v>
                </c:pt>
                <c:pt idx="1273">
                  <c:v>42760.0</c:v>
                </c:pt>
                <c:pt idx="1274">
                  <c:v>42761.0</c:v>
                </c:pt>
                <c:pt idx="1275">
                  <c:v>42762.0</c:v>
                </c:pt>
                <c:pt idx="1276">
                  <c:v>42765.0</c:v>
                </c:pt>
                <c:pt idx="1277">
                  <c:v>42766.0</c:v>
                </c:pt>
                <c:pt idx="1278">
                  <c:v>42767.0</c:v>
                </c:pt>
                <c:pt idx="1279">
                  <c:v>42768.0</c:v>
                </c:pt>
                <c:pt idx="1280">
                  <c:v>42769.0</c:v>
                </c:pt>
                <c:pt idx="1281">
                  <c:v>42772.0</c:v>
                </c:pt>
                <c:pt idx="1282">
                  <c:v>42773.0</c:v>
                </c:pt>
                <c:pt idx="1283">
                  <c:v>42774.0</c:v>
                </c:pt>
                <c:pt idx="1284">
                  <c:v>42775.0</c:v>
                </c:pt>
                <c:pt idx="1285">
                  <c:v>42776.0</c:v>
                </c:pt>
                <c:pt idx="1286">
                  <c:v>42779.0</c:v>
                </c:pt>
                <c:pt idx="1287">
                  <c:v>42780.0</c:v>
                </c:pt>
                <c:pt idx="1288">
                  <c:v>42781.0</c:v>
                </c:pt>
                <c:pt idx="1289">
                  <c:v>42782.0</c:v>
                </c:pt>
                <c:pt idx="1290">
                  <c:v>42783.0</c:v>
                </c:pt>
                <c:pt idx="1291">
                  <c:v>42787.0</c:v>
                </c:pt>
                <c:pt idx="1292">
                  <c:v>42788.0</c:v>
                </c:pt>
                <c:pt idx="1293">
                  <c:v>42789.0</c:v>
                </c:pt>
                <c:pt idx="1294">
                  <c:v>42790.0</c:v>
                </c:pt>
                <c:pt idx="1295">
                  <c:v>42793.0</c:v>
                </c:pt>
                <c:pt idx="1296">
                  <c:v>42794.0</c:v>
                </c:pt>
                <c:pt idx="1297">
                  <c:v>42795.0</c:v>
                </c:pt>
                <c:pt idx="1298">
                  <c:v>42796.0</c:v>
                </c:pt>
                <c:pt idx="1299">
                  <c:v>42797.0</c:v>
                </c:pt>
                <c:pt idx="1300">
                  <c:v>42800.0</c:v>
                </c:pt>
                <c:pt idx="1301">
                  <c:v>42801.0</c:v>
                </c:pt>
                <c:pt idx="1302">
                  <c:v>42802.0</c:v>
                </c:pt>
                <c:pt idx="1303">
                  <c:v>42803.0</c:v>
                </c:pt>
                <c:pt idx="1304">
                  <c:v>42804.0</c:v>
                </c:pt>
                <c:pt idx="1305">
                  <c:v>42807.0</c:v>
                </c:pt>
                <c:pt idx="1306">
                  <c:v>42808.0</c:v>
                </c:pt>
                <c:pt idx="1307">
                  <c:v>42809.0</c:v>
                </c:pt>
                <c:pt idx="1308">
                  <c:v>42810.0</c:v>
                </c:pt>
                <c:pt idx="1309">
                  <c:v>42811.0</c:v>
                </c:pt>
                <c:pt idx="1310">
                  <c:v>42814.0</c:v>
                </c:pt>
                <c:pt idx="1311">
                  <c:v>42815.0</c:v>
                </c:pt>
                <c:pt idx="1312">
                  <c:v>42816.0</c:v>
                </c:pt>
                <c:pt idx="1313">
                  <c:v>42817.0</c:v>
                </c:pt>
                <c:pt idx="1314">
                  <c:v>42818.0</c:v>
                </c:pt>
                <c:pt idx="1315">
                  <c:v>42821.0</c:v>
                </c:pt>
                <c:pt idx="1316">
                  <c:v>42822.0</c:v>
                </c:pt>
                <c:pt idx="1317">
                  <c:v>42823.0</c:v>
                </c:pt>
                <c:pt idx="1318">
                  <c:v>42824.0</c:v>
                </c:pt>
                <c:pt idx="1319">
                  <c:v>42825.0</c:v>
                </c:pt>
                <c:pt idx="1320">
                  <c:v>42828.0</c:v>
                </c:pt>
                <c:pt idx="1321">
                  <c:v>42829.0</c:v>
                </c:pt>
                <c:pt idx="1322">
                  <c:v>42830.0</c:v>
                </c:pt>
                <c:pt idx="1323">
                  <c:v>42831.0</c:v>
                </c:pt>
                <c:pt idx="1324">
                  <c:v>42832.0</c:v>
                </c:pt>
                <c:pt idx="1325">
                  <c:v>42835.0</c:v>
                </c:pt>
                <c:pt idx="1326">
                  <c:v>42836.0</c:v>
                </c:pt>
                <c:pt idx="1327">
                  <c:v>42837.0</c:v>
                </c:pt>
                <c:pt idx="1328">
                  <c:v>42838.0</c:v>
                </c:pt>
                <c:pt idx="1329">
                  <c:v>42842.0</c:v>
                </c:pt>
                <c:pt idx="1330">
                  <c:v>42843.0</c:v>
                </c:pt>
                <c:pt idx="1331">
                  <c:v>42844.0</c:v>
                </c:pt>
                <c:pt idx="1332">
                  <c:v>42845.0</c:v>
                </c:pt>
                <c:pt idx="1333">
                  <c:v>42846.0</c:v>
                </c:pt>
                <c:pt idx="1334">
                  <c:v>42849.0</c:v>
                </c:pt>
                <c:pt idx="1335">
                  <c:v>42850.0</c:v>
                </c:pt>
                <c:pt idx="1336">
                  <c:v>42851.0</c:v>
                </c:pt>
                <c:pt idx="1337">
                  <c:v>42852.0</c:v>
                </c:pt>
                <c:pt idx="1338">
                  <c:v>42853.0</c:v>
                </c:pt>
                <c:pt idx="1339">
                  <c:v>42856.0</c:v>
                </c:pt>
                <c:pt idx="1340">
                  <c:v>42857.0</c:v>
                </c:pt>
                <c:pt idx="1341">
                  <c:v>42858.0</c:v>
                </c:pt>
                <c:pt idx="1342">
                  <c:v>42859.0</c:v>
                </c:pt>
                <c:pt idx="1343">
                  <c:v>42860.0</c:v>
                </c:pt>
                <c:pt idx="1344">
                  <c:v>42863.0</c:v>
                </c:pt>
                <c:pt idx="1345">
                  <c:v>42864.0</c:v>
                </c:pt>
                <c:pt idx="1346">
                  <c:v>42865.0</c:v>
                </c:pt>
                <c:pt idx="1347">
                  <c:v>42866.0</c:v>
                </c:pt>
                <c:pt idx="1348">
                  <c:v>42867.0</c:v>
                </c:pt>
                <c:pt idx="1349">
                  <c:v>42870.0</c:v>
                </c:pt>
                <c:pt idx="1350">
                  <c:v>42871.0</c:v>
                </c:pt>
                <c:pt idx="1351">
                  <c:v>42872.0</c:v>
                </c:pt>
                <c:pt idx="1352">
                  <c:v>42873.0</c:v>
                </c:pt>
                <c:pt idx="1353">
                  <c:v>42874.0</c:v>
                </c:pt>
                <c:pt idx="1354">
                  <c:v>42877.0</c:v>
                </c:pt>
                <c:pt idx="1355">
                  <c:v>42878.0</c:v>
                </c:pt>
                <c:pt idx="1356">
                  <c:v>42879.0</c:v>
                </c:pt>
                <c:pt idx="1357">
                  <c:v>42880.0</c:v>
                </c:pt>
                <c:pt idx="1358">
                  <c:v>42881.0</c:v>
                </c:pt>
                <c:pt idx="1359">
                  <c:v>42885.0</c:v>
                </c:pt>
                <c:pt idx="1360">
                  <c:v>42886.0</c:v>
                </c:pt>
                <c:pt idx="1361">
                  <c:v>42887.0</c:v>
                </c:pt>
                <c:pt idx="1362">
                  <c:v>42888.0</c:v>
                </c:pt>
                <c:pt idx="1363">
                  <c:v>42891.0</c:v>
                </c:pt>
                <c:pt idx="1364">
                  <c:v>42892.0</c:v>
                </c:pt>
                <c:pt idx="1365">
                  <c:v>42893.0</c:v>
                </c:pt>
                <c:pt idx="1366">
                  <c:v>42894.0</c:v>
                </c:pt>
                <c:pt idx="1367">
                  <c:v>42895.0</c:v>
                </c:pt>
                <c:pt idx="1368">
                  <c:v>42898.0</c:v>
                </c:pt>
                <c:pt idx="1369">
                  <c:v>42899.0</c:v>
                </c:pt>
                <c:pt idx="1370">
                  <c:v>42900.0</c:v>
                </c:pt>
                <c:pt idx="1371">
                  <c:v>42901.0</c:v>
                </c:pt>
                <c:pt idx="1372">
                  <c:v>42902.0</c:v>
                </c:pt>
                <c:pt idx="1373">
                  <c:v>42905.0</c:v>
                </c:pt>
                <c:pt idx="1374">
                  <c:v>42906.0</c:v>
                </c:pt>
                <c:pt idx="1375">
                  <c:v>42907.0</c:v>
                </c:pt>
                <c:pt idx="1376">
                  <c:v>42908.0</c:v>
                </c:pt>
                <c:pt idx="1377">
                  <c:v>42909.0</c:v>
                </c:pt>
                <c:pt idx="1378">
                  <c:v>42912.0</c:v>
                </c:pt>
                <c:pt idx="1379">
                  <c:v>42913.0</c:v>
                </c:pt>
                <c:pt idx="1380">
                  <c:v>42914.0</c:v>
                </c:pt>
                <c:pt idx="1381">
                  <c:v>42915.0</c:v>
                </c:pt>
                <c:pt idx="1382">
                  <c:v>42916.0</c:v>
                </c:pt>
                <c:pt idx="1383">
                  <c:v>42919.0</c:v>
                </c:pt>
                <c:pt idx="1384">
                  <c:v>42921.0</c:v>
                </c:pt>
                <c:pt idx="1385">
                  <c:v>42922.0</c:v>
                </c:pt>
                <c:pt idx="1386">
                  <c:v>42923.0</c:v>
                </c:pt>
                <c:pt idx="1387">
                  <c:v>42926.0</c:v>
                </c:pt>
                <c:pt idx="1388">
                  <c:v>42927.0</c:v>
                </c:pt>
                <c:pt idx="1389">
                  <c:v>42928.0</c:v>
                </c:pt>
                <c:pt idx="1390">
                  <c:v>42929.0</c:v>
                </c:pt>
                <c:pt idx="1391">
                  <c:v>42930.0</c:v>
                </c:pt>
                <c:pt idx="1392">
                  <c:v>42933.0</c:v>
                </c:pt>
                <c:pt idx="1393">
                  <c:v>42934.0</c:v>
                </c:pt>
                <c:pt idx="1394">
                  <c:v>42935.0</c:v>
                </c:pt>
                <c:pt idx="1395">
                  <c:v>42936.0</c:v>
                </c:pt>
                <c:pt idx="1396">
                  <c:v>42937.0</c:v>
                </c:pt>
                <c:pt idx="1397">
                  <c:v>42940.0</c:v>
                </c:pt>
                <c:pt idx="1398">
                  <c:v>42941.0</c:v>
                </c:pt>
                <c:pt idx="1399">
                  <c:v>42942.0</c:v>
                </c:pt>
                <c:pt idx="1400">
                  <c:v>42943.0</c:v>
                </c:pt>
                <c:pt idx="1401">
                  <c:v>42944.0</c:v>
                </c:pt>
                <c:pt idx="1402">
                  <c:v>42947.0</c:v>
                </c:pt>
                <c:pt idx="1403">
                  <c:v>42948.0</c:v>
                </c:pt>
                <c:pt idx="1404">
                  <c:v>42949.0</c:v>
                </c:pt>
                <c:pt idx="1405">
                  <c:v>42950.0</c:v>
                </c:pt>
                <c:pt idx="1406">
                  <c:v>42951.0</c:v>
                </c:pt>
                <c:pt idx="1407">
                  <c:v>42954.0</c:v>
                </c:pt>
                <c:pt idx="1408">
                  <c:v>42955.0</c:v>
                </c:pt>
                <c:pt idx="1409">
                  <c:v>42956.0</c:v>
                </c:pt>
                <c:pt idx="1410">
                  <c:v>42957.0</c:v>
                </c:pt>
                <c:pt idx="1411">
                  <c:v>42958.0</c:v>
                </c:pt>
                <c:pt idx="1412">
                  <c:v>42961.0</c:v>
                </c:pt>
                <c:pt idx="1413">
                  <c:v>42962.0</c:v>
                </c:pt>
                <c:pt idx="1414">
                  <c:v>42963.0</c:v>
                </c:pt>
                <c:pt idx="1415">
                  <c:v>42964.0</c:v>
                </c:pt>
                <c:pt idx="1416">
                  <c:v>42965.0</c:v>
                </c:pt>
                <c:pt idx="1417">
                  <c:v>42968.0</c:v>
                </c:pt>
                <c:pt idx="1418">
                  <c:v>42969.0</c:v>
                </c:pt>
                <c:pt idx="1419">
                  <c:v>42970.0</c:v>
                </c:pt>
                <c:pt idx="1420">
                  <c:v>42971.0</c:v>
                </c:pt>
                <c:pt idx="1421">
                  <c:v>42972.0</c:v>
                </c:pt>
                <c:pt idx="1422">
                  <c:v>42975.0</c:v>
                </c:pt>
                <c:pt idx="1423">
                  <c:v>42976.0</c:v>
                </c:pt>
                <c:pt idx="1424">
                  <c:v>42977.0</c:v>
                </c:pt>
                <c:pt idx="1425">
                  <c:v>42978.0</c:v>
                </c:pt>
                <c:pt idx="1426">
                  <c:v>42979.0</c:v>
                </c:pt>
                <c:pt idx="1427">
                  <c:v>42983.0</c:v>
                </c:pt>
                <c:pt idx="1428">
                  <c:v>42984.0</c:v>
                </c:pt>
                <c:pt idx="1429">
                  <c:v>42985.0</c:v>
                </c:pt>
                <c:pt idx="1430">
                  <c:v>42986.0</c:v>
                </c:pt>
                <c:pt idx="1431">
                  <c:v>42989.0</c:v>
                </c:pt>
                <c:pt idx="1432">
                  <c:v>42990.0</c:v>
                </c:pt>
                <c:pt idx="1433">
                  <c:v>42991.0</c:v>
                </c:pt>
                <c:pt idx="1434">
                  <c:v>42992.0</c:v>
                </c:pt>
                <c:pt idx="1435">
                  <c:v>42993.0</c:v>
                </c:pt>
                <c:pt idx="1436">
                  <c:v>42996.0</c:v>
                </c:pt>
                <c:pt idx="1437">
                  <c:v>42997.0</c:v>
                </c:pt>
                <c:pt idx="1438">
                  <c:v>42998.0</c:v>
                </c:pt>
                <c:pt idx="1439">
                  <c:v>42999.0</c:v>
                </c:pt>
                <c:pt idx="1440">
                  <c:v>43000.0</c:v>
                </c:pt>
                <c:pt idx="1441">
                  <c:v>43003.0</c:v>
                </c:pt>
                <c:pt idx="1442">
                  <c:v>43004.0</c:v>
                </c:pt>
                <c:pt idx="1443">
                  <c:v>43005.0</c:v>
                </c:pt>
                <c:pt idx="1444">
                  <c:v>43006.0</c:v>
                </c:pt>
                <c:pt idx="1445">
                  <c:v>43007.0</c:v>
                </c:pt>
                <c:pt idx="1446">
                  <c:v>43010.0</c:v>
                </c:pt>
                <c:pt idx="1447">
                  <c:v>43011.0</c:v>
                </c:pt>
                <c:pt idx="1448">
                  <c:v>43012.0</c:v>
                </c:pt>
                <c:pt idx="1449">
                  <c:v>43013.0</c:v>
                </c:pt>
                <c:pt idx="1450">
                  <c:v>43014.0</c:v>
                </c:pt>
                <c:pt idx="1451">
                  <c:v>43017.0</c:v>
                </c:pt>
                <c:pt idx="1452">
                  <c:v>43018.0</c:v>
                </c:pt>
                <c:pt idx="1453">
                  <c:v>43019.0</c:v>
                </c:pt>
                <c:pt idx="1454">
                  <c:v>43020.0</c:v>
                </c:pt>
                <c:pt idx="1455">
                  <c:v>43021.0</c:v>
                </c:pt>
                <c:pt idx="1456">
                  <c:v>43024.0</c:v>
                </c:pt>
                <c:pt idx="1457">
                  <c:v>43025.0</c:v>
                </c:pt>
                <c:pt idx="1458">
                  <c:v>43026.0</c:v>
                </c:pt>
                <c:pt idx="1459">
                  <c:v>43027.0</c:v>
                </c:pt>
                <c:pt idx="1460">
                  <c:v>43028.0</c:v>
                </c:pt>
                <c:pt idx="1461">
                  <c:v>43031.0</c:v>
                </c:pt>
                <c:pt idx="1462">
                  <c:v>43032.0</c:v>
                </c:pt>
                <c:pt idx="1463">
                  <c:v>43033.0</c:v>
                </c:pt>
                <c:pt idx="1464">
                  <c:v>43034.0</c:v>
                </c:pt>
                <c:pt idx="1465">
                  <c:v>43035.0</c:v>
                </c:pt>
                <c:pt idx="1466">
                  <c:v>43038.0</c:v>
                </c:pt>
                <c:pt idx="1467">
                  <c:v>43039.0</c:v>
                </c:pt>
                <c:pt idx="1468">
                  <c:v>43040.0</c:v>
                </c:pt>
                <c:pt idx="1469">
                  <c:v>43041.0</c:v>
                </c:pt>
                <c:pt idx="1470">
                  <c:v>43042.0</c:v>
                </c:pt>
                <c:pt idx="1471">
                  <c:v>43045.0</c:v>
                </c:pt>
                <c:pt idx="1472">
                  <c:v>43046.0</c:v>
                </c:pt>
                <c:pt idx="1473">
                  <c:v>43047.0</c:v>
                </c:pt>
                <c:pt idx="1474">
                  <c:v>43048.0</c:v>
                </c:pt>
                <c:pt idx="1475">
                  <c:v>43049.0</c:v>
                </c:pt>
                <c:pt idx="1476">
                  <c:v>43052.0</c:v>
                </c:pt>
                <c:pt idx="1477">
                  <c:v>43053.0</c:v>
                </c:pt>
                <c:pt idx="1478">
                  <c:v>43054.0</c:v>
                </c:pt>
                <c:pt idx="1479">
                  <c:v>43055.0</c:v>
                </c:pt>
                <c:pt idx="1480">
                  <c:v>43056.0</c:v>
                </c:pt>
              </c:numCache>
            </c:numRef>
          </c:cat>
          <c:val>
            <c:numRef>
              <c:f>Sheet1!$AA$10:$AA$1490</c:f>
              <c:numCache>
                <c:formatCode>0.00%</c:formatCode>
                <c:ptCount val="1481"/>
                <c:pt idx="0">
                  <c:v>0.00285029677540609</c:v>
                </c:pt>
                <c:pt idx="1">
                  <c:v>0.0117613894413731</c:v>
                </c:pt>
                <c:pt idx="2">
                  <c:v>0.012074608867242</c:v>
                </c:pt>
                <c:pt idx="3">
                  <c:v>0.0144394155325514</c:v>
                </c:pt>
                <c:pt idx="4">
                  <c:v>0.00942007423300391</c:v>
                </c:pt>
                <c:pt idx="5">
                  <c:v>0.0130064366592017</c:v>
                </c:pt>
                <c:pt idx="6">
                  <c:v>0.024258844533538</c:v>
                </c:pt>
                <c:pt idx="7">
                  <c:v>0.029317338261319</c:v>
                </c:pt>
                <c:pt idx="8">
                  <c:v>0.0300064209982304</c:v>
                </c:pt>
                <c:pt idx="9">
                  <c:v>0.030491911108327</c:v>
                </c:pt>
                <c:pt idx="10">
                  <c:v>0.0294347955460199</c:v>
                </c:pt>
                <c:pt idx="11">
                  <c:v>0.0383615491832804</c:v>
                </c:pt>
                <c:pt idx="12">
                  <c:v>0.0323947191204799</c:v>
                </c:pt>
                <c:pt idx="13">
                  <c:v>0.0307503171346687</c:v>
                </c:pt>
                <c:pt idx="14">
                  <c:v>0.0281505958999577</c:v>
                </c:pt>
                <c:pt idx="15">
                  <c:v>0.0276807667611546</c:v>
                </c:pt>
                <c:pt idx="16">
                  <c:v>0.0368267739965232</c:v>
                </c:pt>
                <c:pt idx="17">
                  <c:v>0.0379621944152976</c:v>
                </c:pt>
                <c:pt idx="18">
                  <c:v>0.0531220146273473</c:v>
                </c:pt>
                <c:pt idx="19">
                  <c:v>0.0526756769454841</c:v>
                </c:pt>
                <c:pt idx="20">
                  <c:v>0.0548055690413919</c:v>
                </c:pt>
                <c:pt idx="21">
                  <c:v>0.0570842403645875</c:v>
                </c:pt>
                <c:pt idx="22">
                  <c:v>0.0586425070082847</c:v>
                </c:pt>
                <c:pt idx="23">
                  <c:v>0.0513523248711886</c:v>
                </c:pt>
                <c:pt idx="24">
                  <c:v>0.0585015582666437</c:v>
                </c:pt>
                <c:pt idx="25">
                  <c:v>0.0575070865895103</c:v>
                </c:pt>
                <c:pt idx="26">
                  <c:v>0.051814323524345</c:v>
                </c:pt>
                <c:pt idx="27">
                  <c:v>0.063411272767137</c:v>
                </c:pt>
                <c:pt idx="28">
                  <c:v>0.0659091976884407</c:v>
                </c:pt>
                <c:pt idx="29">
                  <c:v>0.0666765852818192</c:v>
                </c:pt>
                <c:pt idx="30">
                  <c:v>0.0631137143125618</c:v>
                </c:pt>
                <c:pt idx="31">
                  <c:v>0.0676553959876592</c:v>
                </c:pt>
                <c:pt idx="32">
                  <c:v>0.0694407467151113</c:v>
                </c:pt>
                <c:pt idx="33">
                  <c:v>0.0708893865597544</c:v>
                </c:pt>
                <c:pt idx="34">
                  <c:v>0.0744835794715989</c:v>
                </c:pt>
                <c:pt idx="35">
                  <c:v>0.069393763801231</c:v>
                </c:pt>
                <c:pt idx="36">
                  <c:v>0.0759792022301223</c:v>
                </c:pt>
                <c:pt idx="37">
                  <c:v>0.0724868056316854</c:v>
                </c:pt>
                <c:pt idx="38">
                  <c:v>0.0683366482389238</c:v>
                </c:pt>
                <c:pt idx="39">
                  <c:v>0.0519161198377523</c:v>
                </c:pt>
                <c:pt idx="40">
                  <c:v>0.0591749800322617</c:v>
                </c:pt>
                <c:pt idx="41">
                  <c:v>0.0695738649711056</c:v>
                </c:pt>
                <c:pt idx="42">
                  <c:v>0.0734577858518785</c:v>
                </c:pt>
                <c:pt idx="43">
                  <c:v>0.0736300565361063</c:v>
                </c:pt>
                <c:pt idx="44">
                  <c:v>0.0930966438538519</c:v>
                </c:pt>
                <c:pt idx="45">
                  <c:v>0.0917889527508496</c:v>
                </c:pt>
                <c:pt idx="46">
                  <c:v>0.0983039168089204</c:v>
                </c:pt>
                <c:pt idx="47">
                  <c:v>0.0995333030554556</c:v>
                </c:pt>
                <c:pt idx="48">
                  <c:v>0.103902714046325</c:v>
                </c:pt>
                <c:pt idx="49">
                  <c:v>0.100590418617763</c:v>
                </c:pt>
                <c:pt idx="50">
                  <c:v>0.0985310008926755</c:v>
                </c:pt>
                <c:pt idx="51">
                  <c:v>0.0906143799038416</c:v>
                </c:pt>
                <c:pt idx="52">
                  <c:v>0.0940049801888713</c:v>
                </c:pt>
                <c:pt idx="53">
                  <c:v>0.109196122343508</c:v>
                </c:pt>
                <c:pt idx="54">
                  <c:v>0.106071758570467</c:v>
                </c:pt>
                <c:pt idx="55">
                  <c:v>0.100606079589056</c:v>
                </c:pt>
                <c:pt idx="56">
                  <c:v>0.0988363898328974</c:v>
                </c:pt>
                <c:pt idx="57">
                  <c:v>0.102900411883545</c:v>
                </c:pt>
                <c:pt idx="58">
                  <c:v>0.111177235212128</c:v>
                </c:pt>
                <c:pt idx="59">
                  <c:v>0.106745180336085</c:v>
                </c:pt>
                <c:pt idx="60">
                  <c:v>0.0954536200335145</c:v>
                </c:pt>
                <c:pt idx="61">
                  <c:v>0.0947645372966031</c:v>
                </c:pt>
                <c:pt idx="62">
                  <c:v>0.0823297260896121</c:v>
                </c:pt>
                <c:pt idx="63">
                  <c:v>0.0638419494777066</c:v>
                </c:pt>
                <c:pt idx="64">
                  <c:v>0.0717664009521871</c:v>
                </c:pt>
                <c:pt idx="65">
                  <c:v>0.0865346968819006</c:v>
                </c:pt>
                <c:pt idx="66">
                  <c:v>0.0729801262274287</c:v>
                </c:pt>
                <c:pt idx="67">
                  <c:v>0.0724398227178049</c:v>
                </c:pt>
                <c:pt idx="68">
                  <c:v>0.0890482827744977</c:v>
                </c:pt>
                <c:pt idx="69">
                  <c:v>0.0846318888697478</c:v>
                </c:pt>
                <c:pt idx="70">
                  <c:v>0.0781952296681441</c:v>
                </c:pt>
                <c:pt idx="71">
                  <c:v>0.0794559378572659</c:v>
                </c:pt>
                <c:pt idx="72">
                  <c:v>0.0703804049927177</c:v>
                </c:pt>
                <c:pt idx="73">
                  <c:v>0.0743191392730178</c:v>
                </c:pt>
                <c:pt idx="74">
                  <c:v>0.0889778084036773</c:v>
                </c:pt>
                <c:pt idx="75">
                  <c:v>0.0962523295694799</c:v>
                </c:pt>
                <c:pt idx="76">
                  <c:v>0.0988990337180711</c:v>
                </c:pt>
                <c:pt idx="77">
                  <c:v>0.094631419040609</c:v>
                </c:pt>
                <c:pt idx="78">
                  <c:v>0.100825333187164</c:v>
                </c:pt>
                <c:pt idx="79">
                  <c:v>0.0980768327251656</c:v>
                </c:pt>
                <c:pt idx="80">
                  <c:v>0.0896668911405885</c:v>
                </c:pt>
                <c:pt idx="81">
                  <c:v>0.0720717898924091</c:v>
                </c:pt>
                <c:pt idx="82">
                  <c:v>0.0724476532034517</c:v>
                </c:pt>
                <c:pt idx="83">
                  <c:v>0.0678589886144739</c:v>
                </c:pt>
                <c:pt idx="84">
                  <c:v>0.0607019247333719</c:v>
                </c:pt>
                <c:pt idx="85">
                  <c:v>0.0633721203389035</c:v>
                </c:pt>
                <c:pt idx="86">
                  <c:v>0.0597700969414124</c:v>
                </c:pt>
                <c:pt idx="87">
                  <c:v>0.0479930465287457</c:v>
                </c:pt>
                <c:pt idx="88">
                  <c:v>0.0419714030664183</c:v>
                </c:pt>
                <c:pt idx="89">
                  <c:v>0.0373827384774404</c:v>
                </c:pt>
                <c:pt idx="90">
                  <c:v>0.021768750097881</c:v>
                </c:pt>
                <c:pt idx="91">
                  <c:v>0.0142201619344432</c:v>
                </c:pt>
                <c:pt idx="92">
                  <c:v>0.0304840806226803</c:v>
                </c:pt>
                <c:pt idx="93">
                  <c:v>0.0309852317040704</c:v>
                </c:pt>
                <c:pt idx="94">
                  <c:v>0.0327314300032888</c:v>
                </c:pt>
                <c:pt idx="95">
                  <c:v>0.0341565783909919</c:v>
                </c:pt>
                <c:pt idx="96">
                  <c:v>0.0319170594960299</c:v>
                </c:pt>
                <c:pt idx="97">
                  <c:v>0.043349568540241</c:v>
                </c:pt>
                <c:pt idx="98">
                  <c:v>0.028393340955006</c:v>
                </c:pt>
                <c:pt idx="99">
                  <c:v>0.0260520257466368</c:v>
                </c:pt>
                <c:pt idx="100">
                  <c:v>0.000767387593378555</c:v>
                </c:pt>
                <c:pt idx="101">
                  <c:v>0.000877014392432711</c:v>
                </c:pt>
                <c:pt idx="102">
                  <c:v>0.00660892988583156</c:v>
                </c:pt>
                <c:pt idx="103">
                  <c:v>0.0298106588570624</c:v>
                </c:pt>
                <c:pt idx="104">
                  <c:v>0.0297010320580083</c:v>
                </c:pt>
                <c:pt idx="105">
                  <c:v>0.0380561602430584</c:v>
                </c:pt>
                <c:pt idx="106">
                  <c:v>0.0249557577560961</c:v>
                </c:pt>
                <c:pt idx="107">
                  <c:v>0.0368972483673438</c:v>
                </c:pt>
                <c:pt idx="108">
                  <c:v>0.0296148967158944</c:v>
                </c:pt>
                <c:pt idx="109">
                  <c:v>0.0407498473055299</c:v>
                </c:pt>
                <c:pt idx="110">
                  <c:v>0.0515089345841229</c:v>
                </c:pt>
                <c:pt idx="111">
                  <c:v>0.0530280487995866</c:v>
                </c:pt>
                <c:pt idx="112">
                  <c:v>0.0633642898532567</c:v>
                </c:pt>
                <c:pt idx="113">
                  <c:v>0.0615711086401579</c:v>
                </c:pt>
                <c:pt idx="114">
                  <c:v>0.0379387029583575</c:v>
                </c:pt>
                <c:pt idx="115">
                  <c:v>0.045385494808388</c:v>
                </c:pt>
                <c:pt idx="116">
                  <c:v>0.0287065603808749</c:v>
                </c:pt>
                <c:pt idx="117">
                  <c:v>0.0336162748813682</c:v>
                </c:pt>
                <c:pt idx="118">
                  <c:v>0.0429032308583778</c:v>
                </c:pt>
                <c:pt idx="119">
                  <c:v>0.0407028643916496</c:v>
                </c:pt>
                <c:pt idx="120">
                  <c:v>0.0666374328535857</c:v>
                </c:pt>
                <c:pt idx="121">
                  <c:v>0.0692606455452367</c:v>
                </c:pt>
                <c:pt idx="122">
                  <c:v>0.0759243888305953</c:v>
                </c:pt>
                <c:pt idx="123">
                  <c:v>0.0708815560741077</c:v>
                </c:pt>
                <c:pt idx="124">
                  <c:v>0.0607802295898392</c:v>
                </c:pt>
                <c:pt idx="125">
                  <c:v>0.0590418617762674</c:v>
                </c:pt>
                <c:pt idx="126">
                  <c:v>0.0504361580505223</c:v>
                </c:pt>
                <c:pt idx="127">
                  <c:v>0.0504204970792289</c:v>
                </c:pt>
                <c:pt idx="128">
                  <c:v>0.0451819021815733</c:v>
                </c:pt>
                <c:pt idx="129">
                  <c:v>0.0624246315756503</c:v>
                </c:pt>
                <c:pt idx="130">
                  <c:v>0.0599658590825804</c:v>
                </c:pt>
                <c:pt idx="131">
                  <c:v>0.0678198361862404</c:v>
                </c:pt>
                <c:pt idx="132">
                  <c:v>0.074953408610402</c:v>
                </c:pt>
                <c:pt idx="133">
                  <c:v>0.0778741797566285</c:v>
                </c:pt>
                <c:pt idx="134">
                  <c:v>0.0670289571359217</c:v>
                </c:pt>
                <c:pt idx="135">
                  <c:v>0.0575227475608037</c:v>
                </c:pt>
                <c:pt idx="136">
                  <c:v>0.0479617245861588</c:v>
                </c:pt>
                <c:pt idx="137">
                  <c:v>0.0476328441889967</c:v>
                </c:pt>
                <c:pt idx="138">
                  <c:v>0.0649617089251876</c:v>
                </c:pt>
                <c:pt idx="139">
                  <c:v>0.0852818191784255</c:v>
                </c:pt>
                <c:pt idx="140">
                  <c:v>0.0847571766400952</c:v>
                </c:pt>
                <c:pt idx="141">
                  <c:v>0.0800745462233568</c:v>
                </c:pt>
                <c:pt idx="142">
                  <c:v>0.076801403223028</c:v>
                </c:pt>
                <c:pt idx="143">
                  <c:v>0.068861290777254</c:v>
                </c:pt>
                <c:pt idx="144">
                  <c:v>0.0892127229730788</c:v>
                </c:pt>
                <c:pt idx="145">
                  <c:v>0.091749800322616</c:v>
                </c:pt>
                <c:pt idx="146">
                  <c:v>0.0973251061030805</c:v>
                </c:pt>
                <c:pt idx="147">
                  <c:v>0.0980063583543452</c:v>
                </c:pt>
                <c:pt idx="148">
                  <c:v>0.0984605265218549</c:v>
                </c:pt>
                <c:pt idx="149">
                  <c:v>0.100864485615398</c:v>
                </c:pt>
                <c:pt idx="150">
                  <c:v>0.0994863201415751</c:v>
                </c:pt>
                <c:pt idx="151">
                  <c:v>0.0993453713999343</c:v>
                </c:pt>
                <c:pt idx="152">
                  <c:v>0.100598249103409</c:v>
                </c:pt>
                <c:pt idx="153">
                  <c:v>0.108413073778836</c:v>
                </c:pt>
                <c:pt idx="154">
                  <c:v>0.110488152475217</c:v>
                </c:pt>
                <c:pt idx="155">
                  <c:v>0.110464661018276</c:v>
                </c:pt>
                <c:pt idx="156">
                  <c:v>0.106580740137503</c:v>
                </c:pt>
                <c:pt idx="157">
                  <c:v>0.106831315678198</c:v>
                </c:pt>
                <c:pt idx="158">
                  <c:v>0.097896731555291</c:v>
                </c:pt>
                <c:pt idx="159">
                  <c:v>0.104983321065573</c:v>
                </c:pt>
                <c:pt idx="160">
                  <c:v>0.104443017555949</c:v>
                </c:pt>
                <c:pt idx="161">
                  <c:v>0.103550342192223</c:v>
                </c:pt>
                <c:pt idx="162">
                  <c:v>0.104482169984182</c:v>
                </c:pt>
                <c:pt idx="163">
                  <c:v>0.0958608052871439</c:v>
                </c:pt>
                <c:pt idx="164">
                  <c:v>0.101420450096315</c:v>
                </c:pt>
                <c:pt idx="165">
                  <c:v>0.100136250450253</c:v>
                </c:pt>
                <c:pt idx="166">
                  <c:v>0.098961677603245</c:v>
                </c:pt>
                <c:pt idx="167">
                  <c:v>0.121419510438037</c:v>
                </c:pt>
                <c:pt idx="168">
                  <c:v>0.125961192113135</c:v>
                </c:pt>
                <c:pt idx="169">
                  <c:v>0.119039042801435</c:v>
                </c:pt>
                <c:pt idx="170">
                  <c:v>0.122547100371165</c:v>
                </c:pt>
                <c:pt idx="171">
                  <c:v>0.124896246065181</c:v>
                </c:pt>
                <c:pt idx="172">
                  <c:v>0.143243073935446</c:v>
                </c:pt>
                <c:pt idx="173">
                  <c:v>0.14776909463925</c:v>
                </c:pt>
                <c:pt idx="174">
                  <c:v>0.144182732213052</c:v>
                </c:pt>
                <c:pt idx="175">
                  <c:v>0.142718431397115</c:v>
                </c:pt>
                <c:pt idx="176">
                  <c:v>0.144073105413998</c:v>
                </c:pt>
                <c:pt idx="177">
                  <c:v>0.143454497047907</c:v>
                </c:pt>
                <c:pt idx="178">
                  <c:v>0.143368361705793</c:v>
                </c:pt>
                <c:pt idx="179">
                  <c:v>0.140815623384962</c:v>
                </c:pt>
                <c:pt idx="180">
                  <c:v>0.128834980345481</c:v>
                </c:pt>
                <c:pt idx="181">
                  <c:v>0.122359168715644</c:v>
                </c:pt>
                <c:pt idx="182">
                  <c:v>0.133188730365057</c:v>
                </c:pt>
                <c:pt idx="183">
                  <c:v>0.128114575665983</c:v>
                </c:pt>
                <c:pt idx="184">
                  <c:v>0.13110582118303</c:v>
                </c:pt>
                <c:pt idx="185">
                  <c:v>0.132092462374517</c:v>
                </c:pt>
                <c:pt idx="186">
                  <c:v>0.136195636853398</c:v>
                </c:pt>
                <c:pt idx="187">
                  <c:v>0.144347172411633</c:v>
                </c:pt>
                <c:pt idx="188">
                  <c:v>0.143979139586237</c:v>
                </c:pt>
                <c:pt idx="189">
                  <c:v>0.140024744334644</c:v>
                </c:pt>
                <c:pt idx="190">
                  <c:v>0.128748845003367</c:v>
                </c:pt>
                <c:pt idx="191">
                  <c:v>0.121764051806493</c:v>
                </c:pt>
                <c:pt idx="192">
                  <c:v>0.121983305404601</c:v>
                </c:pt>
                <c:pt idx="193">
                  <c:v>0.118655349004745</c:v>
                </c:pt>
                <c:pt idx="194">
                  <c:v>0.12769172944106</c:v>
                </c:pt>
                <c:pt idx="195">
                  <c:v>0.139273017712559</c:v>
                </c:pt>
                <c:pt idx="196">
                  <c:v>0.143963478614944</c:v>
                </c:pt>
                <c:pt idx="197">
                  <c:v>0.141167995239065</c:v>
                </c:pt>
                <c:pt idx="198">
                  <c:v>0.122257372402236</c:v>
                </c:pt>
                <c:pt idx="199">
                  <c:v>0.12275069299798</c:v>
                </c:pt>
                <c:pt idx="200">
                  <c:v>0.106533757223623</c:v>
                </c:pt>
                <c:pt idx="201">
                  <c:v>0.103119665481653</c:v>
                </c:pt>
                <c:pt idx="202">
                  <c:v>0.106424130424569</c:v>
                </c:pt>
                <c:pt idx="203">
                  <c:v>0.105617590402957</c:v>
                </c:pt>
                <c:pt idx="204">
                  <c:v>0.105789861087185</c:v>
                </c:pt>
                <c:pt idx="205">
                  <c:v>0.117872300440073</c:v>
                </c:pt>
                <c:pt idx="206">
                  <c:v>0.107387280159116</c:v>
                </c:pt>
                <c:pt idx="207">
                  <c:v>0.109783408767012</c:v>
                </c:pt>
                <c:pt idx="208">
                  <c:v>0.118498739291811</c:v>
                </c:pt>
                <c:pt idx="209">
                  <c:v>0.0919847148920176</c:v>
                </c:pt>
                <c:pt idx="210">
                  <c:v>0.0786572283213005</c:v>
                </c:pt>
                <c:pt idx="211">
                  <c:v>0.0804895619626329</c:v>
                </c:pt>
                <c:pt idx="212">
                  <c:v>0.0806305107042739</c:v>
                </c:pt>
                <c:pt idx="213">
                  <c:v>0.076323743598578</c:v>
                </c:pt>
                <c:pt idx="214">
                  <c:v>0.0614144989272235</c:v>
                </c:pt>
                <c:pt idx="215">
                  <c:v>0.059723114027532</c:v>
                </c:pt>
                <c:pt idx="216">
                  <c:v>0.0648520821261336</c:v>
                </c:pt>
                <c:pt idx="217">
                  <c:v>0.0860022238579238</c:v>
                </c:pt>
                <c:pt idx="218">
                  <c:v>0.0867226285374219</c:v>
                </c:pt>
                <c:pt idx="219">
                  <c:v>0.0892440449156657</c:v>
                </c:pt>
                <c:pt idx="220">
                  <c:v>0.103432884907522</c:v>
                </c:pt>
                <c:pt idx="221">
                  <c:v>0.10119336601256</c:v>
                </c:pt>
                <c:pt idx="222">
                  <c:v>0.0954379590622211</c:v>
                </c:pt>
                <c:pt idx="223">
                  <c:v>0.104043662787966</c:v>
                </c:pt>
                <c:pt idx="224">
                  <c:v>0.108757615147292</c:v>
                </c:pt>
                <c:pt idx="225">
                  <c:v>0.108937716317166</c:v>
                </c:pt>
                <c:pt idx="226">
                  <c:v>0.10367562996257</c:v>
                </c:pt>
                <c:pt idx="227">
                  <c:v>0.101788482921711</c:v>
                </c:pt>
                <c:pt idx="228">
                  <c:v>0.103534681220929</c:v>
                </c:pt>
                <c:pt idx="229">
                  <c:v>0.107183687532301</c:v>
                </c:pt>
                <c:pt idx="230">
                  <c:v>0.110417678104396</c:v>
                </c:pt>
                <c:pt idx="231">
                  <c:v>0.110793541415439</c:v>
                </c:pt>
                <c:pt idx="232">
                  <c:v>0.118068062581241</c:v>
                </c:pt>
                <c:pt idx="233">
                  <c:v>0.118569213662631</c:v>
                </c:pt>
                <c:pt idx="234">
                  <c:v>0.111498285123643</c:v>
                </c:pt>
                <c:pt idx="235">
                  <c:v>0.106901790049019</c:v>
                </c:pt>
                <c:pt idx="236">
                  <c:v>0.120041344964215</c:v>
                </c:pt>
                <c:pt idx="237">
                  <c:v>0.132906832881775</c:v>
                </c:pt>
                <c:pt idx="238">
                  <c:v>0.124308959641677</c:v>
                </c:pt>
                <c:pt idx="239">
                  <c:v>0.130479382331292</c:v>
                </c:pt>
                <c:pt idx="240">
                  <c:v>0.119876904765634</c:v>
                </c:pt>
                <c:pt idx="241">
                  <c:v>0.117144065274928</c:v>
                </c:pt>
                <c:pt idx="242">
                  <c:v>0.111795843578219</c:v>
                </c:pt>
                <c:pt idx="243">
                  <c:v>0.110441169561336</c:v>
                </c:pt>
                <c:pt idx="244">
                  <c:v>0.0981707985529263</c:v>
                </c:pt>
                <c:pt idx="245">
                  <c:v>0.116776032449533</c:v>
                </c:pt>
                <c:pt idx="246">
                  <c:v>0.145145881947598</c:v>
                </c:pt>
                <c:pt idx="247">
                  <c:v>0.142757583825349</c:v>
                </c:pt>
                <c:pt idx="248">
                  <c:v>0.14831722863452</c:v>
                </c:pt>
                <c:pt idx="249">
                  <c:v>0.144730866208322</c:v>
                </c:pt>
                <c:pt idx="250">
                  <c:v>0.141019216011777</c:v>
                </c:pt>
                <c:pt idx="251">
                  <c:v>0.144049613957058</c:v>
                </c:pt>
                <c:pt idx="252">
                  <c:v>0.152741453024917</c:v>
                </c:pt>
                <c:pt idx="253">
                  <c:v>0.15268663962539</c:v>
                </c:pt>
                <c:pt idx="254">
                  <c:v>0.151613863091789</c:v>
                </c:pt>
                <c:pt idx="255">
                  <c:v>0.152913723709144</c:v>
                </c:pt>
                <c:pt idx="256">
                  <c:v>0.153140807792899</c:v>
                </c:pt>
                <c:pt idx="257">
                  <c:v>0.159647941365324</c:v>
                </c:pt>
                <c:pt idx="258">
                  <c:v>0.16359450613127</c:v>
                </c:pt>
                <c:pt idx="259">
                  <c:v>0.168746965686812</c:v>
                </c:pt>
                <c:pt idx="260">
                  <c:v>0.170508824957324</c:v>
                </c:pt>
                <c:pt idx="261">
                  <c:v>0.170516655442971</c:v>
                </c:pt>
                <c:pt idx="262">
                  <c:v>0.176890670759401</c:v>
                </c:pt>
                <c:pt idx="263">
                  <c:v>0.174713795749612</c:v>
                </c:pt>
                <c:pt idx="264">
                  <c:v>0.180711947755</c:v>
                </c:pt>
                <c:pt idx="265">
                  <c:v>0.176107622194729</c:v>
                </c:pt>
                <c:pt idx="266">
                  <c:v>0.173092885220741</c:v>
                </c:pt>
                <c:pt idx="267">
                  <c:v>0.184885596604702</c:v>
                </c:pt>
                <c:pt idx="268">
                  <c:v>0.171213568665529</c:v>
                </c:pt>
                <c:pt idx="269">
                  <c:v>0.183413465303118</c:v>
                </c:pt>
                <c:pt idx="270">
                  <c:v>0.184063395611796</c:v>
                </c:pt>
                <c:pt idx="271">
                  <c:v>0.181925673030241</c:v>
                </c:pt>
                <c:pt idx="272">
                  <c:v>0.18861290777254</c:v>
                </c:pt>
                <c:pt idx="273">
                  <c:v>0.187892503093042</c:v>
                </c:pt>
                <c:pt idx="274">
                  <c:v>0.189787480619548</c:v>
                </c:pt>
                <c:pt idx="275">
                  <c:v>0.190492224327753</c:v>
                </c:pt>
                <c:pt idx="276">
                  <c:v>0.191314425320658</c:v>
                </c:pt>
                <c:pt idx="277">
                  <c:v>0.19006937810283</c:v>
                </c:pt>
                <c:pt idx="278">
                  <c:v>0.198800369598923</c:v>
                </c:pt>
                <c:pt idx="279">
                  <c:v>0.183930277355802</c:v>
                </c:pt>
                <c:pt idx="280">
                  <c:v>0.176467824534478</c:v>
                </c:pt>
                <c:pt idx="281">
                  <c:v>0.186788404616854</c:v>
                </c:pt>
                <c:pt idx="282">
                  <c:v>0.165058806947207</c:v>
                </c:pt>
                <c:pt idx="283">
                  <c:v>0.172176718400075</c:v>
                </c:pt>
                <c:pt idx="284">
                  <c:v>0.187093793557076</c:v>
                </c:pt>
                <c:pt idx="285">
                  <c:v>0.186067999937356</c:v>
                </c:pt>
                <c:pt idx="286">
                  <c:v>0.188824330885002</c:v>
                </c:pt>
                <c:pt idx="287">
                  <c:v>0.194305670837705</c:v>
                </c:pt>
                <c:pt idx="288">
                  <c:v>0.20573034939627</c:v>
                </c:pt>
                <c:pt idx="289">
                  <c:v>0.207038040499272</c:v>
                </c:pt>
                <c:pt idx="290">
                  <c:v>0.209230576480353</c:v>
                </c:pt>
                <c:pt idx="291">
                  <c:v>0.214649272547884</c:v>
                </c:pt>
                <c:pt idx="292">
                  <c:v>0.21859583731383</c:v>
                </c:pt>
                <c:pt idx="293">
                  <c:v>0.215667235681957</c:v>
                </c:pt>
                <c:pt idx="294">
                  <c:v>0.217264654753888</c:v>
                </c:pt>
                <c:pt idx="295">
                  <c:v>0.224085007752181</c:v>
                </c:pt>
                <c:pt idx="296">
                  <c:v>0.222103894883561</c:v>
                </c:pt>
                <c:pt idx="297">
                  <c:v>0.215369677227382</c:v>
                </c:pt>
                <c:pt idx="298">
                  <c:v>0.212425414624215</c:v>
                </c:pt>
                <c:pt idx="299">
                  <c:v>0.220545628239863</c:v>
                </c:pt>
                <c:pt idx="300">
                  <c:v>0.210436471269948</c:v>
                </c:pt>
                <c:pt idx="301">
                  <c:v>0.219120479852161</c:v>
                </c:pt>
                <c:pt idx="302">
                  <c:v>0.215048627315866</c:v>
                </c:pt>
                <c:pt idx="303">
                  <c:v>0.224507853977104</c:v>
                </c:pt>
                <c:pt idx="304">
                  <c:v>0.223787449297605</c:v>
                </c:pt>
                <c:pt idx="305">
                  <c:v>0.228751977197626</c:v>
                </c:pt>
                <c:pt idx="306">
                  <c:v>0.223254976273629</c:v>
                </c:pt>
                <c:pt idx="307">
                  <c:v>0.229582008676178</c:v>
                </c:pt>
                <c:pt idx="308">
                  <c:v>0.21661472444521</c:v>
                </c:pt>
                <c:pt idx="309">
                  <c:v>0.221540099916997</c:v>
                </c:pt>
                <c:pt idx="310">
                  <c:v>0.216293674533695</c:v>
                </c:pt>
                <c:pt idx="311">
                  <c:v>0.223959719981833</c:v>
                </c:pt>
                <c:pt idx="312">
                  <c:v>0.228297809030116</c:v>
                </c:pt>
                <c:pt idx="313">
                  <c:v>0.243269697586644</c:v>
                </c:pt>
                <c:pt idx="314">
                  <c:v>0.247686091491394</c:v>
                </c:pt>
                <c:pt idx="315">
                  <c:v>0.244146711979077</c:v>
                </c:pt>
                <c:pt idx="316">
                  <c:v>0.215573269854196</c:v>
                </c:pt>
                <c:pt idx="317">
                  <c:v>0.232964778475561</c:v>
                </c:pt>
                <c:pt idx="318">
                  <c:v>0.215299202856561</c:v>
                </c:pt>
                <c:pt idx="319">
                  <c:v>0.207155497783973</c:v>
                </c:pt>
                <c:pt idx="320">
                  <c:v>0.217836280206098</c:v>
                </c:pt>
                <c:pt idx="321">
                  <c:v>0.22351338229997</c:v>
                </c:pt>
                <c:pt idx="322">
                  <c:v>0.23626141293283</c:v>
                </c:pt>
                <c:pt idx="323">
                  <c:v>0.236269243418477</c:v>
                </c:pt>
                <c:pt idx="324">
                  <c:v>0.241257262775437</c:v>
                </c:pt>
                <c:pt idx="325">
                  <c:v>0.238970760966595</c:v>
                </c:pt>
                <c:pt idx="326">
                  <c:v>0.247874023146916</c:v>
                </c:pt>
                <c:pt idx="327">
                  <c:v>0.250974895463017</c:v>
                </c:pt>
                <c:pt idx="328">
                  <c:v>0.239330963306344</c:v>
                </c:pt>
                <c:pt idx="329">
                  <c:v>0.25099055643431</c:v>
                </c:pt>
                <c:pt idx="330">
                  <c:v>0.26416926377774</c:v>
                </c:pt>
                <c:pt idx="331">
                  <c:v>0.266581053356929</c:v>
                </c:pt>
                <c:pt idx="332">
                  <c:v>0.273205644214054</c:v>
                </c:pt>
                <c:pt idx="333">
                  <c:v>0.278475561054297</c:v>
                </c:pt>
                <c:pt idx="334">
                  <c:v>0.273761608694971</c:v>
                </c:pt>
                <c:pt idx="335">
                  <c:v>0.279266440104615</c:v>
                </c:pt>
                <c:pt idx="336">
                  <c:v>0.279321253504142</c:v>
                </c:pt>
                <c:pt idx="337">
                  <c:v>0.292296368220757</c:v>
                </c:pt>
                <c:pt idx="338">
                  <c:v>0.298905298106589</c:v>
                </c:pt>
                <c:pt idx="339">
                  <c:v>0.292398164534164</c:v>
                </c:pt>
                <c:pt idx="340">
                  <c:v>0.305709990133588</c:v>
                </c:pt>
                <c:pt idx="341">
                  <c:v>0.304785992827275</c:v>
                </c:pt>
                <c:pt idx="342">
                  <c:v>0.307033342207884</c:v>
                </c:pt>
                <c:pt idx="343">
                  <c:v>0.296219441529764</c:v>
                </c:pt>
                <c:pt idx="344">
                  <c:v>0.292429486476751</c:v>
                </c:pt>
                <c:pt idx="345">
                  <c:v>0.2917169122829</c:v>
                </c:pt>
                <c:pt idx="346">
                  <c:v>0.299907600269369</c:v>
                </c:pt>
                <c:pt idx="347">
                  <c:v>0.290745932062706</c:v>
                </c:pt>
                <c:pt idx="348">
                  <c:v>0.295483375878972</c:v>
                </c:pt>
                <c:pt idx="349">
                  <c:v>0.276948616353186</c:v>
                </c:pt>
                <c:pt idx="350">
                  <c:v>0.284528526459211</c:v>
                </c:pt>
                <c:pt idx="351">
                  <c:v>0.277449767434576</c:v>
                </c:pt>
                <c:pt idx="352">
                  <c:v>0.25984683570075</c:v>
                </c:pt>
                <c:pt idx="353">
                  <c:v>0.270543279094169</c:v>
                </c:pt>
                <c:pt idx="354">
                  <c:v>0.28684635021064</c:v>
                </c:pt>
                <c:pt idx="355">
                  <c:v>0.286400012528777</c:v>
                </c:pt>
                <c:pt idx="356">
                  <c:v>0.273338762470048</c:v>
                </c:pt>
                <c:pt idx="357">
                  <c:v>0.262681471504863</c:v>
                </c:pt>
                <c:pt idx="358">
                  <c:v>0.281349349286643</c:v>
                </c:pt>
                <c:pt idx="359">
                  <c:v>0.273808591608852</c:v>
                </c:pt>
                <c:pt idx="360">
                  <c:v>0.283447919439964</c:v>
                </c:pt>
                <c:pt idx="361">
                  <c:v>0.293447449610825</c:v>
                </c:pt>
                <c:pt idx="362">
                  <c:v>0.27553129845113</c:v>
                </c:pt>
                <c:pt idx="363">
                  <c:v>0.243629899926394</c:v>
                </c:pt>
                <c:pt idx="364">
                  <c:v>0.246950025840603</c:v>
                </c:pt>
                <c:pt idx="365">
                  <c:v>0.231805866599846</c:v>
                </c:pt>
                <c:pt idx="366">
                  <c:v>0.243504612156046</c:v>
                </c:pt>
                <c:pt idx="367">
                  <c:v>0.255430441796</c:v>
                </c:pt>
                <c:pt idx="368">
                  <c:v>0.26321394452884</c:v>
                </c:pt>
                <c:pt idx="369">
                  <c:v>0.25779524846131</c:v>
                </c:pt>
                <c:pt idx="370">
                  <c:v>0.264592110002662</c:v>
                </c:pt>
                <c:pt idx="371">
                  <c:v>0.263903027265751</c:v>
                </c:pt>
                <c:pt idx="372">
                  <c:v>0.264944481856765</c:v>
                </c:pt>
                <c:pt idx="373">
                  <c:v>0.277849122202559</c:v>
                </c:pt>
                <c:pt idx="374">
                  <c:v>0.284559848401798</c:v>
                </c:pt>
                <c:pt idx="375">
                  <c:v>0.293846804378808</c:v>
                </c:pt>
                <c:pt idx="376">
                  <c:v>0.294081718948209</c:v>
                </c:pt>
                <c:pt idx="377">
                  <c:v>0.311622006796862</c:v>
                </c:pt>
                <c:pt idx="378">
                  <c:v>0.315670367876216</c:v>
                </c:pt>
                <c:pt idx="379">
                  <c:v>0.317479210060608</c:v>
                </c:pt>
                <c:pt idx="380">
                  <c:v>0.312592987017055</c:v>
                </c:pt>
                <c:pt idx="381">
                  <c:v>0.31623416284278</c:v>
                </c:pt>
                <c:pt idx="382">
                  <c:v>0.322858753699904</c:v>
                </c:pt>
                <c:pt idx="383">
                  <c:v>0.324988645795812</c:v>
                </c:pt>
                <c:pt idx="384">
                  <c:v>0.327682332858284</c:v>
                </c:pt>
                <c:pt idx="385">
                  <c:v>0.325223560365214</c:v>
                </c:pt>
                <c:pt idx="386">
                  <c:v>0.32017289712308</c:v>
                </c:pt>
                <c:pt idx="387">
                  <c:v>0.323547836436816</c:v>
                </c:pt>
                <c:pt idx="388">
                  <c:v>0.324644104427357</c:v>
                </c:pt>
                <c:pt idx="389">
                  <c:v>0.31969523749863</c:v>
                </c:pt>
                <c:pt idx="390">
                  <c:v>0.320188558094373</c:v>
                </c:pt>
                <c:pt idx="391">
                  <c:v>0.320008456924498</c:v>
                </c:pt>
                <c:pt idx="392">
                  <c:v>0.336562103581664</c:v>
                </c:pt>
                <c:pt idx="393">
                  <c:v>0.338754639562746</c:v>
                </c:pt>
                <c:pt idx="394">
                  <c:v>0.336773526694126</c:v>
                </c:pt>
                <c:pt idx="395">
                  <c:v>0.32912314221728</c:v>
                </c:pt>
                <c:pt idx="396">
                  <c:v>0.324064648489499</c:v>
                </c:pt>
                <c:pt idx="397">
                  <c:v>0.329209277559394</c:v>
                </c:pt>
                <c:pt idx="398">
                  <c:v>0.324464003257482</c:v>
                </c:pt>
                <c:pt idx="399">
                  <c:v>0.322937058556372</c:v>
                </c:pt>
                <c:pt idx="400">
                  <c:v>0.326609556324683</c:v>
                </c:pt>
                <c:pt idx="401">
                  <c:v>0.31974222041251</c:v>
                </c:pt>
                <c:pt idx="402">
                  <c:v>0.300894241460855</c:v>
                </c:pt>
                <c:pt idx="403">
                  <c:v>0.296595304840806</c:v>
                </c:pt>
                <c:pt idx="404">
                  <c:v>0.288944920363961</c:v>
                </c:pt>
                <c:pt idx="405">
                  <c:v>0.293870295835748</c:v>
                </c:pt>
                <c:pt idx="406">
                  <c:v>0.28639218204313</c:v>
                </c:pt>
                <c:pt idx="407">
                  <c:v>0.297480149718886</c:v>
                </c:pt>
                <c:pt idx="408">
                  <c:v>0.30260128733184</c:v>
                </c:pt>
                <c:pt idx="409">
                  <c:v>0.297339200977245</c:v>
                </c:pt>
                <c:pt idx="410">
                  <c:v>0.276745023726372</c:v>
                </c:pt>
                <c:pt idx="411">
                  <c:v>0.280253081296102</c:v>
                </c:pt>
                <c:pt idx="412">
                  <c:v>0.282766667188699</c:v>
                </c:pt>
                <c:pt idx="413">
                  <c:v>0.278694814652405</c:v>
                </c:pt>
                <c:pt idx="414">
                  <c:v>0.284019544892174</c:v>
                </c:pt>
                <c:pt idx="415">
                  <c:v>0.294441921287958</c:v>
                </c:pt>
                <c:pt idx="416">
                  <c:v>0.296008018417302</c:v>
                </c:pt>
                <c:pt idx="417">
                  <c:v>0.296078492788123</c:v>
                </c:pt>
                <c:pt idx="418">
                  <c:v>0.309030116047797</c:v>
                </c:pt>
                <c:pt idx="419">
                  <c:v>0.318645952421969</c:v>
                </c:pt>
                <c:pt idx="420">
                  <c:v>0.322670822044383</c:v>
                </c:pt>
                <c:pt idx="421">
                  <c:v>0.318199614740106</c:v>
                </c:pt>
                <c:pt idx="422">
                  <c:v>0.321778146680657</c:v>
                </c:pt>
                <c:pt idx="423">
                  <c:v>0.329303243387155</c:v>
                </c:pt>
                <c:pt idx="424">
                  <c:v>0.334909871110206</c:v>
                </c:pt>
                <c:pt idx="425">
                  <c:v>0.351165959312797</c:v>
                </c:pt>
                <c:pt idx="426">
                  <c:v>0.34867586487714</c:v>
                </c:pt>
                <c:pt idx="427">
                  <c:v>0.338942571218267</c:v>
                </c:pt>
                <c:pt idx="428">
                  <c:v>0.332623369301364</c:v>
                </c:pt>
                <c:pt idx="429">
                  <c:v>0.329162294645514</c:v>
                </c:pt>
                <c:pt idx="430">
                  <c:v>0.325521118819789</c:v>
                </c:pt>
                <c:pt idx="431">
                  <c:v>0.330141105351354</c:v>
                </c:pt>
                <c:pt idx="432">
                  <c:v>0.324722409283824</c:v>
                </c:pt>
                <c:pt idx="433">
                  <c:v>0.31673531392417</c:v>
                </c:pt>
                <c:pt idx="434">
                  <c:v>0.327267317119008</c:v>
                </c:pt>
                <c:pt idx="435">
                  <c:v>0.326382472240928</c:v>
                </c:pt>
                <c:pt idx="436">
                  <c:v>0.314472303572268</c:v>
                </c:pt>
                <c:pt idx="437">
                  <c:v>0.323743598577984</c:v>
                </c:pt>
                <c:pt idx="438">
                  <c:v>0.312483360218001</c:v>
                </c:pt>
                <c:pt idx="439">
                  <c:v>0.296297746386231</c:v>
                </c:pt>
                <c:pt idx="440">
                  <c:v>0.297041642522669</c:v>
                </c:pt>
                <c:pt idx="441">
                  <c:v>0.325356678621208</c:v>
                </c:pt>
                <c:pt idx="442">
                  <c:v>0.333688315349318</c:v>
                </c:pt>
                <c:pt idx="443">
                  <c:v>0.339122672388142</c:v>
                </c:pt>
                <c:pt idx="444">
                  <c:v>0.329663445726904</c:v>
                </c:pt>
                <c:pt idx="445">
                  <c:v>0.348049426025402</c:v>
                </c:pt>
                <c:pt idx="446">
                  <c:v>0.357140619861244</c:v>
                </c:pt>
                <c:pt idx="447">
                  <c:v>0.366028221070271</c:v>
                </c:pt>
                <c:pt idx="448">
                  <c:v>0.366153508840618</c:v>
                </c:pt>
                <c:pt idx="449">
                  <c:v>0.373991824972985</c:v>
                </c:pt>
                <c:pt idx="450">
                  <c:v>0.367500352371854</c:v>
                </c:pt>
                <c:pt idx="451">
                  <c:v>0.371955898704838</c:v>
                </c:pt>
                <c:pt idx="452">
                  <c:v>0.377985372652812</c:v>
                </c:pt>
                <c:pt idx="453">
                  <c:v>0.379817706294144</c:v>
                </c:pt>
                <c:pt idx="454">
                  <c:v>0.387522904170517</c:v>
                </c:pt>
                <c:pt idx="455">
                  <c:v>0.380757364571751</c:v>
                </c:pt>
                <c:pt idx="456">
                  <c:v>0.375456125788921</c:v>
                </c:pt>
                <c:pt idx="457">
                  <c:v>0.379449673468749</c:v>
                </c:pt>
                <c:pt idx="458">
                  <c:v>0.384375048940535</c:v>
                </c:pt>
                <c:pt idx="459">
                  <c:v>0.380491128059762</c:v>
                </c:pt>
                <c:pt idx="460">
                  <c:v>0.386379653266096</c:v>
                </c:pt>
                <c:pt idx="461">
                  <c:v>0.368103299766652</c:v>
                </c:pt>
                <c:pt idx="462">
                  <c:v>0.386473619093856</c:v>
                </c:pt>
                <c:pt idx="463">
                  <c:v>0.387475921256636</c:v>
                </c:pt>
                <c:pt idx="464">
                  <c:v>0.384187117285014</c:v>
                </c:pt>
                <c:pt idx="465">
                  <c:v>0.39539254224547</c:v>
                </c:pt>
                <c:pt idx="466">
                  <c:v>0.402142420872942</c:v>
                </c:pt>
                <c:pt idx="467">
                  <c:v>0.408062268021863</c:v>
                </c:pt>
                <c:pt idx="468">
                  <c:v>0.402854995066794</c:v>
                </c:pt>
                <c:pt idx="469">
                  <c:v>0.399989037320094</c:v>
                </c:pt>
                <c:pt idx="470">
                  <c:v>0.394899221649727</c:v>
                </c:pt>
                <c:pt idx="471">
                  <c:v>0.406237764866177</c:v>
                </c:pt>
                <c:pt idx="472">
                  <c:v>0.413214727577404</c:v>
                </c:pt>
                <c:pt idx="473">
                  <c:v>0.411429376849952</c:v>
                </c:pt>
                <c:pt idx="474">
                  <c:v>0.411640799962414</c:v>
                </c:pt>
                <c:pt idx="475">
                  <c:v>0.415148857532144</c:v>
                </c:pt>
                <c:pt idx="476">
                  <c:v>0.41403692857031</c:v>
                </c:pt>
                <c:pt idx="477">
                  <c:v>0.410192160117771</c:v>
                </c:pt>
                <c:pt idx="478">
                  <c:v>0.405689630870907</c:v>
                </c:pt>
                <c:pt idx="479">
                  <c:v>0.403857297229574</c:v>
                </c:pt>
                <c:pt idx="480">
                  <c:v>0.397765179396426</c:v>
                </c:pt>
                <c:pt idx="481">
                  <c:v>0.413473133603746</c:v>
                </c:pt>
                <c:pt idx="482">
                  <c:v>0.41604153289587</c:v>
                </c:pt>
                <c:pt idx="483">
                  <c:v>0.411539003649006</c:v>
                </c:pt>
                <c:pt idx="484">
                  <c:v>0.395564812929698</c:v>
                </c:pt>
                <c:pt idx="485">
                  <c:v>0.390302726575102</c:v>
                </c:pt>
                <c:pt idx="486">
                  <c:v>0.390161777833461</c:v>
                </c:pt>
                <c:pt idx="487">
                  <c:v>0.398947582729081</c:v>
                </c:pt>
                <c:pt idx="488">
                  <c:v>0.394609493680798</c:v>
                </c:pt>
                <c:pt idx="489">
                  <c:v>0.417826883623322</c:v>
                </c:pt>
                <c:pt idx="490">
                  <c:v>0.417004682630417</c:v>
                </c:pt>
                <c:pt idx="491">
                  <c:v>0.423832866114356</c:v>
                </c:pt>
                <c:pt idx="492">
                  <c:v>0.431404945734735</c:v>
                </c:pt>
                <c:pt idx="493">
                  <c:v>0.435578594584436</c:v>
                </c:pt>
                <c:pt idx="494">
                  <c:v>0.442391117097082</c:v>
                </c:pt>
                <c:pt idx="495">
                  <c:v>0.441905626986986</c:v>
                </c:pt>
                <c:pt idx="496">
                  <c:v>0.441647220960644</c:v>
                </c:pt>
                <c:pt idx="497">
                  <c:v>0.447355644997103</c:v>
                </c:pt>
                <c:pt idx="498">
                  <c:v>0.434529309507776</c:v>
                </c:pt>
                <c:pt idx="499">
                  <c:v>0.434051649883326</c:v>
                </c:pt>
                <c:pt idx="500">
                  <c:v>0.430449626485835</c:v>
                </c:pt>
                <c:pt idx="501">
                  <c:v>0.43914929603934</c:v>
                </c:pt>
                <c:pt idx="502">
                  <c:v>0.438843907099118</c:v>
                </c:pt>
                <c:pt idx="503">
                  <c:v>0.439345058180508</c:v>
                </c:pt>
                <c:pt idx="504">
                  <c:v>0.442665184094718</c:v>
                </c:pt>
                <c:pt idx="505">
                  <c:v>0.424521948851268</c:v>
                </c:pt>
                <c:pt idx="506">
                  <c:v>0.439932344604012</c:v>
                </c:pt>
                <c:pt idx="507">
                  <c:v>0.447371305968396</c:v>
                </c:pt>
                <c:pt idx="508">
                  <c:v>0.445421515042363</c:v>
                </c:pt>
                <c:pt idx="509">
                  <c:v>0.439791395862371</c:v>
                </c:pt>
                <c:pt idx="510">
                  <c:v>0.443784943542198</c:v>
                </c:pt>
                <c:pt idx="511">
                  <c:v>0.444614975020751</c:v>
                </c:pt>
                <c:pt idx="512">
                  <c:v>0.43177297856013</c:v>
                </c:pt>
                <c:pt idx="513">
                  <c:v>0.401884014846601</c:v>
                </c:pt>
                <c:pt idx="514">
                  <c:v>0.395048000877014</c:v>
                </c:pt>
                <c:pt idx="515">
                  <c:v>0.403614552174526</c:v>
                </c:pt>
                <c:pt idx="516">
                  <c:v>0.389284763441029</c:v>
                </c:pt>
                <c:pt idx="517">
                  <c:v>0.404937904248822</c:v>
                </c:pt>
                <c:pt idx="518">
                  <c:v>0.395854540898626</c:v>
                </c:pt>
                <c:pt idx="519">
                  <c:v>0.363984464316477</c:v>
                </c:pt>
                <c:pt idx="520">
                  <c:v>0.374406840712261</c:v>
                </c:pt>
                <c:pt idx="521">
                  <c:v>0.371619187822029</c:v>
                </c:pt>
                <c:pt idx="522">
                  <c:v>0.388681816046231</c:v>
                </c:pt>
                <c:pt idx="523">
                  <c:v>0.407153931686843</c:v>
                </c:pt>
                <c:pt idx="524">
                  <c:v>0.409362128639218</c:v>
                </c:pt>
                <c:pt idx="525">
                  <c:v>0.424952625561837</c:v>
                </c:pt>
                <c:pt idx="526">
                  <c:v>0.424568931765148</c:v>
                </c:pt>
                <c:pt idx="527">
                  <c:v>0.432845755093731</c:v>
                </c:pt>
                <c:pt idx="528">
                  <c:v>0.439736582462844</c:v>
                </c:pt>
                <c:pt idx="529">
                  <c:v>0.441404475905596</c:v>
                </c:pt>
                <c:pt idx="530">
                  <c:v>0.432000062643885</c:v>
                </c:pt>
                <c:pt idx="531">
                  <c:v>0.440637088312217</c:v>
                </c:pt>
                <c:pt idx="532">
                  <c:v>0.437872926878925</c:v>
                </c:pt>
                <c:pt idx="533">
                  <c:v>0.446768358573599</c:v>
                </c:pt>
                <c:pt idx="534">
                  <c:v>0.444818567647565</c:v>
                </c:pt>
                <c:pt idx="535">
                  <c:v>0.444849889590152</c:v>
                </c:pt>
                <c:pt idx="536">
                  <c:v>0.451999122985608</c:v>
                </c:pt>
                <c:pt idx="537">
                  <c:v>0.456039653579315</c:v>
                </c:pt>
                <c:pt idx="538">
                  <c:v>0.445296227272015</c:v>
                </c:pt>
                <c:pt idx="539">
                  <c:v>0.467362535824472</c:v>
                </c:pt>
                <c:pt idx="540">
                  <c:v>0.467284230968005</c:v>
                </c:pt>
                <c:pt idx="541">
                  <c:v>0.469805647346248</c:v>
                </c:pt>
                <c:pt idx="542">
                  <c:v>0.470596526396567</c:v>
                </c:pt>
                <c:pt idx="543">
                  <c:v>0.469915274145303</c:v>
                </c:pt>
                <c:pt idx="544">
                  <c:v>0.462444990838332</c:v>
                </c:pt>
                <c:pt idx="545">
                  <c:v>0.462891328520195</c:v>
                </c:pt>
                <c:pt idx="546">
                  <c:v>0.445773886896465</c:v>
                </c:pt>
                <c:pt idx="547">
                  <c:v>0.441694203874524</c:v>
                </c:pt>
                <c:pt idx="548">
                  <c:v>0.455554163469218</c:v>
                </c:pt>
                <c:pt idx="549">
                  <c:v>0.466062675207116</c:v>
                </c:pt>
                <c:pt idx="550">
                  <c:v>0.457073277684682</c:v>
                </c:pt>
                <c:pt idx="551">
                  <c:v>0.465874743551595</c:v>
                </c:pt>
                <c:pt idx="552">
                  <c:v>0.461575806931546</c:v>
                </c:pt>
                <c:pt idx="553">
                  <c:v>0.454465725964324</c:v>
                </c:pt>
                <c:pt idx="554">
                  <c:v>0.460871063223341</c:v>
                </c:pt>
                <c:pt idx="555">
                  <c:v>0.450644448968725</c:v>
                </c:pt>
                <c:pt idx="556">
                  <c:v>0.44788811802108</c:v>
                </c:pt>
                <c:pt idx="557">
                  <c:v>0.454606674705965</c:v>
                </c:pt>
                <c:pt idx="558">
                  <c:v>0.466133149577937</c:v>
                </c:pt>
                <c:pt idx="559">
                  <c:v>0.476453729660314</c:v>
                </c:pt>
                <c:pt idx="560">
                  <c:v>0.480666530938249</c:v>
                </c:pt>
                <c:pt idx="561">
                  <c:v>0.478998637495498</c:v>
                </c:pt>
                <c:pt idx="562">
                  <c:v>0.460456047484065</c:v>
                </c:pt>
                <c:pt idx="563">
                  <c:v>0.444755923762392</c:v>
                </c:pt>
                <c:pt idx="564">
                  <c:v>0.450174619829922</c:v>
                </c:pt>
                <c:pt idx="565">
                  <c:v>0.466007861807589</c:v>
                </c:pt>
                <c:pt idx="566">
                  <c:v>0.435390662928915</c:v>
                </c:pt>
                <c:pt idx="567">
                  <c:v>0.421773448389269</c:v>
                </c:pt>
                <c:pt idx="568">
                  <c:v>0.433456532974175</c:v>
                </c:pt>
                <c:pt idx="569">
                  <c:v>0.443142843719167</c:v>
                </c:pt>
                <c:pt idx="570">
                  <c:v>0.458279172474277</c:v>
                </c:pt>
                <c:pt idx="571">
                  <c:v>0.460268115828544</c:v>
                </c:pt>
                <c:pt idx="572">
                  <c:v>0.465780777723835</c:v>
                </c:pt>
                <c:pt idx="573">
                  <c:v>0.471778929729222</c:v>
                </c:pt>
                <c:pt idx="574">
                  <c:v>0.468521447700186</c:v>
                </c:pt>
                <c:pt idx="575">
                  <c:v>0.47104286407843</c:v>
                </c:pt>
                <c:pt idx="576">
                  <c:v>0.459132695409769</c:v>
                </c:pt>
                <c:pt idx="577">
                  <c:v>0.463854478254741</c:v>
                </c:pt>
                <c:pt idx="578">
                  <c:v>0.470823610480322</c:v>
                </c:pt>
                <c:pt idx="579">
                  <c:v>0.475224343413779</c:v>
                </c:pt>
                <c:pt idx="580">
                  <c:v>0.475012920301317</c:v>
                </c:pt>
                <c:pt idx="581">
                  <c:v>0.47302397694705</c:v>
                </c:pt>
                <c:pt idx="582">
                  <c:v>0.475780307894696</c:v>
                </c:pt>
                <c:pt idx="583">
                  <c:v>0.462515465209152</c:v>
                </c:pt>
                <c:pt idx="584">
                  <c:v>0.470729644652561</c:v>
                </c:pt>
                <c:pt idx="585">
                  <c:v>0.468709379355708</c:v>
                </c:pt>
                <c:pt idx="586">
                  <c:v>0.470941067765023</c:v>
                </c:pt>
                <c:pt idx="587">
                  <c:v>0.485169060185113</c:v>
                </c:pt>
                <c:pt idx="588">
                  <c:v>0.48579549903685</c:v>
                </c:pt>
                <c:pt idx="589">
                  <c:v>0.478810705839976</c:v>
                </c:pt>
                <c:pt idx="590">
                  <c:v>0.464966407216576</c:v>
                </c:pt>
                <c:pt idx="591">
                  <c:v>0.470455577654926</c:v>
                </c:pt>
                <c:pt idx="592">
                  <c:v>0.476109188291858</c:v>
                </c:pt>
                <c:pt idx="593">
                  <c:v>0.466516843374626</c:v>
                </c:pt>
                <c:pt idx="594">
                  <c:v>0.47841918155764</c:v>
                </c:pt>
                <c:pt idx="595">
                  <c:v>0.481911578156077</c:v>
                </c:pt>
                <c:pt idx="596">
                  <c:v>0.48820728861604</c:v>
                </c:pt>
                <c:pt idx="597">
                  <c:v>0.497118381282007</c:v>
                </c:pt>
                <c:pt idx="598">
                  <c:v>0.495450487839256</c:v>
                </c:pt>
                <c:pt idx="599">
                  <c:v>0.503476735627144</c:v>
                </c:pt>
                <c:pt idx="600">
                  <c:v>0.506248727546082</c:v>
                </c:pt>
                <c:pt idx="601">
                  <c:v>0.507344995536623</c:v>
                </c:pt>
                <c:pt idx="602">
                  <c:v>0.506773370084413</c:v>
                </c:pt>
                <c:pt idx="603">
                  <c:v>0.509623666859819</c:v>
                </c:pt>
                <c:pt idx="604">
                  <c:v>0.519474417803392</c:v>
                </c:pt>
                <c:pt idx="605">
                  <c:v>0.526506193914147</c:v>
                </c:pt>
                <c:pt idx="606">
                  <c:v>0.527939172787496</c:v>
                </c:pt>
                <c:pt idx="607">
                  <c:v>0.527563309476454</c:v>
                </c:pt>
                <c:pt idx="608">
                  <c:v>0.522160274380217</c:v>
                </c:pt>
                <c:pt idx="609">
                  <c:v>0.511369865159037</c:v>
                </c:pt>
                <c:pt idx="610">
                  <c:v>0.516107308975303</c:v>
                </c:pt>
                <c:pt idx="611">
                  <c:v>0.517375847650071</c:v>
                </c:pt>
                <c:pt idx="612">
                  <c:v>0.52067248210734</c:v>
                </c:pt>
                <c:pt idx="613">
                  <c:v>0.532410380091773</c:v>
                </c:pt>
                <c:pt idx="614">
                  <c:v>0.534368001503453</c:v>
                </c:pt>
                <c:pt idx="615">
                  <c:v>0.537022536137691</c:v>
                </c:pt>
                <c:pt idx="616">
                  <c:v>0.536818943510877</c:v>
                </c:pt>
                <c:pt idx="617">
                  <c:v>0.526929040139069</c:v>
                </c:pt>
                <c:pt idx="618">
                  <c:v>0.534407153931687</c:v>
                </c:pt>
                <c:pt idx="619">
                  <c:v>0.532598311747295</c:v>
                </c:pt>
                <c:pt idx="620">
                  <c:v>0.535526913379168</c:v>
                </c:pt>
                <c:pt idx="621">
                  <c:v>0.534955287926957</c:v>
                </c:pt>
                <c:pt idx="622">
                  <c:v>0.545205393638513</c:v>
                </c:pt>
                <c:pt idx="623">
                  <c:v>0.546223356772587</c:v>
                </c:pt>
                <c:pt idx="624">
                  <c:v>0.554695942242338</c:v>
                </c:pt>
                <c:pt idx="625">
                  <c:v>0.548595993923543</c:v>
                </c:pt>
                <c:pt idx="626">
                  <c:v>0.537680296932016</c:v>
                </c:pt>
                <c:pt idx="627">
                  <c:v>0.544821699841824</c:v>
                </c:pt>
                <c:pt idx="628">
                  <c:v>0.538439854039748</c:v>
                </c:pt>
                <c:pt idx="629">
                  <c:v>0.54070286439165</c:v>
                </c:pt>
                <c:pt idx="630">
                  <c:v>0.548165317212974</c:v>
                </c:pt>
                <c:pt idx="631">
                  <c:v>0.545174071695927</c:v>
                </c:pt>
                <c:pt idx="632">
                  <c:v>0.551665544297057</c:v>
                </c:pt>
                <c:pt idx="633">
                  <c:v>0.533303055455499</c:v>
                </c:pt>
                <c:pt idx="634">
                  <c:v>0.549042331605406</c:v>
                </c:pt>
                <c:pt idx="635">
                  <c:v>0.545448138693562</c:v>
                </c:pt>
                <c:pt idx="636">
                  <c:v>0.553200319483814</c:v>
                </c:pt>
                <c:pt idx="637">
                  <c:v>0.555925328488873</c:v>
                </c:pt>
                <c:pt idx="638">
                  <c:v>0.556684885596605</c:v>
                </c:pt>
                <c:pt idx="639">
                  <c:v>0.549136297433167</c:v>
                </c:pt>
                <c:pt idx="640">
                  <c:v>0.54958263511503</c:v>
                </c:pt>
                <c:pt idx="641">
                  <c:v>0.542566519975569</c:v>
                </c:pt>
                <c:pt idx="642">
                  <c:v>0.542660485803329</c:v>
                </c:pt>
                <c:pt idx="643">
                  <c:v>0.511808372355254</c:v>
                </c:pt>
                <c:pt idx="644">
                  <c:v>0.507485944278264</c:v>
                </c:pt>
                <c:pt idx="645">
                  <c:v>0.518323336413324</c:v>
                </c:pt>
                <c:pt idx="646">
                  <c:v>0.503617684368785</c:v>
                </c:pt>
                <c:pt idx="647">
                  <c:v>0.503641175825725</c:v>
                </c:pt>
                <c:pt idx="648">
                  <c:v>0.495286047640675</c:v>
                </c:pt>
                <c:pt idx="649">
                  <c:v>0.512528777034752</c:v>
                </c:pt>
                <c:pt idx="650">
                  <c:v>0.516702425884453</c:v>
                </c:pt>
                <c:pt idx="651">
                  <c:v>0.514220161934443</c:v>
                </c:pt>
                <c:pt idx="652">
                  <c:v>0.524376301818239</c:v>
                </c:pt>
                <c:pt idx="653">
                  <c:v>0.531000892675364</c:v>
                </c:pt>
                <c:pt idx="654">
                  <c:v>0.530906926847603</c:v>
                </c:pt>
                <c:pt idx="655">
                  <c:v>0.543968176906332</c:v>
                </c:pt>
                <c:pt idx="656">
                  <c:v>0.551689035753997</c:v>
                </c:pt>
                <c:pt idx="657">
                  <c:v>0.555533804206537</c:v>
                </c:pt>
                <c:pt idx="658">
                  <c:v>0.560122468795515</c:v>
                </c:pt>
                <c:pt idx="659">
                  <c:v>0.557013765993767</c:v>
                </c:pt>
                <c:pt idx="660">
                  <c:v>0.564468388329444</c:v>
                </c:pt>
                <c:pt idx="661">
                  <c:v>0.566112790315255</c:v>
                </c:pt>
                <c:pt idx="662">
                  <c:v>0.566191095171722</c:v>
                </c:pt>
                <c:pt idx="663">
                  <c:v>0.563544391023131</c:v>
                </c:pt>
                <c:pt idx="664">
                  <c:v>0.568736003006907</c:v>
                </c:pt>
                <c:pt idx="665">
                  <c:v>0.567882480071414</c:v>
                </c:pt>
                <c:pt idx="666">
                  <c:v>0.566660924310526</c:v>
                </c:pt>
                <c:pt idx="667">
                  <c:v>0.564256965216983</c:v>
                </c:pt>
                <c:pt idx="668">
                  <c:v>0.572134433777583</c:v>
                </c:pt>
                <c:pt idx="669">
                  <c:v>0.567303024133557</c:v>
                </c:pt>
                <c:pt idx="670">
                  <c:v>0.557045087936354</c:v>
                </c:pt>
                <c:pt idx="671">
                  <c:v>0.562722190030226</c:v>
                </c:pt>
                <c:pt idx="672">
                  <c:v>0.564100355504048</c:v>
                </c:pt>
                <c:pt idx="673">
                  <c:v>0.554774247098805</c:v>
                </c:pt>
                <c:pt idx="674">
                  <c:v>0.553670148622618</c:v>
                </c:pt>
                <c:pt idx="675">
                  <c:v>0.565298419807997</c:v>
                </c:pt>
                <c:pt idx="676">
                  <c:v>0.567326515590497</c:v>
                </c:pt>
                <c:pt idx="677">
                  <c:v>0.574992561038636</c:v>
                </c:pt>
                <c:pt idx="678">
                  <c:v>0.574240834416551</c:v>
                </c:pt>
                <c:pt idx="679">
                  <c:v>0.561625922039685</c:v>
                </c:pt>
                <c:pt idx="680">
                  <c:v>0.552605202574664</c:v>
                </c:pt>
                <c:pt idx="681">
                  <c:v>0.56476594678402</c:v>
                </c:pt>
                <c:pt idx="682">
                  <c:v>0.539465647659468</c:v>
                </c:pt>
                <c:pt idx="683">
                  <c:v>0.552667846459837</c:v>
                </c:pt>
                <c:pt idx="684">
                  <c:v>0.548713451208244</c:v>
                </c:pt>
                <c:pt idx="685">
                  <c:v>0.544398853616901</c:v>
                </c:pt>
                <c:pt idx="686">
                  <c:v>0.523937794622023</c:v>
                </c:pt>
                <c:pt idx="687">
                  <c:v>0.523945625107669</c:v>
                </c:pt>
                <c:pt idx="688">
                  <c:v>0.540961270417991</c:v>
                </c:pt>
                <c:pt idx="689">
                  <c:v>0.538549480838802</c:v>
                </c:pt>
                <c:pt idx="690">
                  <c:v>0.51527727749675</c:v>
                </c:pt>
                <c:pt idx="691">
                  <c:v>0.541736488497017</c:v>
                </c:pt>
                <c:pt idx="692">
                  <c:v>0.50988207288616</c:v>
                </c:pt>
                <c:pt idx="693">
                  <c:v>0.492592360578203</c:v>
                </c:pt>
                <c:pt idx="694">
                  <c:v>0.46801246613315</c:v>
                </c:pt>
                <c:pt idx="695">
                  <c:v>0.470330289884579</c:v>
                </c:pt>
                <c:pt idx="696">
                  <c:v>0.458420121215918</c:v>
                </c:pt>
                <c:pt idx="697">
                  <c:v>0.458631544328379</c:v>
                </c:pt>
                <c:pt idx="698">
                  <c:v>0.477424709880507</c:v>
                </c:pt>
                <c:pt idx="699">
                  <c:v>0.490932297621098</c:v>
                </c:pt>
                <c:pt idx="700">
                  <c:v>0.520116517626423</c:v>
                </c:pt>
                <c:pt idx="701">
                  <c:v>0.509020719465021</c:v>
                </c:pt>
                <c:pt idx="702">
                  <c:v>0.527586800933394</c:v>
                </c:pt>
                <c:pt idx="703">
                  <c:v>0.53836154918328</c:v>
                </c:pt>
                <c:pt idx="704">
                  <c:v>0.536051555917498</c:v>
                </c:pt>
                <c:pt idx="705">
                  <c:v>0.554390553302116</c:v>
                </c:pt>
                <c:pt idx="706">
                  <c:v>0.552237169749268</c:v>
                </c:pt>
                <c:pt idx="707">
                  <c:v>0.561907819522967</c:v>
                </c:pt>
                <c:pt idx="708">
                  <c:v>0.580231155936291</c:v>
                </c:pt>
                <c:pt idx="709">
                  <c:v>0.58004322428077</c:v>
                </c:pt>
                <c:pt idx="710">
                  <c:v>0.575572016976493</c:v>
                </c:pt>
                <c:pt idx="711">
                  <c:v>0.58455358401328</c:v>
                </c:pt>
                <c:pt idx="712">
                  <c:v>0.590536075047374</c:v>
                </c:pt>
                <c:pt idx="713">
                  <c:v>0.591092039528292</c:v>
                </c:pt>
                <c:pt idx="714">
                  <c:v>0.596056567428312</c:v>
                </c:pt>
                <c:pt idx="715">
                  <c:v>0.597168496390146</c:v>
                </c:pt>
                <c:pt idx="716">
                  <c:v>0.596048736942665</c:v>
                </c:pt>
                <c:pt idx="717">
                  <c:v>0.596894429392511</c:v>
                </c:pt>
                <c:pt idx="718">
                  <c:v>0.5972781231892</c:v>
                </c:pt>
                <c:pt idx="719">
                  <c:v>0.598452696036208</c:v>
                </c:pt>
                <c:pt idx="720">
                  <c:v>0.606659044993971</c:v>
                </c:pt>
                <c:pt idx="721">
                  <c:v>0.604247255414781</c:v>
                </c:pt>
                <c:pt idx="722">
                  <c:v>0.607402941130409</c:v>
                </c:pt>
                <c:pt idx="723">
                  <c:v>0.615820713200633</c:v>
                </c:pt>
                <c:pt idx="724">
                  <c:v>0.620448530217844</c:v>
                </c:pt>
                <c:pt idx="725">
                  <c:v>0.618584874633925</c:v>
                </c:pt>
                <c:pt idx="726">
                  <c:v>0.623126556309022</c:v>
                </c:pt>
                <c:pt idx="727">
                  <c:v>0.618999890373201</c:v>
                </c:pt>
                <c:pt idx="728">
                  <c:v>0.607943244640033</c:v>
                </c:pt>
                <c:pt idx="729">
                  <c:v>0.618209011322882</c:v>
                </c:pt>
                <c:pt idx="730">
                  <c:v>0.62430112915603</c:v>
                </c:pt>
                <c:pt idx="731">
                  <c:v>0.622413982115171</c:v>
                </c:pt>
                <c:pt idx="732">
                  <c:v>0.625115499663289</c:v>
                </c:pt>
                <c:pt idx="733">
                  <c:v>0.613322788279329</c:v>
                </c:pt>
                <c:pt idx="734">
                  <c:v>0.61293909448264</c:v>
                </c:pt>
                <c:pt idx="735">
                  <c:v>0.586566018824488</c:v>
                </c:pt>
                <c:pt idx="736">
                  <c:v>0.593762235133823</c:v>
                </c:pt>
                <c:pt idx="737">
                  <c:v>0.567921632499648</c:v>
                </c:pt>
                <c:pt idx="738">
                  <c:v>0.557976915728314</c:v>
                </c:pt>
                <c:pt idx="739">
                  <c:v>0.544751225471004</c:v>
                </c:pt>
                <c:pt idx="740">
                  <c:v>0.576190625342584</c:v>
                </c:pt>
                <c:pt idx="741">
                  <c:v>0.614043192958827</c:v>
                </c:pt>
                <c:pt idx="742">
                  <c:v>0.621419510438037</c:v>
                </c:pt>
                <c:pt idx="743">
                  <c:v>0.627597763613299</c:v>
                </c:pt>
                <c:pt idx="744">
                  <c:v>0.630440229903059</c:v>
                </c:pt>
                <c:pt idx="745">
                  <c:v>0.630213145819304</c:v>
                </c:pt>
                <c:pt idx="746">
                  <c:v>0.635608350429894</c:v>
                </c:pt>
                <c:pt idx="747">
                  <c:v>0.637017837846303</c:v>
                </c:pt>
                <c:pt idx="748">
                  <c:v>0.629015081515355</c:v>
                </c:pt>
                <c:pt idx="749">
                  <c:v>0.612218689803142</c:v>
                </c:pt>
                <c:pt idx="750">
                  <c:v>0.611670555807871</c:v>
                </c:pt>
                <c:pt idx="751">
                  <c:v>0.582212268804911</c:v>
                </c:pt>
                <c:pt idx="752">
                  <c:v>0.568140886097756</c:v>
                </c:pt>
                <c:pt idx="753">
                  <c:v>0.586378087168966</c:v>
                </c:pt>
                <c:pt idx="754">
                  <c:v>0.614755767152679</c:v>
                </c:pt>
                <c:pt idx="755">
                  <c:v>0.601185535526913</c:v>
                </c:pt>
                <c:pt idx="756">
                  <c:v>0.588226081781592</c:v>
                </c:pt>
                <c:pt idx="757">
                  <c:v>0.584130737788358</c:v>
                </c:pt>
                <c:pt idx="758">
                  <c:v>0.574922086667815</c:v>
                </c:pt>
                <c:pt idx="759">
                  <c:v>0.560357383364916</c:v>
                </c:pt>
                <c:pt idx="760">
                  <c:v>0.581303932469892</c:v>
                </c:pt>
                <c:pt idx="761">
                  <c:v>0.583754874477315</c:v>
                </c:pt>
                <c:pt idx="762">
                  <c:v>0.591248649241226</c:v>
                </c:pt>
                <c:pt idx="763">
                  <c:v>0.615546646202998</c:v>
                </c:pt>
                <c:pt idx="764">
                  <c:v>0.606674705965264</c:v>
                </c:pt>
                <c:pt idx="765">
                  <c:v>0.610801371901085</c:v>
                </c:pt>
                <c:pt idx="766">
                  <c:v>0.589236214430019</c:v>
                </c:pt>
                <c:pt idx="767">
                  <c:v>0.567788514243653</c:v>
                </c:pt>
                <c:pt idx="768">
                  <c:v>0.582736911343242</c:v>
                </c:pt>
                <c:pt idx="769">
                  <c:v>0.562174056034955</c:v>
                </c:pt>
                <c:pt idx="770">
                  <c:v>0.582423691917373</c:v>
                </c:pt>
                <c:pt idx="771">
                  <c:v>0.605273049034501</c:v>
                </c:pt>
                <c:pt idx="772">
                  <c:v>0.598601475263496</c:v>
                </c:pt>
                <c:pt idx="773">
                  <c:v>0.615053325607254</c:v>
                </c:pt>
                <c:pt idx="774">
                  <c:v>0.609532833226316</c:v>
                </c:pt>
                <c:pt idx="775">
                  <c:v>0.60269681925673</c:v>
                </c:pt>
                <c:pt idx="776">
                  <c:v>0.619806430394813</c:v>
                </c:pt>
                <c:pt idx="777">
                  <c:v>0.619759447480933</c:v>
                </c:pt>
                <c:pt idx="778">
                  <c:v>0.635381266346139</c:v>
                </c:pt>
                <c:pt idx="779">
                  <c:v>0.642045009631497</c:v>
                </c:pt>
                <c:pt idx="780">
                  <c:v>0.644668222323149</c:v>
                </c:pt>
                <c:pt idx="781">
                  <c:v>0.644151410270465</c:v>
                </c:pt>
                <c:pt idx="782">
                  <c:v>0.642405211971246</c:v>
                </c:pt>
                <c:pt idx="783">
                  <c:v>0.652467386027282</c:v>
                </c:pt>
                <c:pt idx="784">
                  <c:v>0.651966234945891</c:v>
                </c:pt>
                <c:pt idx="785">
                  <c:v>0.656523577592282</c:v>
                </c:pt>
                <c:pt idx="786">
                  <c:v>0.655255038917514</c:v>
                </c:pt>
                <c:pt idx="787">
                  <c:v>0.652811927395737</c:v>
                </c:pt>
                <c:pt idx="788">
                  <c:v>0.647925704352184</c:v>
                </c:pt>
                <c:pt idx="789">
                  <c:v>0.658019200350806</c:v>
                </c:pt>
                <c:pt idx="790">
                  <c:v>0.650494103644308</c:v>
                </c:pt>
                <c:pt idx="791">
                  <c:v>0.643250904421092</c:v>
                </c:pt>
                <c:pt idx="792">
                  <c:v>0.645216356318419</c:v>
                </c:pt>
                <c:pt idx="793">
                  <c:v>0.621897170062487</c:v>
                </c:pt>
                <c:pt idx="794">
                  <c:v>0.628294676835857</c:v>
                </c:pt>
                <c:pt idx="795">
                  <c:v>0.600676553959877</c:v>
                </c:pt>
                <c:pt idx="796">
                  <c:v>0.597607003586363</c:v>
                </c:pt>
                <c:pt idx="797">
                  <c:v>0.617739182184079</c:v>
                </c:pt>
                <c:pt idx="798">
                  <c:v>0.607911922697446</c:v>
                </c:pt>
                <c:pt idx="799">
                  <c:v>0.62967284230968</c:v>
                </c:pt>
                <c:pt idx="800">
                  <c:v>0.624261976727797</c:v>
                </c:pt>
                <c:pt idx="801">
                  <c:v>0.644010461528824</c:v>
                </c:pt>
                <c:pt idx="802">
                  <c:v>0.63599987471223</c:v>
                </c:pt>
                <c:pt idx="803">
                  <c:v>0.650744679185003</c:v>
                </c:pt>
                <c:pt idx="804">
                  <c:v>0.64786306046701</c:v>
                </c:pt>
                <c:pt idx="805">
                  <c:v>0.637746073011448</c:v>
                </c:pt>
                <c:pt idx="806">
                  <c:v>0.613902244217186</c:v>
                </c:pt>
                <c:pt idx="807">
                  <c:v>0.610065306250294</c:v>
                </c:pt>
                <c:pt idx="808">
                  <c:v>0.613878752760246</c:v>
                </c:pt>
                <c:pt idx="809">
                  <c:v>0.633627237561273</c:v>
                </c:pt>
                <c:pt idx="810">
                  <c:v>0.619258296399543</c:v>
                </c:pt>
                <c:pt idx="811">
                  <c:v>0.612837298169233</c:v>
                </c:pt>
                <c:pt idx="812">
                  <c:v>0.618530061234398</c:v>
                </c:pt>
                <c:pt idx="813">
                  <c:v>0.629226504627817</c:v>
                </c:pt>
                <c:pt idx="814">
                  <c:v>0.625867226285374</c:v>
                </c:pt>
                <c:pt idx="815">
                  <c:v>0.630228806790597</c:v>
                </c:pt>
                <c:pt idx="816">
                  <c:v>0.637495497470753</c:v>
                </c:pt>
                <c:pt idx="817">
                  <c:v>0.646015065854384</c:v>
                </c:pt>
                <c:pt idx="818">
                  <c:v>0.638474308176593</c:v>
                </c:pt>
                <c:pt idx="819">
                  <c:v>0.641144503782125</c:v>
                </c:pt>
                <c:pt idx="820">
                  <c:v>0.649593597794935</c:v>
                </c:pt>
                <c:pt idx="821">
                  <c:v>0.648309398148873</c:v>
                </c:pt>
                <c:pt idx="822">
                  <c:v>0.629665011824033</c:v>
                </c:pt>
                <c:pt idx="823">
                  <c:v>0.644715205237029</c:v>
                </c:pt>
                <c:pt idx="824">
                  <c:v>0.642279924200899</c:v>
                </c:pt>
                <c:pt idx="825">
                  <c:v>0.650635052385949</c:v>
                </c:pt>
                <c:pt idx="826">
                  <c:v>0.654526803752369</c:v>
                </c:pt>
                <c:pt idx="827">
                  <c:v>0.658254114920207</c:v>
                </c:pt>
                <c:pt idx="828">
                  <c:v>0.651386779008034</c:v>
                </c:pt>
                <c:pt idx="829">
                  <c:v>0.655959782625719</c:v>
                </c:pt>
                <c:pt idx="830">
                  <c:v>0.649765868479163</c:v>
                </c:pt>
                <c:pt idx="831">
                  <c:v>0.633055612109063</c:v>
                </c:pt>
                <c:pt idx="832">
                  <c:v>0.650893458412291</c:v>
                </c:pt>
                <c:pt idx="833">
                  <c:v>0.655748359513257</c:v>
                </c:pt>
                <c:pt idx="834">
                  <c:v>0.636148653939517</c:v>
                </c:pt>
                <c:pt idx="835">
                  <c:v>0.628858471802421</c:v>
                </c:pt>
                <c:pt idx="836">
                  <c:v>0.635005403035096</c:v>
                </c:pt>
                <c:pt idx="837">
                  <c:v>0.657009067702379</c:v>
                </c:pt>
                <c:pt idx="838">
                  <c:v>0.648575634660862</c:v>
                </c:pt>
                <c:pt idx="839">
                  <c:v>0.643712903074249</c:v>
                </c:pt>
                <c:pt idx="840">
                  <c:v>0.643211751992859</c:v>
                </c:pt>
                <c:pt idx="841">
                  <c:v>0.660924310525739</c:v>
                </c:pt>
                <c:pt idx="842">
                  <c:v>0.662200679686154</c:v>
                </c:pt>
                <c:pt idx="843">
                  <c:v>0.667267003899582</c:v>
                </c:pt>
                <c:pt idx="844">
                  <c:v>0.666194227365981</c:v>
                </c:pt>
                <c:pt idx="845">
                  <c:v>0.664643791207931</c:v>
                </c:pt>
                <c:pt idx="846">
                  <c:v>0.668535542574351</c:v>
                </c:pt>
                <c:pt idx="847">
                  <c:v>0.664808231406512</c:v>
                </c:pt>
                <c:pt idx="848">
                  <c:v>0.647690789782782</c:v>
                </c:pt>
                <c:pt idx="849">
                  <c:v>0.662787966109658</c:v>
                </c:pt>
                <c:pt idx="850">
                  <c:v>0.66068156547069</c:v>
                </c:pt>
                <c:pt idx="851">
                  <c:v>0.650188714704086</c:v>
                </c:pt>
                <c:pt idx="852">
                  <c:v>0.653587145474762</c:v>
                </c:pt>
                <c:pt idx="853">
                  <c:v>0.651919252032011</c:v>
                </c:pt>
                <c:pt idx="854">
                  <c:v>0.655419479116095</c:v>
                </c:pt>
                <c:pt idx="855">
                  <c:v>0.641144503782125</c:v>
                </c:pt>
                <c:pt idx="856">
                  <c:v>0.638787527602462</c:v>
                </c:pt>
                <c:pt idx="857">
                  <c:v>0.628177219551157</c:v>
                </c:pt>
                <c:pt idx="858">
                  <c:v>0.628858471802421</c:v>
                </c:pt>
                <c:pt idx="859">
                  <c:v>0.648473838347454</c:v>
                </c:pt>
                <c:pt idx="860">
                  <c:v>0.651339796094154</c:v>
                </c:pt>
                <c:pt idx="861">
                  <c:v>0.639789829765242</c:v>
                </c:pt>
                <c:pt idx="862">
                  <c:v>0.632209919659217</c:v>
                </c:pt>
                <c:pt idx="863">
                  <c:v>0.641496875636227</c:v>
                </c:pt>
                <c:pt idx="864">
                  <c:v>0.644746527179616</c:v>
                </c:pt>
                <c:pt idx="865">
                  <c:v>0.661033937324793</c:v>
                </c:pt>
                <c:pt idx="866">
                  <c:v>0.652224640972233</c:v>
                </c:pt>
                <c:pt idx="867">
                  <c:v>0.662294645513915</c:v>
                </c:pt>
                <c:pt idx="868">
                  <c:v>0.663351761076222</c:v>
                </c:pt>
                <c:pt idx="869">
                  <c:v>0.651120542496046</c:v>
                </c:pt>
                <c:pt idx="870">
                  <c:v>0.646210827995552</c:v>
                </c:pt>
                <c:pt idx="871">
                  <c:v>0.645568728172521</c:v>
                </c:pt>
                <c:pt idx="872">
                  <c:v>0.611232048611655</c:v>
                </c:pt>
                <c:pt idx="873">
                  <c:v>0.615515324260411</c:v>
                </c:pt>
                <c:pt idx="874">
                  <c:v>0.626720749220867</c:v>
                </c:pt>
                <c:pt idx="875">
                  <c:v>0.626219598139477</c:v>
                </c:pt>
                <c:pt idx="876">
                  <c:v>0.619939548650807</c:v>
                </c:pt>
                <c:pt idx="877">
                  <c:v>0.629790299594381</c:v>
                </c:pt>
                <c:pt idx="878">
                  <c:v>0.60264983634285</c:v>
                </c:pt>
                <c:pt idx="879">
                  <c:v>0.606275351197281</c:v>
                </c:pt>
                <c:pt idx="880">
                  <c:v>0.626094310369129</c:v>
                </c:pt>
                <c:pt idx="881">
                  <c:v>0.644088766385291</c:v>
                </c:pt>
                <c:pt idx="882">
                  <c:v>0.651410270464974</c:v>
                </c:pt>
                <c:pt idx="883">
                  <c:v>0.650196545189733</c:v>
                </c:pt>
                <c:pt idx="884">
                  <c:v>0.663422235447042</c:v>
                </c:pt>
                <c:pt idx="885">
                  <c:v>0.665262399574021</c:v>
                </c:pt>
                <c:pt idx="886">
                  <c:v>0.666546599220084</c:v>
                </c:pt>
                <c:pt idx="887">
                  <c:v>0.659444348738509</c:v>
                </c:pt>
                <c:pt idx="888">
                  <c:v>0.655482123001269</c:v>
                </c:pt>
                <c:pt idx="889">
                  <c:v>0.646085540225205</c:v>
                </c:pt>
                <c:pt idx="890">
                  <c:v>0.628466947520085</c:v>
                </c:pt>
                <c:pt idx="891">
                  <c:v>0.619062534258375</c:v>
                </c:pt>
                <c:pt idx="892">
                  <c:v>0.639116407999624</c:v>
                </c:pt>
                <c:pt idx="893">
                  <c:v>0.651112712010399</c:v>
                </c:pt>
                <c:pt idx="894">
                  <c:v>0.651159694924279</c:v>
                </c:pt>
                <c:pt idx="895">
                  <c:v>0.647408892299501</c:v>
                </c:pt>
                <c:pt idx="896">
                  <c:v>0.642867210624403</c:v>
                </c:pt>
                <c:pt idx="897">
                  <c:v>0.639171221399151</c:v>
                </c:pt>
                <c:pt idx="898">
                  <c:v>0.644276698040813</c:v>
                </c:pt>
                <c:pt idx="899">
                  <c:v>0.631528667407953</c:v>
                </c:pt>
                <c:pt idx="900">
                  <c:v>0.626838206505568</c:v>
                </c:pt>
                <c:pt idx="901">
                  <c:v>0.647675128811489</c:v>
                </c:pt>
                <c:pt idx="902">
                  <c:v>0.631928022175935</c:v>
                </c:pt>
                <c:pt idx="903">
                  <c:v>0.633478458333986</c:v>
                </c:pt>
                <c:pt idx="904">
                  <c:v>0.631395549151958</c:v>
                </c:pt>
                <c:pt idx="905">
                  <c:v>0.637777394954035</c:v>
                </c:pt>
                <c:pt idx="906">
                  <c:v>0.64631262430896</c:v>
                </c:pt>
                <c:pt idx="907">
                  <c:v>0.64199019623197</c:v>
                </c:pt>
                <c:pt idx="908">
                  <c:v>0.628435625577498</c:v>
                </c:pt>
                <c:pt idx="909">
                  <c:v>0.594075454559692</c:v>
                </c:pt>
                <c:pt idx="910">
                  <c:v>0.543302585626361</c:v>
                </c:pt>
                <c:pt idx="911">
                  <c:v>0.482475373122641</c:v>
                </c:pt>
                <c:pt idx="912">
                  <c:v>0.462429329867038</c:v>
                </c:pt>
                <c:pt idx="913">
                  <c:v>0.519513570231626</c:v>
                </c:pt>
                <c:pt idx="914">
                  <c:v>0.55643431005591</c:v>
                </c:pt>
                <c:pt idx="915">
                  <c:v>0.557381798819163</c:v>
                </c:pt>
                <c:pt idx="916">
                  <c:v>0.544312718274788</c:v>
                </c:pt>
                <c:pt idx="917">
                  <c:v>0.498637495497471</c:v>
                </c:pt>
                <c:pt idx="918">
                  <c:v>0.526052025746637</c:v>
                </c:pt>
                <c:pt idx="919">
                  <c:v>0.527829545988442</c:v>
                </c:pt>
                <c:pt idx="920">
                  <c:v>0.504408563419103</c:v>
                </c:pt>
                <c:pt idx="921">
                  <c:v>0.542143673750646</c:v>
                </c:pt>
                <c:pt idx="922">
                  <c:v>0.520711634535574</c:v>
                </c:pt>
                <c:pt idx="923">
                  <c:v>0.528737882323462</c:v>
                </c:pt>
                <c:pt idx="924">
                  <c:v>0.535597387749988</c:v>
                </c:pt>
                <c:pt idx="925">
                  <c:v>0.529317338261319</c:v>
                </c:pt>
                <c:pt idx="926">
                  <c:v>0.548940535291999</c:v>
                </c:pt>
                <c:pt idx="927">
                  <c:v>0.56242463157565</c:v>
                </c:pt>
                <c:pt idx="928">
                  <c:v>0.558423253410177</c:v>
                </c:pt>
                <c:pt idx="929">
                  <c:v>0.533232581084679</c:v>
                </c:pt>
                <c:pt idx="930">
                  <c:v>0.540233035252846</c:v>
                </c:pt>
                <c:pt idx="931">
                  <c:v>0.521259768530844</c:v>
                </c:pt>
                <c:pt idx="932">
                  <c:v>0.51814323524345</c:v>
                </c:pt>
                <c:pt idx="933">
                  <c:v>0.513037758601789</c:v>
                </c:pt>
                <c:pt idx="934">
                  <c:v>0.512333014893584</c:v>
                </c:pt>
                <c:pt idx="935">
                  <c:v>0.473517297542794</c:v>
                </c:pt>
                <c:pt idx="936">
                  <c:v>0.475333970212833</c:v>
                </c:pt>
                <c:pt idx="937">
                  <c:v>0.503476735627144</c:v>
                </c:pt>
                <c:pt idx="938">
                  <c:v>0.50644448968725</c:v>
                </c:pt>
                <c:pt idx="939">
                  <c:v>0.528009647158317</c:v>
                </c:pt>
                <c:pt idx="940">
                  <c:v>0.55595665043146</c:v>
                </c:pt>
                <c:pt idx="941">
                  <c:v>0.550373514165349</c:v>
                </c:pt>
                <c:pt idx="942">
                  <c:v>0.56283181682928</c:v>
                </c:pt>
                <c:pt idx="943">
                  <c:v>0.576613471567507</c:v>
                </c:pt>
                <c:pt idx="944">
                  <c:v>0.577756722471928</c:v>
                </c:pt>
                <c:pt idx="945">
                  <c:v>0.579769157283135</c:v>
                </c:pt>
                <c:pt idx="946">
                  <c:v>0.568986578547602</c:v>
                </c:pt>
                <c:pt idx="947">
                  <c:v>0.561586769611451</c:v>
                </c:pt>
                <c:pt idx="948">
                  <c:v>0.584780668097035</c:v>
                </c:pt>
                <c:pt idx="949">
                  <c:v>0.592023867320251</c:v>
                </c:pt>
                <c:pt idx="950">
                  <c:v>0.592454544030821</c:v>
                </c:pt>
                <c:pt idx="951">
                  <c:v>0.590191533678919</c:v>
                </c:pt>
                <c:pt idx="952">
                  <c:v>0.580928069158849</c:v>
                </c:pt>
                <c:pt idx="953">
                  <c:v>0.607215009474888</c:v>
                </c:pt>
                <c:pt idx="954">
                  <c:v>0.624943228979061</c:v>
                </c:pt>
                <c:pt idx="955">
                  <c:v>0.621834526177313</c:v>
                </c:pt>
                <c:pt idx="956">
                  <c:v>0.617692199270199</c:v>
                </c:pt>
                <c:pt idx="957">
                  <c:v>0.636845567162075</c:v>
                </c:pt>
                <c:pt idx="958">
                  <c:v>0.636109501511284</c:v>
                </c:pt>
                <c:pt idx="959">
                  <c:v>0.62823986343633</c:v>
                </c:pt>
                <c:pt idx="960">
                  <c:v>0.647573332498082</c:v>
                </c:pt>
                <c:pt idx="961">
                  <c:v>0.652068031259299</c:v>
                </c:pt>
                <c:pt idx="962">
                  <c:v>0.646210827995552</c:v>
                </c:pt>
                <c:pt idx="963">
                  <c:v>0.644347172411633</c:v>
                </c:pt>
                <c:pt idx="964">
                  <c:v>0.643775546959422</c:v>
                </c:pt>
                <c:pt idx="965">
                  <c:v>0.627629085555886</c:v>
                </c:pt>
                <c:pt idx="966">
                  <c:v>0.630087858048956</c:v>
                </c:pt>
                <c:pt idx="967">
                  <c:v>0.624825771694361</c:v>
                </c:pt>
                <c:pt idx="968">
                  <c:v>0.602093871861933</c:v>
                </c:pt>
                <c:pt idx="969">
                  <c:v>0.584138568274004</c:v>
                </c:pt>
                <c:pt idx="970">
                  <c:v>0.607747482498865</c:v>
                </c:pt>
                <c:pt idx="971">
                  <c:v>0.605594098946017</c:v>
                </c:pt>
                <c:pt idx="972">
                  <c:v>0.631544328379246</c:v>
                </c:pt>
                <c:pt idx="973">
                  <c:v>0.629711994737913</c:v>
                </c:pt>
                <c:pt idx="974">
                  <c:v>0.635921569855762</c:v>
                </c:pt>
                <c:pt idx="975">
                  <c:v>0.633901304558909</c:v>
                </c:pt>
                <c:pt idx="976">
                  <c:v>0.635898078398822</c:v>
                </c:pt>
                <c:pt idx="977">
                  <c:v>0.635686655286361</c:v>
                </c:pt>
                <c:pt idx="978">
                  <c:v>0.636657635506554</c:v>
                </c:pt>
                <c:pt idx="979">
                  <c:v>0.629062064429236</c:v>
                </c:pt>
                <c:pt idx="980">
                  <c:v>0.646461403536247</c:v>
                </c:pt>
                <c:pt idx="981">
                  <c:v>0.628357320721031</c:v>
                </c:pt>
                <c:pt idx="982">
                  <c:v>0.604951999122985</c:v>
                </c:pt>
                <c:pt idx="983">
                  <c:v>0.637894852238736</c:v>
                </c:pt>
                <c:pt idx="984">
                  <c:v>0.626446682223232</c:v>
                </c:pt>
                <c:pt idx="985">
                  <c:v>0.615891187571453</c:v>
                </c:pt>
                <c:pt idx="986">
                  <c:v>0.603385901993642</c:v>
                </c:pt>
                <c:pt idx="987">
                  <c:v>0.606995755876779</c:v>
                </c:pt>
                <c:pt idx="988">
                  <c:v>0.575783440088954</c:v>
                </c:pt>
                <c:pt idx="989">
                  <c:v>0.583277214852865</c:v>
                </c:pt>
                <c:pt idx="990">
                  <c:v>0.600089267536373</c:v>
                </c:pt>
                <c:pt idx="991">
                  <c:v>0.623314487964544</c:v>
                </c:pt>
                <c:pt idx="992">
                  <c:v>0.598899033718071</c:v>
                </c:pt>
                <c:pt idx="993">
                  <c:v>0.570443048877891</c:v>
                </c:pt>
                <c:pt idx="994">
                  <c:v>0.582658606486774</c:v>
                </c:pt>
                <c:pt idx="995">
                  <c:v>0.596612531909229</c:v>
                </c:pt>
                <c:pt idx="996">
                  <c:v>0.616439321566724</c:v>
                </c:pt>
                <c:pt idx="997">
                  <c:v>0.613855261303306</c:v>
                </c:pt>
                <c:pt idx="998">
                  <c:v>0.610339373247929</c:v>
                </c:pt>
                <c:pt idx="999">
                  <c:v>0.627456814871658</c:v>
                </c:pt>
                <c:pt idx="1000">
                  <c:v>0.615711086401579</c:v>
                </c:pt>
                <c:pt idx="1001">
                  <c:v>0.600504283275649</c:v>
                </c:pt>
                <c:pt idx="1002">
                  <c:v>0.576010524172709</c:v>
                </c:pt>
                <c:pt idx="1003">
                  <c:v>0.579181870859631</c:v>
                </c:pt>
                <c:pt idx="1004">
                  <c:v>0.558470236324057</c:v>
                </c:pt>
                <c:pt idx="1005">
                  <c:v>0.521533835528479</c:v>
                </c:pt>
                <c:pt idx="1006">
                  <c:v>0.505042832756488</c:v>
                </c:pt>
                <c:pt idx="1007">
                  <c:v>0.50632703240255</c:v>
                </c:pt>
                <c:pt idx="1008">
                  <c:v>0.518080591358276</c:v>
                </c:pt>
                <c:pt idx="1009">
                  <c:v>0.480181040828152</c:v>
                </c:pt>
                <c:pt idx="1010">
                  <c:v>0.5048940535292</c:v>
                </c:pt>
                <c:pt idx="1011">
                  <c:v>0.472389707609666</c:v>
                </c:pt>
                <c:pt idx="1012">
                  <c:v>0.473172756174338</c:v>
                </c:pt>
                <c:pt idx="1013">
                  <c:v>0.455945687751554</c:v>
                </c:pt>
                <c:pt idx="1014">
                  <c:v>0.463509936886286</c:v>
                </c:pt>
                <c:pt idx="1015">
                  <c:v>0.493195307973001</c:v>
                </c:pt>
                <c:pt idx="1016">
                  <c:v>0.469844799774482</c:v>
                </c:pt>
                <c:pt idx="1017">
                  <c:v>0.490634739166523</c:v>
                </c:pt>
                <c:pt idx="1018">
                  <c:v>0.474441294849107</c:v>
                </c:pt>
                <c:pt idx="1019">
                  <c:v>0.482592830407342</c:v>
                </c:pt>
                <c:pt idx="1020">
                  <c:v>0.519302147119164</c:v>
                </c:pt>
                <c:pt idx="1021">
                  <c:v>0.518628725353547</c:v>
                </c:pt>
                <c:pt idx="1022">
                  <c:v>0.49016491002772</c:v>
                </c:pt>
                <c:pt idx="1023">
                  <c:v>0.497603871392104</c:v>
                </c:pt>
                <c:pt idx="1024">
                  <c:v>0.499890373200946</c:v>
                </c:pt>
                <c:pt idx="1025">
                  <c:v>0.472170454011558</c:v>
                </c:pt>
                <c:pt idx="1026">
                  <c:v>0.451333531705636</c:v>
                </c:pt>
                <c:pt idx="1027">
                  <c:v>0.45037038197109</c:v>
                </c:pt>
                <c:pt idx="1028">
                  <c:v>0.450096314973455</c:v>
                </c:pt>
                <c:pt idx="1029">
                  <c:v>0.432258468670227</c:v>
                </c:pt>
                <c:pt idx="1030">
                  <c:v>0.460213302429017</c:v>
                </c:pt>
                <c:pt idx="1031">
                  <c:v>0.484331198220914</c:v>
                </c:pt>
                <c:pt idx="1032">
                  <c:v>0.508793635381266</c:v>
                </c:pt>
                <c:pt idx="1033">
                  <c:v>0.501754028784865</c:v>
                </c:pt>
                <c:pt idx="1034">
                  <c:v>0.501714876356632</c:v>
                </c:pt>
                <c:pt idx="1035">
                  <c:v>0.523420982569339</c:v>
                </c:pt>
                <c:pt idx="1036">
                  <c:v>0.504447715847337</c:v>
                </c:pt>
                <c:pt idx="1037">
                  <c:v>0.511127120103989</c:v>
                </c:pt>
                <c:pt idx="1038">
                  <c:v>0.528275883670305</c:v>
                </c:pt>
                <c:pt idx="1039">
                  <c:v>0.525417756409252</c:v>
                </c:pt>
                <c:pt idx="1040">
                  <c:v>0.513029928116142</c:v>
                </c:pt>
                <c:pt idx="1041">
                  <c:v>0.549144127918813</c:v>
                </c:pt>
                <c:pt idx="1042">
                  <c:v>0.555486821292657</c:v>
                </c:pt>
                <c:pt idx="1043">
                  <c:v>0.560929008817127</c:v>
                </c:pt>
                <c:pt idx="1044">
                  <c:v>0.566089298858315</c:v>
                </c:pt>
                <c:pt idx="1045">
                  <c:v>0.567475294817785</c:v>
                </c:pt>
                <c:pt idx="1046">
                  <c:v>0.549856702112665</c:v>
                </c:pt>
                <c:pt idx="1047">
                  <c:v>0.557687187759385</c:v>
                </c:pt>
                <c:pt idx="1048">
                  <c:v>0.557929932814433</c:v>
                </c:pt>
                <c:pt idx="1049">
                  <c:v>0.583472976994033</c:v>
                </c:pt>
                <c:pt idx="1050">
                  <c:v>0.58147620315412</c:v>
                </c:pt>
                <c:pt idx="1051">
                  <c:v>0.578571092979187</c:v>
                </c:pt>
                <c:pt idx="1052">
                  <c:v>0.587411711274333</c:v>
                </c:pt>
                <c:pt idx="1053">
                  <c:v>0.597881070583998</c:v>
                </c:pt>
                <c:pt idx="1054">
                  <c:v>0.604920677180399</c:v>
                </c:pt>
                <c:pt idx="1055">
                  <c:v>0.606502435281036</c:v>
                </c:pt>
                <c:pt idx="1056">
                  <c:v>0.605092947864627</c:v>
                </c:pt>
                <c:pt idx="1057">
                  <c:v>0.59484284215307</c:v>
                </c:pt>
                <c:pt idx="1058">
                  <c:v>0.594239894758273</c:v>
                </c:pt>
                <c:pt idx="1059">
                  <c:v>0.595109078665059</c:v>
                </c:pt>
                <c:pt idx="1060">
                  <c:v>0.609172630886568</c:v>
                </c:pt>
                <c:pt idx="1061">
                  <c:v>0.616173085054735</c:v>
                </c:pt>
                <c:pt idx="1062">
                  <c:v>0.612876450597466</c:v>
                </c:pt>
                <c:pt idx="1063">
                  <c:v>0.623087403880789</c:v>
                </c:pt>
                <c:pt idx="1064">
                  <c:v>0.61788013092572</c:v>
                </c:pt>
                <c:pt idx="1065">
                  <c:v>0.601467433010195</c:v>
                </c:pt>
                <c:pt idx="1066">
                  <c:v>0.618295146664996</c:v>
                </c:pt>
                <c:pt idx="1067">
                  <c:v>0.598914694689365</c:v>
                </c:pt>
                <c:pt idx="1068">
                  <c:v>0.603370241022348</c:v>
                </c:pt>
                <c:pt idx="1069">
                  <c:v>0.598977338574538</c:v>
                </c:pt>
                <c:pt idx="1070">
                  <c:v>0.614426886755516</c:v>
                </c:pt>
                <c:pt idx="1071">
                  <c:v>0.630635992044227</c:v>
                </c:pt>
                <c:pt idx="1072">
                  <c:v>0.630917889527509</c:v>
                </c:pt>
                <c:pt idx="1073">
                  <c:v>0.629312639969931</c:v>
                </c:pt>
                <c:pt idx="1074">
                  <c:v>0.639969930935117</c:v>
                </c:pt>
                <c:pt idx="1075">
                  <c:v>0.645028424662898</c:v>
                </c:pt>
                <c:pt idx="1076">
                  <c:v>0.646281302366373</c:v>
                </c:pt>
                <c:pt idx="1077">
                  <c:v>0.637730412040155</c:v>
                </c:pt>
                <c:pt idx="1078">
                  <c:v>0.637808716896622</c:v>
                </c:pt>
                <c:pt idx="1079">
                  <c:v>0.634840962836515</c:v>
                </c:pt>
                <c:pt idx="1080">
                  <c:v>0.637902682724382</c:v>
                </c:pt>
                <c:pt idx="1081">
                  <c:v>0.640604200272501</c:v>
                </c:pt>
                <c:pt idx="1082">
                  <c:v>0.625460041031745</c:v>
                </c:pt>
                <c:pt idx="1083">
                  <c:v>0.617230200617042</c:v>
                </c:pt>
                <c:pt idx="1084">
                  <c:v>0.629860773965201</c:v>
                </c:pt>
                <c:pt idx="1085">
                  <c:v>0.615718916887225</c:v>
                </c:pt>
                <c:pt idx="1086">
                  <c:v>0.606126571969993</c:v>
                </c:pt>
                <c:pt idx="1087">
                  <c:v>0.605742878173304</c:v>
                </c:pt>
                <c:pt idx="1088">
                  <c:v>0.610840524329319</c:v>
                </c:pt>
                <c:pt idx="1089">
                  <c:v>0.61205424960456</c:v>
                </c:pt>
                <c:pt idx="1090">
                  <c:v>0.63217859771663</c:v>
                </c:pt>
                <c:pt idx="1091">
                  <c:v>0.616572439822718</c:v>
                </c:pt>
                <c:pt idx="1092">
                  <c:v>0.616298372825083</c:v>
                </c:pt>
                <c:pt idx="1093">
                  <c:v>0.602595022943323</c:v>
                </c:pt>
                <c:pt idx="1094">
                  <c:v>0.618295146664996</c:v>
                </c:pt>
                <c:pt idx="1095">
                  <c:v>0.603064852082126</c:v>
                </c:pt>
                <c:pt idx="1096">
                  <c:v>0.603393732479288</c:v>
                </c:pt>
                <c:pt idx="1097">
                  <c:v>0.597450393873428</c:v>
                </c:pt>
                <c:pt idx="1098">
                  <c:v>0.6070662302476</c:v>
                </c:pt>
                <c:pt idx="1099">
                  <c:v>0.603714782390804</c:v>
                </c:pt>
                <c:pt idx="1100">
                  <c:v>0.625655803172913</c:v>
                </c:pt>
                <c:pt idx="1101">
                  <c:v>0.636994346389363</c:v>
                </c:pt>
                <c:pt idx="1102">
                  <c:v>0.636649805020907</c:v>
                </c:pt>
                <c:pt idx="1103">
                  <c:v>0.643665920160368</c:v>
                </c:pt>
                <c:pt idx="1104">
                  <c:v>0.642021518174557</c:v>
                </c:pt>
                <c:pt idx="1105">
                  <c:v>0.64387734327283</c:v>
                </c:pt>
                <c:pt idx="1106">
                  <c:v>0.648520821261335</c:v>
                </c:pt>
                <c:pt idx="1107">
                  <c:v>0.643720733559895</c:v>
                </c:pt>
                <c:pt idx="1108">
                  <c:v>0.651770472804723</c:v>
                </c:pt>
                <c:pt idx="1109">
                  <c:v>0.653900364900631</c:v>
                </c:pt>
                <c:pt idx="1110">
                  <c:v>0.659373874367688</c:v>
                </c:pt>
                <c:pt idx="1111">
                  <c:v>0.656523577592282</c:v>
                </c:pt>
                <c:pt idx="1112">
                  <c:v>0.641324604951999</c:v>
                </c:pt>
                <c:pt idx="1113">
                  <c:v>0.628004948866929</c:v>
                </c:pt>
                <c:pt idx="1114">
                  <c:v>0.625076347235056</c:v>
                </c:pt>
                <c:pt idx="1115">
                  <c:v>0.622085101718008</c:v>
                </c:pt>
                <c:pt idx="1116">
                  <c:v>0.62716708690273</c:v>
                </c:pt>
                <c:pt idx="1117">
                  <c:v>0.6218658481199</c:v>
                </c:pt>
                <c:pt idx="1118">
                  <c:v>0.631285922352904</c:v>
                </c:pt>
                <c:pt idx="1119">
                  <c:v>0.635710146743301</c:v>
                </c:pt>
                <c:pt idx="1120">
                  <c:v>0.633008629195183</c:v>
                </c:pt>
                <c:pt idx="1121">
                  <c:v>0.654832192692591</c:v>
                </c:pt>
                <c:pt idx="1122">
                  <c:v>0.595390976148341</c:v>
                </c:pt>
                <c:pt idx="1123">
                  <c:v>0.566519975568885</c:v>
                </c:pt>
                <c:pt idx="1124">
                  <c:v>0.594357352042974</c:v>
                </c:pt>
                <c:pt idx="1125">
                  <c:v>0.621513476265798</c:v>
                </c:pt>
                <c:pt idx="1126">
                  <c:v>0.643509310447434</c:v>
                </c:pt>
                <c:pt idx="1127">
                  <c:v>0.646711979076942</c:v>
                </c:pt>
                <c:pt idx="1128">
                  <c:v>0.635436079745666</c:v>
                </c:pt>
                <c:pt idx="1129">
                  <c:v>0.644190562698699</c:v>
                </c:pt>
                <c:pt idx="1130">
                  <c:v>0.642757583825349</c:v>
                </c:pt>
                <c:pt idx="1131">
                  <c:v>0.667815137894852</c:v>
                </c:pt>
                <c:pt idx="1132">
                  <c:v>0.673500070474371</c:v>
                </c:pt>
                <c:pt idx="1133">
                  <c:v>0.685230137973157</c:v>
                </c:pt>
                <c:pt idx="1134">
                  <c:v>0.685457222056912</c:v>
                </c:pt>
                <c:pt idx="1135">
                  <c:v>0.694321331808999</c:v>
                </c:pt>
                <c:pt idx="1136">
                  <c:v>0.692747404194008</c:v>
                </c:pt>
                <c:pt idx="1137">
                  <c:v>0.696780104302069</c:v>
                </c:pt>
                <c:pt idx="1138">
                  <c:v>0.694344823265939</c:v>
                </c:pt>
                <c:pt idx="1139">
                  <c:v>0.701580192003508</c:v>
                </c:pt>
                <c:pt idx="1140">
                  <c:v>0.695433260770833</c:v>
                </c:pt>
                <c:pt idx="1141">
                  <c:v>0.703154119618499</c:v>
                </c:pt>
                <c:pt idx="1142">
                  <c:v>0.698025151519897</c:v>
                </c:pt>
                <c:pt idx="1143">
                  <c:v>0.698573285515168</c:v>
                </c:pt>
                <c:pt idx="1144">
                  <c:v>0.69653735924702</c:v>
                </c:pt>
                <c:pt idx="1145">
                  <c:v>0.699262368252079</c:v>
                </c:pt>
                <c:pt idx="1146">
                  <c:v>0.702034360171018</c:v>
                </c:pt>
                <c:pt idx="1147">
                  <c:v>0.699873146132523</c:v>
                </c:pt>
                <c:pt idx="1148">
                  <c:v>0.689059245454403</c:v>
                </c:pt>
                <c:pt idx="1149">
                  <c:v>0.694352653751586</c:v>
                </c:pt>
                <c:pt idx="1150">
                  <c:v>0.694712856091335</c:v>
                </c:pt>
                <c:pt idx="1151">
                  <c:v>0.709293220365527</c:v>
                </c:pt>
                <c:pt idx="1152">
                  <c:v>0.707742784207476</c:v>
                </c:pt>
                <c:pt idx="1153">
                  <c:v>0.708408375487448</c:v>
                </c:pt>
                <c:pt idx="1154">
                  <c:v>0.703514321958248</c:v>
                </c:pt>
                <c:pt idx="1155">
                  <c:v>0.711579722174369</c:v>
                </c:pt>
                <c:pt idx="1156">
                  <c:v>0.71021721767184</c:v>
                </c:pt>
                <c:pt idx="1157">
                  <c:v>0.714993813916339</c:v>
                </c:pt>
                <c:pt idx="1158">
                  <c:v>0.705597231140275</c:v>
                </c:pt>
                <c:pt idx="1159">
                  <c:v>0.70878423879849</c:v>
                </c:pt>
                <c:pt idx="1160">
                  <c:v>0.712542871908916</c:v>
                </c:pt>
                <c:pt idx="1161">
                  <c:v>0.710076268930199</c:v>
                </c:pt>
                <c:pt idx="1162">
                  <c:v>0.709113119195652</c:v>
                </c:pt>
                <c:pt idx="1163">
                  <c:v>0.712448906081155</c:v>
                </c:pt>
                <c:pt idx="1164">
                  <c:v>0.703475169530014</c:v>
                </c:pt>
                <c:pt idx="1165">
                  <c:v>0.701149515292938</c:v>
                </c:pt>
                <c:pt idx="1166">
                  <c:v>0.698463658716113</c:v>
                </c:pt>
                <c:pt idx="1167">
                  <c:v>0.707343429439494</c:v>
                </c:pt>
                <c:pt idx="1168">
                  <c:v>0.704007642553991</c:v>
                </c:pt>
                <c:pt idx="1169">
                  <c:v>0.699959281474637</c:v>
                </c:pt>
                <c:pt idx="1170">
                  <c:v>0.699888807103817</c:v>
                </c:pt>
                <c:pt idx="1171">
                  <c:v>0.707030210013625</c:v>
                </c:pt>
                <c:pt idx="1172">
                  <c:v>0.712120025683993</c:v>
                </c:pt>
                <c:pt idx="1173">
                  <c:v>0.711869450143298</c:v>
                </c:pt>
                <c:pt idx="1174">
                  <c:v>0.708063834118992</c:v>
                </c:pt>
                <c:pt idx="1175">
                  <c:v>0.666178566394688</c:v>
                </c:pt>
                <c:pt idx="1176">
                  <c:v>0.690633173069394</c:v>
                </c:pt>
                <c:pt idx="1177">
                  <c:v>0.665559958028597</c:v>
                </c:pt>
                <c:pt idx="1178">
                  <c:v>0.664581147322757</c:v>
                </c:pt>
                <c:pt idx="1179">
                  <c:v>0.681408860977558</c:v>
                </c:pt>
                <c:pt idx="1180">
                  <c:v>0.675066167603715</c:v>
                </c:pt>
                <c:pt idx="1181">
                  <c:v>0.675034845661128</c:v>
                </c:pt>
                <c:pt idx="1182">
                  <c:v>0.675535996742518</c:v>
                </c:pt>
                <c:pt idx="1183">
                  <c:v>0.693828011213255</c:v>
                </c:pt>
                <c:pt idx="1184">
                  <c:v>0.704837674032543</c:v>
                </c:pt>
                <c:pt idx="1185">
                  <c:v>0.69505739745979</c:v>
                </c:pt>
                <c:pt idx="1186">
                  <c:v>0.680500524642538</c:v>
                </c:pt>
                <c:pt idx="1187">
                  <c:v>0.691330086291952</c:v>
                </c:pt>
                <c:pt idx="1188">
                  <c:v>0.700288161871799</c:v>
                </c:pt>
                <c:pt idx="1189">
                  <c:v>0.684439258922838</c:v>
                </c:pt>
                <c:pt idx="1190">
                  <c:v>0.697860711321316</c:v>
                </c:pt>
                <c:pt idx="1191">
                  <c:v>0.692324557969085</c:v>
                </c:pt>
                <c:pt idx="1192">
                  <c:v>0.683938107841448</c:v>
                </c:pt>
                <c:pt idx="1193">
                  <c:v>0.691173476579017</c:v>
                </c:pt>
                <c:pt idx="1194">
                  <c:v>0.691987847086276</c:v>
                </c:pt>
                <c:pt idx="1195">
                  <c:v>0.686483015676632</c:v>
                </c:pt>
                <c:pt idx="1196">
                  <c:v>0.694250857438178</c:v>
                </c:pt>
                <c:pt idx="1197">
                  <c:v>0.673163359591562</c:v>
                </c:pt>
                <c:pt idx="1198">
                  <c:v>0.675081828575008</c:v>
                </c:pt>
                <c:pt idx="1199">
                  <c:v>0.669890216591233</c:v>
                </c:pt>
                <c:pt idx="1200">
                  <c:v>0.670226927474042</c:v>
                </c:pt>
                <c:pt idx="1201">
                  <c:v>0.665152772774967</c:v>
                </c:pt>
                <c:pt idx="1202">
                  <c:v>0.67541070897217</c:v>
                </c:pt>
                <c:pt idx="1203">
                  <c:v>0.679083206740482</c:v>
                </c:pt>
                <c:pt idx="1204">
                  <c:v>0.6767732134747</c:v>
                </c:pt>
                <c:pt idx="1205">
                  <c:v>0.676632264733059</c:v>
                </c:pt>
                <c:pt idx="1206">
                  <c:v>0.684595868635773</c:v>
                </c:pt>
                <c:pt idx="1207">
                  <c:v>0.678198361862403</c:v>
                </c:pt>
                <c:pt idx="1208">
                  <c:v>0.675277590716176</c:v>
                </c:pt>
                <c:pt idx="1209">
                  <c:v>0.670273910387922</c:v>
                </c:pt>
                <c:pt idx="1210">
                  <c:v>0.665082298404147</c:v>
                </c:pt>
                <c:pt idx="1211">
                  <c:v>0.664878705777332</c:v>
                </c:pt>
                <c:pt idx="1212">
                  <c:v>0.653579314989115</c:v>
                </c:pt>
                <c:pt idx="1213">
                  <c:v>0.642788905767936</c:v>
                </c:pt>
                <c:pt idx="1214">
                  <c:v>0.63552221508778</c:v>
                </c:pt>
                <c:pt idx="1215">
                  <c:v>0.632797206082721</c:v>
                </c:pt>
                <c:pt idx="1216">
                  <c:v>0.669083676569621</c:v>
                </c:pt>
                <c:pt idx="1217">
                  <c:v>0.675379387029583</c:v>
                </c:pt>
                <c:pt idx="1218">
                  <c:v>0.69393763801231</c:v>
                </c:pt>
                <c:pt idx="1219">
                  <c:v>0.697242102955225</c:v>
                </c:pt>
                <c:pt idx="1220">
                  <c:v>0.694869465804269</c:v>
                </c:pt>
                <c:pt idx="1221">
                  <c:v>0.694673703663101</c:v>
                </c:pt>
                <c:pt idx="1222">
                  <c:v>0.707351259925141</c:v>
                </c:pt>
                <c:pt idx="1223">
                  <c:v>0.704649742377022</c:v>
                </c:pt>
                <c:pt idx="1224">
                  <c:v>0.712621176765383</c:v>
                </c:pt>
                <c:pt idx="1225">
                  <c:v>0.708533663257795</c:v>
                </c:pt>
                <c:pt idx="1226">
                  <c:v>0.721281693890655</c:v>
                </c:pt>
                <c:pt idx="1227">
                  <c:v>0.725009005058494</c:v>
                </c:pt>
                <c:pt idx="1228">
                  <c:v>0.72640283150361</c:v>
                </c:pt>
                <c:pt idx="1229">
                  <c:v>0.733160540616729</c:v>
                </c:pt>
                <c:pt idx="1230">
                  <c:v>0.724053685809594</c:v>
                </c:pt>
                <c:pt idx="1231">
                  <c:v>0.726355848589729</c:v>
                </c:pt>
                <c:pt idx="1232">
                  <c:v>0.721775014486398</c:v>
                </c:pt>
                <c:pt idx="1233">
                  <c:v>0.715722049081484</c:v>
                </c:pt>
                <c:pt idx="1234">
                  <c:v>0.716403301332748</c:v>
                </c:pt>
                <c:pt idx="1235">
                  <c:v>0.726395001017963</c:v>
                </c:pt>
                <c:pt idx="1236">
                  <c:v>0.732283526224296</c:v>
                </c:pt>
                <c:pt idx="1237">
                  <c:v>0.755085900427544</c:v>
                </c:pt>
                <c:pt idx="1238">
                  <c:v>0.758875855480557</c:v>
                </c:pt>
                <c:pt idx="1239">
                  <c:v>0.769321723333281</c:v>
                </c:pt>
                <c:pt idx="1240">
                  <c:v>0.767309288522074</c:v>
                </c:pt>
                <c:pt idx="1241">
                  <c:v>0.778867085336632</c:v>
                </c:pt>
                <c:pt idx="1242">
                  <c:v>0.764427669804081</c:v>
                </c:pt>
                <c:pt idx="1243">
                  <c:v>0.771279344744961</c:v>
                </c:pt>
                <c:pt idx="1244">
                  <c:v>0.76817847242886</c:v>
                </c:pt>
                <c:pt idx="1245">
                  <c:v>0.771670869027297</c:v>
                </c:pt>
                <c:pt idx="1246">
                  <c:v>0.778115358714548</c:v>
                </c:pt>
                <c:pt idx="1247">
                  <c:v>0.773745947723678</c:v>
                </c:pt>
                <c:pt idx="1248">
                  <c:v>0.770441482780762</c:v>
                </c:pt>
                <c:pt idx="1249">
                  <c:v>0.772657510218784</c:v>
                </c:pt>
                <c:pt idx="1250">
                  <c:v>0.776643227412964</c:v>
                </c:pt>
                <c:pt idx="1251">
                  <c:v>0.761796626626783</c:v>
                </c:pt>
                <c:pt idx="1252">
                  <c:v>0.7612798145741</c:v>
                </c:pt>
                <c:pt idx="1253">
                  <c:v>0.753112618044571</c:v>
                </c:pt>
                <c:pt idx="1254">
                  <c:v>0.767990540773339</c:v>
                </c:pt>
                <c:pt idx="1255">
                  <c:v>0.778107528228901</c:v>
                </c:pt>
                <c:pt idx="1256">
                  <c:v>0.776737193240725</c:v>
                </c:pt>
                <c:pt idx="1257">
                  <c:v>0.782985920786807</c:v>
                </c:pt>
                <c:pt idx="1258">
                  <c:v>0.776658888384258</c:v>
                </c:pt>
                <c:pt idx="1259">
                  <c:v>0.776658888384258</c:v>
                </c:pt>
                <c:pt idx="1260">
                  <c:v>0.781686060169452</c:v>
                </c:pt>
                <c:pt idx="1261">
                  <c:v>0.777864783173852</c:v>
                </c:pt>
                <c:pt idx="1262">
                  <c:v>0.781153587145475</c:v>
                </c:pt>
                <c:pt idx="1263">
                  <c:v>0.775868009333939</c:v>
                </c:pt>
                <c:pt idx="1264">
                  <c:v>0.779000203592627</c:v>
                </c:pt>
                <c:pt idx="1265">
                  <c:v>0.772579205362317</c:v>
                </c:pt>
                <c:pt idx="1266">
                  <c:v>0.778546035425117</c:v>
                </c:pt>
                <c:pt idx="1267">
                  <c:v>0.773761608694971</c:v>
                </c:pt>
                <c:pt idx="1268">
                  <c:v>0.785405540851644</c:v>
                </c:pt>
                <c:pt idx="1269">
                  <c:v>0.799735329585141</c:v>
                </c:pt>
                <c:pt idx="1270">
                  <c:v>0.798411977510845</c:v>
                </c:pt>
                <c:pt idx="1271">
                  <c:v>0.796853710867148</c:v>
                </c:pt>
                <c:pt idx="1272">
                  <c:v>0.786055471160321</c:v>
                </c:pt>
                <c:pt idx="1273">
                  <c:v>0.784465882574037</c:v>
                </c:pt>
                <c:pt idx="1274">
                  <c:v>0.784998355598014</c:v>
                </c:pt>
                <c:pt idx="1275">
                  <c:v>0.786016318732088</c:v>
                </c:pt>
                <c:pt idx="1276">
                  <c:v>0.798991433448703</c:v>
                </c:pt>
                <c:pt idx="1277">
                  <c:v>0.795185817424397</c:v>
                </c:pt>
                <c:pt idx="1278">
                  <c:v>0.795593002678026</c:v>
                </c:pt>
                <c:pt idx="1279">
                  <c:v>0.796838049895855</c:v>
                </c:pt>
                <c:pt idx="1280">
                  <c:v>0.807174290949525</c:v>
                </c:pt>
                <c:pt idx="1281">
                  <c:v>0.813618780636775</c:v>
                </c:pt>
                <c:pt idx="1282">
                  <c:v>0.82313282069754</c:v>
                </c:pt>
                <c:pt idx="1283">
                  <c:v>0.830438663805929</c:v>
                </c:pt>
                <c:pt idx="1284">
                  <c:v>0.839576840555651</c:v>
                </c:pt>
                <c:pt idx="1285">
                  <c:v>0.837987251969367</c:v>
                </c:pt>
                <c:pt idx="1286">
                  <c:v>0.841072463314175</c:v>
                </c:pt>
                <c:pt idx="1287">
                  <c:v>0.85220741390381</c:v>
                </c:pt>
                <c:pt idx="1288">
                  <c:v>0.85020280957825</c:v>
                </c:pt>
                <c:pt idx="1289">
                  <c:v>0.850978027657275</c:v>
                </c:pt>
                <c:pt idx="1290">
                  <c:v>0.853742189090567</c:v>
                </c:pt>
                <c:pt idx="1291">
                  <c:v>0.855629336131427</c:v>
                </c:pt>
                <c:pt idx="1292">
                  <c:v>0.850844909401281</c:v>
                </c:pt>
                <c:pt idx="1293">
                  <c:v>0.87615303901148</c:v>
                </c:pt>
                <c:pt idx="1294">
                  <c:v>0.865159037163485</c:v>
                </c:pt>
                <c:pt idx="1295">
                  <c:v>0.866098695441091</c:v>
                </c:pt>
                <c:pt idx="1296">
                  <c:v>0.859983086151003</c:v>
                </c:pt>
                <c:pt idx="1297">
                  <c:v>0.854564390083473</c:v>
                </c:pt>
                <c:pt idx="1298">
                  <c:v>0.850328097348598</c:v>
                </c:pt>
                <c:pt idx="1299">
                  <c:v>0.851808059135828</c:v>
                </c:pt>
                <c:pt idx="1300">
                  <c:v>0.857861024540742</c:v>
                </c:pt>
                <c:pt idx="1301">
                  <c:v>0.858542276792007</c:v>
                </c:pt>
                <c:pt idx="1302">
                  <c:v>0.852262227303337</c:v>
                </c:pt>
                <c:pt idx="1303">
                  <c:v>0.867774419369489</c:v>
                </c:pt>
                <c:pt idx="1304">
                  <c:v>0.864736190938562</c:v>
                </c:pt>
                <c:pt idx="1305">
                  <c:v>0.862285248931139</c:v>
                </c:pt>
                <c:pt idx="1306">
                  <c:v>0.858542276792007</c:v>
                </c:pt>
                <c:pt idx="1307">
                  <c:v>0.835481496562417</c:v>
                </c:pt>
                <c:pt idx="1308">
                  <c:v>0.838950401703914</c:v>
                </c:pt>
                <c:pt idx="1309">
                  <c:v>0.837000610777881</c:v>
                </c:pt>
                <c:pt idx="1310">
                  <c:v>0.83545017461983</c:v>
                </c:pt>
                <c:pt idx="1311">
                  <c:v>0.833578688550264</c:v>
                </c:pt>
                <c:pt idx="1312">
                  <c:v>0.846874853178394</c:v>
                </c:pt>
                <c:pt idx="1313">
                  <c:v>0.848879457503954</c:v>
                </c:pt>
                <c:pt idx="1314">
                  <c:v>0.854305984057131</c:v>
                </c:pt>
                <c:pt idx="1315">
                  <c:v>0.850124504721783</c:v>
                </c:pt>
                <c:pt idx="1316">
                  <c:v>0.847086276290856</c:v>
                </c:pt>
                <c:pt idx="1317">
                  <c:v>0.848119900396222</c:v>
                </c:pt>
                <c:pt idx="1318">
                  <c:v>0.842474120244937</c:v>
                </c:pt>
                <c:pt idx="1319">
                  <c:v>0.846029160728548</c:v>
                </c:pt>
                <c:pt idx="1320">
                  <c:v>0.844502216027438</c:v>
                </c:pt>
                <c:pt idx="1321">
                  <c:v>0.845770754702207</c:v>
                </c:pt>
                <c:pt idx="1322">
                  <c:v>0.843124050553616</c:v>
                </c:pt>
                <c:pt idx="1323">
                  <c:v>0.836194070756268</c:v>
                </c:pt>
                <c:pt idx="1324">
                  <c:v>0.82368095469281</c:v>
                </c:pt>
                <c:pt idx="1325">
                  <c:v>0.83938890890013</c:v>
                </c:pt>
                <c:pt idx="1326">
                  <c:v>0.834048517689067</c:v>
                </c:pt>
                <c:pt idx="1327">
                  <c:v>0.830900662459086</c:v>
                </c:pt>
                <c:pt idx="1328">
                  <c:v>0.84473713059684</c:v>
                </c:pt>
                <c:pt idx="1329">
                  <c:v>0.839138333359435</c:v>
                </c:pt>
                <c:pt idx="1330">
                  <c:v>0.859074749815984</c:v>
                </c:pt>
                <c:pt idx="1331">
                  <c:v>0.870397632061141</c:v>
                </c:pt>
                <c:pt idx="1332">
                  <c:v>0.869489295726121</c:v>
                </c:pt>
                <c:pt idx="1333">
                  <c:v>0.870522919831488</c:v>
                </c:pt>
                <c:pt idx="1334">
                  <c:v>0.866944387890937</c:v>
                </c:pt>
                <c:pt idx="1335">
                  <c:v>0.870178378463032</c:v>
                </c:pt>
                <c:pt idx="1336">
                  <c:v>0.872402236386701</c:v>
                </c:pt>
                <c:pt idx="1337">
                  <c:v>0.870021768750098</c:v>
                </c:pt>
                <c:pt idx="1338">
                  <c:v>0.871110206254992</c:v>
                </c:pt>
                <c:pt idx="1339">
                  <c:v>0.878760590731837</c:v>
                </c:pt>
                <c:pt idx="1340">
                  <c:v>0.878831065102658</c:v>
                </c:pt>
                <c:pt idx="1341">
                  <c:v>0.876904765633565</c:v>
                </c:pt>
                <c:pt idx="1342">
                  <c:v>0.879026827243826</c:v>
                </c:pt>
                <c:pt idx="1343">
                  <c:v>0.874962805193178</c:v>
                </c:pt>
                <c:pt idx="1344">
                  <c:v>0.872190813274239</c:v>
                </c:pt>
                <c:pt idx="1345">
                  <c:v>0.881133227882793</c:v>
                </c:pt>
                <c:pt idx="1346">
                  <c:v>0.879841197751085</c:v>
                </c:pt>
                <c:pt idx="1347">
                  <c:v>0.845668958388799</c:v>
                </c:pt>
                <c:pt idx="1348">
                  <c:v>0.852473650415799</c:v>
                </c:pt>
                <c:pt idx="1349">
                  <c:v>0.865010257936197</c:v>
                </c:pt>
                <c:pt idx="1350">
                  <c:v>0.874633924796016</c:v>
                </c:pt>
                <c:pt idx="1351">
                  <c:v>0.878079338480573</c:v>
                </c:pt>
                <c:pt idx="1352">
                  <c:v>0.882754138411664</c:v>
                </c:pt>
                <c:pt idx="1353">
                  <c:v>0.891117097082361</c:v>
                </c:pt>
                <c:pt idx="1354">
                  <c:v>0.891704383505865</c:v>
                </c:pt>
                <c:pt idx="1355">
                  <c:v>0.889425712182669</c:v>
                </c:pt>
                <c:pt idx="1356">
                  <c:v>0.888556528275884</c:v>
                </c:pt>
                <c:pt idx="1357">
                  <c:v>0.902854995066794</c:v>
                </c:pt>
                <c:pt idx="1358">
                  <c:v>0.909910262634489</c:v>
                </c:pt>
                <c:pt idx="1359">
                  <c:v>0.907584608397413</c:v>
                </c:pt>
                <c:pt idx="1360">
                  <c:v>0.902283369614584</c:v>
                </c:pt>
                <c:pt idx="1361">
                  <c:v>0.905266784645984</c:v>
                </c:pt>
                <c:pt idx="1362">
                  <c:v>0.905775766213021</c:v>
                </c:pt>
                <c:pt idx="1363">
                  <c:v>0.904194008112383</c:v>
                </c:pt>
                <c:pt idx="1364">
                  <c:v>0.902330352528464</c:v>
                </c:pt>
                <c:pt idx="1365">
                  <c:v>0.910912564797269</c:v>
                </c:pt>
                <c:pt idx="1366">
                  <c:v>0.909009756785116</c:v>
                </c:pt>
                <c:pt idx="1367">
                  <c:v>0.904734311622007</c:v>
                </c:pt>
                <c:pt idx="1368">
                  <c:v>0.905274615131631</c:v>
                </c:pt>
                <c:pt idx="1369">
                  <c:v>0.921178331480118</c:v>
                </c:pt>
                <c:pt idx="1370">
                  <c:v>0.908312843562558</c:v>
                </c:pt>
                <c:pt idx="1371">
                  <c:v>0.907200914600724</c:v>
                </c:pt>
                <c:pt idx="1372">
                  <c:v>0.906331730693938</c:v>
                </c:pt>
                <c:pt idx="1373">
                  <c:v>0.909307315239691</c:v>
                </c:pt>
                <c:pt idx="1374">
                  <c:v>0.909910262634489</c:v>
                </c:pt>
                <c:pt idx="1375">
                  <c:v>0.894492036396097</c:v>
                </c:pt>
                <c:pt idx="1376">
                  <c:v>0.911178801309257</c:v>
                </c:pt>
                <c:pt idx="1377">
                  <c:v>0.894742611936792</c:v>
                </c:pt>
                <c:pt idx="1378">
                  <c:v>0.897647722111725</c:v>
                </c:pt>
                <c:pt idx="1379">
                  <c:v>0.902032794073889</c:v>
                </c:pt>
                <c:pt idx="1380">
                  <c:v>0.904796955507181</c:v>
                </c:pt>
                <c:pt idx="1381">
                  <c:v>0.886951278718306</c:v>
                </c:pt>
                <c:pt idx="1382">
                  <c:v>0.899033718071195</c:v>
                </c:pt>
                <c:pt idx="1383">
                  <c:v>0.900795577341707</c:v>
                </c:pt>
                <c:pt idx="1384">
                  <c:v>0.89930778506883</c:v>
                </c:pt>
                <c:pt idx="1385">
                  <c:v>0.913183405634818</c:v>
                </c:pt>
                <c:pt idx="1386">
                  <c:v>0.916769768061015</c:v>
                </c:pt>
                <c:pt idx="1387">
                  <c:v>0.925727843640863</c:v>
                </c:pt>
                <c:pt idx="1388">
                  <c:v>0.925626047327455</c:v>
                </c:pt>
                <c:pt idx="1389">
                  <c:v>0.926777128717523</c:v>
                </c:pt>
                <c:pt idx="1390">
                  <c:v>0.937129030742487</c:v>
                </c:pt>
                <c:pt idx="1391">
                  <c:v>0.936831472287911</c:v>
                </c:pt>
                <c:pt idx="1392">
                  <c:v>0.93611889809406</c:v>
                </c:pt>
                <c:pt idx="1393">
                  <c:v>0.934059480368972</c:v>
                </c:pt>
                <c:pt idx="1394">
                  <c:v>0.939713091005904</c:v>
                </c:pt>
                <c:pt idx="1395">
                  <c:v>0.940261225001175</c:v>
                </c:pt>
                <c:pt idx="1396">
                  <c:v>0.938374077960315</c:v>
                </c:pt>
                <c:pt idx="1397">
                  <c:v>0.935774356725604</c:v>
                </c:pt>
                <c:pt idx="1398">
                  <c:v>0.934364869309195</c:v>
                </c:pt>
                <c:pt idx="1399">
                  <c:v>0.93910231312546</c:v>
                </c:pt>
                <c:pt idx="1400">
                  <c:v>0.94005763237436</c:v>
                </c:pt>
                <c:pt idx="1401">
                  <c:v>0.935821339639484</c:v>
                </c:pt>
                <c:pt idx="1402">
                  <c:v>0.939478176436503</c:v>
                </c:pt>
                <c:pt idx="1403">
                  <c:v>0.942673014580364</c:v>
                </c:pt>
                <c:pt idx="1404">
                  <c:v>0.937982553677979</c:v>
                </c:pt>
                <c:pt idx="1405">
                  <c:v>0.937277809969774</c:v>
                </c:pt>
                <c:pt idx="1406">
                  <c:v>0.909236840868871</c:v>
                </c:pt>
                <c:pt idx="1407">
                  <c:v>0.911672121905001</c:v>
                </c:pt>
                <c:pt idx="1408">
                  <c:v>0.930872472710758</c:v>
                </c:pt>
                <c:pt idx="1409">
                  <c:v>0.929909322976211</c:v>
                </c:pt>
                <c:pt idx="1410">
                  <c:v>0.932649992952563</c:v>
                </c:pt>
                <c:pt idx="1411">
                  <c:v>0.902815842638561</c:v>
                </c:pt>
                <c:pt idx="1412">
                  <c:v>0.899323446040124</c:v>
                </c:pt>
                <c:pt idx="1413">
                  <c:v>0.901531642992498</c:v>
                </c:pt>
                <c:pt idx="1414">
                  <c:v>0.92043443534368</c:v>
                </c:pt>
                <c:pt idx="1415">
                  <c:v>0.913802014000908</c:v>
                </c:pt>
                <c:pt idx="1416">
                  <c:v>0.909831957778021</c:v>
                </c:pt>
                <c:pt idx="1417">
                  <c:v>0.913026795921883</c:v>
                </c:pt>
                <c:pt idx="1418">
                  <c:v>0.913958623713843</c:v>
                </c:pt>
                <c:pt idx="1419">
                  <c:v>0.915571703757067</c:v>
                </c:pt>
                <c:pt idx="1420">
                  <c:v>0.924412322052214</c:v>
                </c:pt>
                <c:pt idx="1421">
                  <c:v>0.935421984871502</c:v>
                </c:pt>
                <c:pt idx="1422">
                  <c:v>0.939258922838395</c:v>
                </c:pt>
                <c:pt idx="1423">
                  <c:v>0.924615914679028</c:v>
                </c:pt>
                <c:pt idx="1424">
                  <c:v>0.930637558141356</c:v>
                </c:pt>
                <c:pt idx="1425">
                  <c:v>0.9302930167729</c:v>
                </c:pt>
                <c:pt idx="1426">
                  <c:v>0.927419228540554</c:v>
                </c:pt>
                <c:pt idx="1427">
                  <c:v>0.948310964246003</c:v>
                </c:pt>
                <c:pt idx="1428">
                  <c:v>0.954865080732307</c:v>
                </c:pt>
                <c:pt idx="1429">
                  <c:v>0.956345042519537</c:v>
                </c:pt>
                <c:pt idx="1430">
                  <c:v>0.954191658966689</c:v>
                </c:pt>
                <c:pt idx="1431">
                  <c:v>0.957801512849827</c:v>
                </c:pt>
                <c:pt idx="1432">
                  <c:v>0.960651809625233</c:v>
                </c:pt>
                <c:pt idx="1433">
                  <c:v>0.962828684635021</c:v>
                </c:pt>
                <c:pt idx="1434">
                  <c:v>0.964073731852849</c:v>
                </c:pt>
                <c:pt idx="1435">
                  <c:v>0.958091240818756</c:v>
                </c:pt>
                <c:pt idx="1436">
                  <c:v>0.959359779493524</c:v>
                </c:pt>
                <c:pt idx="1437">
                  <c:v>0.955006029473948</c:v>
                </c:pt>
                <c:pt idx="1438">
                  <c:v>0.955146978215589</c:v>
                </c:pt>
                <c:pt idx="1439">
                  <c:v>0.963134073575243</c:v>
                </c:pt>
                <c:pt idx="1440">
                  <c:v>0.965498880240552</c:v>
                </c:pt>
                <c:pt idx="1441">
                  <c:v>0.972781231892002</c:v>
                </c:pt>
                <c:pt idx="1442">
                  <c:v>0.9804237858832</c:v>
                </c:pt>
                <c:pt idx="1443">
                  <c:v>0.984699231046309</c:v>
                </c:pt>
                <c:pt idx="1444">
                  <c:v>0.987173664510673</c:v>
                </c:pt>
                <c:pt idx="1445">
                  <c:v>0.998394750442423</c:v>
                </c:pt>
                <c:pt idx="1446">
                  <c:v>0.996249197375221</c:v>
                </c:pt>
                <c:pt idx="1447">
                  <c:v>0.99264717397773</c:v>
                </c:pt>
                <c:pt idx="1448">
                  <c:v>0.997274990994941</c:v>
                </c:pt>
                <c:pt idx="1449">
                  <c:v>1.000877014392433</c:v>
                </c:pt>
                <c:pt idx="1450">
                  <c:v>0.997502075078696</c:v>
                </c:pt>
                <c:pt idx="1451">
                  <c:v>0.999256103863562</c:v>
                </c:pt>
                <c:pt idx="1452">
                  <c:v>1.002756330947645</c:v>
                </c:pt>
                <c:pt idx="1453">
                  <c:v>1.004103174478881</c:v>
                </c:pt>
                <c:pt idx="1454">
                  <c:v>1.005590966751758</c:v>
                </c:pt>
                <c:pt idx="1455">
                  <c:v>1.006248727546083</c:v>
                </c:pt>
                <c:pt idx="1456">
                  <c:v>1.016514494228932</c:v>
                </c:pt>
                <c:pt idx="1457">
                  <c:v>1.008503907412338</c:v>
                </c:pt>
                <c:pt idx="1458">
                  <c:v>1.011753558955726</c:v>
                </c:pt>
                <c:pt idx="1459">
                  <c:v>1.002372637150956</c:v>
                </c:pt>
                <c:pt idx="1460">
                  <c:v>1.00491754498614</c:v>
                </c:pt>
                <c:pt idx="1461">
                  <c:v>1.02110315881791</c:v>
                </c:pt>
                <c:pt idx="1462">
                  <c:v>1.014650838645013</c:v>
                </c:pt>
                <c:pt idx="1463">
                  <c:v>1.016553646657166</c:v>
                </c:pt>
                <c:pt idx="1464">
                  <c:v>1.019764145772321</c:v>
                </c:pt>
                <c:pt idx="1465">
                  <c:v>1.02014783956901</c:v>
                </c:pt>
                <c:pt idx="1466">
                  <c:v>1.026404397600739</c:v>
                </c:pt>
                <c:pt idx="1467">
                  <c:v>1.02898062737851</c:v>
                </c:pt>
                <c:pt idx="1468">
                  <c:v>1.028596933581821</c:v>
                </c:pt>
                <c:pt idx="1469">
                  <c:v>1.031525535213694</c:v>
                </c:pt>
                <c:pt idx="1470">
                  <c:v>1.023882981222495</c:v>
                </c:pt>
                <c:pt idx="1471">
                  <c:v>1.022066308552457</c:v>
                </c:pt>
                <c:pt idx="1472">
                  <c:v>1.024055251906723</c:v>
                </c:pt>
                <c:pt idx="1473">
                  <c:v>1.019380451975632</c:v>
                </c:pt>
                <c:pt idx="1474">
                  <c:v>1.008222009929056</c:v>
                </c:pt>
                <c:pt idx="1475">
                  <c:v>1.024681690758461</c:v>
                </c:pt>
                <c:pt idx="1476">
                  <c:v>1.019364791004338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Sheet1!$Z$5</c:f>
              <c:strCache>
                <c:ptCount val="1"/>
                <c:pt idx="0">
                  <c:v>CumPnl Ratio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Sheet1!$A$6:$A$1486</c:f>
              <c:numCache>
                <c:formatCode>m/d/yy</c:formatCode>
                <c:ptCount val="1481"/>
                <c:pt idx="0">
                  <c:v>40911.0</c:v>
                </c:pt>
                <c:pt idx="1">
                  <c:v>40912.0</c:v>
                </c:pt>
                <c:pt idx="2">
                  <c:v>40913.0</c:v>
                </c:pt>
                <c:pt idx="3">
                  <c:v>40914.0</c:v>
                </c:pt>
                <c:pt idx="4">
                  <c:v>40917.0</c:v>
                </c:pt>
                <c:pt idx="5">
                  <c:v>40918.0</c:v>
                </c:pt>
                <c:pt idx="6">
                  <c:v>40919.0</c:v>
                </c:pt>
                <c:pt idx="7">
                  <c:v>40920.0</c:v>
                </c:pt>
                <c:pt idx="8">
                  <c:v>40921.0</c:v>
                </c:pt>
                <c:pt idx="9">
                  <c:v>40925.0</c:v>
                </c:pt>
                <c:pt idx="10">
                  <c:v>40926.0</c:v>
                </c:pt>
                <c:pt idx="11">
                  <c:v>40927.0</c:v>
                </c:pt>
                <c:pt idx="12">
                  <c:v>40928.0</c:v>
                </c:pt>
                <c:pt idx="13">
                  <c:v>40931.0</c:v>
                </c:pt>
                <c:pt idx="14">
                  <c:v>40932.0</c:v>
                </c:pt>
                <c:pt idx="15">
                  <c:v>40933.0</c:v>
                </c:pt>
                <c:pt idx="16">
                  <c:v>40934.0</c:v>
                </c:pt>
                <c:pt idx="17">
                  <c:v>40935.0</c:v>
                </c:pt>
                <c:pt idx="18">
                  <c:v>40938.0</c:v>
                </c:pt>
                <c:pt idx="19">
                  <c:v>40939.0</c:v>
                </c:pt>
                <c:pt idx="20">
                  <c:v>40940.0</c:v>
                </c:pt>
                <c:pt idx="21">
                  <c:v>40941.0</c:v>
                </c:pt>
                <c:pt idx="22">
                  <c:v>40942.0</c:v>
                </c:pt>
                <c:pt idx="23">
                  <c:v>40945.0</c:v>
                </c:pt>
                <c:pt idx="24">
                  <c:v>40946.0</c:v>
                </c:pt>
                <c:pt idx="25">
                  <c:v>40947.0</c:v>
                </c:pt>
                <c:pt idx="26">
                  <c:v>40948.0</c:v>
                </c:pt>
                <c:pt idx="27">
                  <c:v>40949.0</c:v>
                </c:pt>
                <c:pt idx="28">
                  <c:v>40952.0</c:v>
                </c:pt>
                <c:pt idx="29">
                  <c:v>40953.0</c:v>
                </c:pt>
                <c:pt idx="30">
                  <c:v>40954.0</c:v>
                </c:pt>
                <c:pt idx="31">
                  <c:v>40955.0</c:v>
                </c:pt>
                <c:pt idx="32">
                  <c:v>40956.0</c:v>
                </c:pt>
                <c:pt idx="33">
                  <c:v>40960.0</c:v>
                </c:pt>
                <c:pt idx="34">
                  <c:v>40961.0</c:v>
                </c:pt>
                <c:pt idx="35">
                  <c:v>40962.0</c:v>
                </c:pt>
                <c:pt idx="36">
                  <c:v>40963.0</c:v>
                </c:pt>
                <c:pt idx="37">
                  <c:v>40966.0</c:v>
                </c:pt>
                <c:pt idx="38">
                  <c:v>40967.0</c:v>
                </c:pt>
                <c:pt idx="39">
                  <c:v>40968.0</c:v>
                </c:pt>
                <c:pt idx="40">
                  <c:v>40969.0</c:v>
                </c:pt>
                <c:pt idx="41">
                  <c:v>40970.0</c:v>
                </c:pt>
                <c:pt idx="42">
                  <c:v>40973.0</c:v>
                </c:pt>
                <c:pt idx="43">
                  <c:v>40974.0</c:v>
                </c:pt>
                <c:pt idx="44">
                  <c:v>40975.0</c:v>
                </c:pt>
                <c:pt idx="45">
                  <c:v>40976.0</c:v>
                </c:pt>
                <c:pt idx="46">
                  <c:v>40977.0</c:v>
                </c:pt>
                <c:pt idx="47">
                  <c:v>40980.0</c:v>
                </c:pt>
                <c:pt idx="48">
                  <c:v>40981.0</c:v>
                </c:pt>
                <c:pt idx="49">
                  <c:v>40982.0</c:v>
                </c:pt>
                <c:pt idx="50">
                  <c:v>40983.0</c:v>
                </c:pt>
                <c:pt idx="51">
                  <c:v>40984.0</c:v>
                </c:pt>
                <c:pt idx="52">
                  <c:v>40987.0</c:v>
                </c:pt>
                <c:pt idx="53">
                  <c:v>40988.0</c:v>
                </c:pt>
                <c:pt idx="54">
                  <c:v>40989.0</c:v>
                </c:pt>
                <c:pt idx="55">
                  <c:v>40990.0</c:v>
                </c:pt>
                <c:pt idx="56">
                  <c:v>40991.0</c:v>
                </c:pt>
                <c:pt idx="57">
                  <c:v>40994.0</c:v>
                </c:pt>
                <c:pt idx="58">
                  <c:v>40995.0</c:v>
                </c:pt>
                <c:pt idx="59">
                  <c:v>40996.0</c:v>
                </c:pt>
                <c:pt idx="60">
                  <c:v>40997.0</c:v>
                </c:pt>
                <c:pt idx="61">
                  <c:v>40998.0</c:v>
                </c:pt>
                <c:pt idx="62">
                  <c:v>41001.0</c:v>
                </c:pt>
                <c:pt idx="63">
                  <c:v>41002.0</c:v>
                </c:pt>
                <c:pt idx="64">
                  <c:v>41003.0</c:v>
                </c:pt>
                <c:pt idx="65">
                  <c:v>41004.0</c:v>
                </c:pt>
                <c:pt idx="66">
                  <c:v>41008.0</c:v>
                </c:pt>
                <c:pt idx="67">
                  <c:v>41009.0</c:v>
                </c:pt>
                <c:pt idx="68">
                  <c:v>41010.0</c:v>
                </c:pt>
                <c:pt idx="69">
                  <c:v>41011.0</c:v>
                </c:pt>
                <c:pt idx="70">
                  <c:v>41012.0</c:v>
                </c:pt>
                <c:pt idx="71">
                  <c:v>41015.0</c:v>
                </c:pt>
                <c:pt idx="72">
                  <c:v>41016.0</c:v>
                </c:pt>
                <c:pt idx="73">
                  <c:v>41017.0</c:v>
                </c:pt>
                <c:pt idx="74">
                  <c:v>41018.0</c:v>
                </c:pt>
                <c:pt idx="75">
                  <c:v>41019.0</c:v>
                </c:pt>
                <c:pt idx="76">
                  <c:v>41022.0</c:v>
                </c:pt>
                <c:pt idx="77">
                  <c:v>41023.0</c:v>
                </c:pt>
                <c:pt idx="78">
                  <c:v>41024.0</c:v>
                </c:pt>
                <c:pt idx="79">
                  <c:v>41025.0</c:v>
                </c:pt>
                <c:pt idx="80">
                  <c:v>41026.0</c:v>
                </c:pt>
                <c:pt idx="81">
                  <c:v>41029.0</c:v>
                </c:pt>
                <c:pt idx="82">
                  <c:v>41030.0</c:v>
                </c:pt>
                <c:pt idx="83">
                  <c:v>41031.0</c:v>
                </c:pt>
                <c:pt idx="84">
                  <c:v>41032.0</c:v>
                </c:pt>
                <c:pt idx="85">
                  <c:v>41033.0</c:v>
                </c:pt>
                <c:pt idx="86">
                  <c:v>41036.0</c:v>
                </c:pt>
                <c:pt idx="87">
                  <c:v>41037.0</c:v>
                </c:pt>
                <c:pt idx="88">
                  <c:v>41038.0</c:v>
                </c:pt>
                <c:pt idx="89">
                  <c:v>41039.0</c:v>
                </c:pt>
                <c:pt idx="90">
                  <c:v>41040.0</c:v>
                </c:pt>
                <c:pt idx="91">
                  <c:v>41043.0</c:v>
                </c:pt>
                <c:pt idx="92">
                  <c:v>41044.0</c:v>
                </c:pt>
                <c:pt idx="93">
                  <c:v>41045.0</c:v>
                </c:pt>
                <c:pt idx="94">
                  <c:v>41046.0</c:v>
                </c:pt>
                <c:pt idx="95">
                  <c:v>41047.0</c:v>
                </c:pt>
                <c:pt idx="96">
                  <c:v>41050.0</c:v>
                </c:pt>
                <c:pt idx="97">
                  <c:v>41051.0</c:v>
                </c:pt>
                <c:pt idx="98">
                  <c:v>41052.0</c:v>
                </c:pt>
                <c:pt idx="99">
                  <c:v>41053.0</c:v>
                </c:pt>
                <c:pt idx="100">
                  <c:v>41054.0</c:v>
                </c:pt>
                <c:pt idx="101">
                  <c:v>41058.0</c:v>
                </c:pt>
                <c:pt idx="102">
                  <c:v>41059.0</c:v>
                </c:pt>
                <c:pt idx="103">
                  <c:v>41060.0</c:v>
                </c:pt>
                <c:pt idx="104">
                  <c:v>41061.0</c:v>
                </c:pt>
                <c:pt idx="105">
                  <c:v>41064.0</c:v>
                </c:pt>
                <c:pt idx="106">
                  <c:v>41065.0</c:v>
                </c:pt>
                <c:pt idx="107">
                  <c:v>41066.0</c:v>
                </c:pt>
                <c:pt idx="108">
                  <c:v>41067.0</c:v>
                </c:pt>
                <c:pt idx="109">
                  <c:v>41068.0</c:v>
                </c:pt>
                <c:pt idx="110">
                  <c:v>41071.0</c:v>
                </c:pt>
                <c:pt idx="111">
                  <c:v>41072.0</c:v>
                </c:pt>
                <c:pt idx="112">
                  <c:v>41073.0</c:v>
                </c:pt>
                <c:pt idx="113">
                  <c:v>41074.0</c:v>
                </c:pt>
                <c:pt idx="114">
                  <c:v>41075.0</c:v>
                </c:pt>
                <c:pt idx="115">
                  <c:v>41078.0</c:v>
                </c:pt>
                <c:pt idx="116">
                  <c:v>41079.0</c:v>
                </c:pt>
                <c:pt idx="117">
                  <c:v>41080.0</c:v>
                </c:pt>
                <c:pt idx="118">
                  <c:v>41081.0</c:v>
                </c:pt>
                <c:pt idx="119">
                  <c:v>41082.0</c:v>
                </c:pt>
                <c:pt idx="120">
                  <c:v>41085.0</c:v>
                </c:pt>
                <c:pt idx="121">
                  <c:v>41086.0</c:v>
                </c:pt>
                <c:pt idx="122">
                  <c:v>41087.0</c:v>
                </c:pt>
                <c:pt idx="123">
                  <c:v>41088.0</c:v>
                </c:pt>
                <c:pt idx="124">
                  <c:v>41089.0</c:v>
                </c:pt>
                <c:pt idx="125">
                  <c:v>41092.0</c:v>
                </c:pt>
                <c:pt idx="126">
                  <c:v>41093.0</c:v>
                </c:pt>
                <c:pt idx="127">
                  <c:v>41095.0</c:v>
                </c:pt>
                <c:pt idx="128">
                  <c:v>41096.0</c:v>
                </c:pt>
                <c:pt idx="129">
                  <c:v>41099.0</c:v>
                </c:pt>
                <c:pt idx="130">
                  <c:v>41100.0</c:v>
                </c:pt>
                <c:pt idx="131">
                  <c:v>41101.0</c:v>
                </c:pt>
                <c:pt idx="132">
                  <c:v>41102.0</c:v>
                </c:pt>
                <c:pt idx="133">
                  <c:v>41103.0</c:v>
                </c:pt>
                <c:pt idx="134">
                  <c:v>41106.0</c:v>
                </c:pt>
                <c:pt idx="135">
                  <c:v>41107.0</c:v>
                </c:pt>
                <c:pt idx="136">
                  <c:v>41108.0</c:v>
                </c:pt>
                <c:pt idx="137">
                  <c:v>41109.0</c:v>
                </c:pt>
                <c:pt idx="138">
                  <c:v>41110.0</c:v>
                </c:pt>
                <c:pt idx="139">
                  <c:v>41113.0</c:v>
                </c:pt>
                <c:pt idx="140">
                  <c:v>41114.0</c:v>
                </c:pt>
                <c:pt idx="141">
                  <c:v>41115.0</c:v>
                </c:pt>
                <c:pt idx="142">
                  <c:v>41116.0</c:v>
                </c:pt>
                <c:pt idx="143">
                  <c:v>41117.0</c:v>
                </c:pt>
                <c:pt idx="144">
                  <c:v>41120.0</c:v>
                </c:pt>
                <c:pt idx="145">
                  <c:v>41121.0</c:v>
                </c:pt>
                <c:pt idx="146">
                  <c:v>41122.0</c:v>
                </c:pt>
                <c:pt idx="147">
                  <c:v>41123.0</c:v>
                </c:pt>
                <c:pt idx="148">
                  <c:v>41124.0</c:v>
                </c:pt>
                <c:pt idx="149">
                  <c:v>41127.0</c:v>
                </c:pt>
                <c:pt idx="150">
                  <c:v>41128.0</c:v>
                </c:pt>
                <c:pt idx="151">
                  <c:v>41129.0</c:v>
                </c:pt>
                <c:pt idx="152">
                  <c:v>41130.0</c:v>
                </c:pt>
                <c:pt idx="153">
                  <c:v>41131.0</c:v>
                </c:pt>
                <c:pt idx="154">
                  <c:v>41134.0</c:v>
                </c:pt>
                <c:pt idx="155">
                  <c:v>41135.0</c:v>
                </c:pt>
                <c:pt idx="156">
                  <c:v>41136.0</c:v>
                </c:pt>
                <c:pt idx="157">
                  <c:v>41137.0</c:v>
                </c:pt>
                <c:pt idx="158">
                  <c:v>41138.0</c:v>
                </c:pt>
                <c:pt idx="159">
                  <c:v>41141.0</c:v>
                </c:pt>
                <c:pt idx="160">
                  <c:v>41142.0</c:v>
                </c:pt>
                <c:pt idx="161">
                  <c:v>41143.0</c:v>
                </c:pt>
                <c:pt idx="162">
                  <c:v>41144.0</c:v>
                </c:pt>
                <c:pt idx="163">
                  <c:v>41145.0</c:v>
                </c:pt>
                <c:pt idx="164">
                  <c:v>41148.0</c:v>
                </c:pt>
                <c:pt idx="165">
                  <c:v>41149.0</c:v>
                </c:pt>
                <c:pt idx="166">
                  <c:v>41150.0</c:v>
                </c:pt>
                <c:pt idx="167">
                  <c:v>41151.0</c:v>
                </c:pt>
                <c:pt idx="168">
                  <c:v>41152.0</c:v>
                </c:pt>
                <c:pt idx="169">
                  <c:v>41156.0</c:v>
                </c:pt>
                <c:pt idx="170">
                  <c:v>41157.0</c:v>
                </c:pt>
                <c:pt idx="171">
                  <c:v>41158.0</c:v>
                </c:pt>
                <c:pt idx="172">
                  <c:v>41159.0</c:v>
                </c:pt>
                <c:pt idx="173">
                  <c:v>41162.0</c:v>
                </c:pt>
                <c:pt idx="174">
                  <c:v>41163.0</c:v>
                </c:pt>
                <c:pt idx="175">
                  <c:v>41164.0</c:v>
                </c:pt>
                <c:pt idx="176">
                  <c:v>41165.0</c:v>
                </c:pt>
                <c:pt idx="177">
                  <c:v>41166.0</c:v>
                </c:pt>
                <c:pt idx="178">
                  <c:v>41169.0</c:v>
                </c:pt>
                <c:pt idx="179">
                  <c:v>41170.0</c:v>
                </c:pt>
                <c:pt idx="180">
                  <c:v>41171.0</c:v>
                </c:pt>
                <c:pt idx="181">
                  <c:v>41172.0</c:v>
                </c:pt>
                <c:pt idx="182">
                  <c:v>41173.0</c:v>
                </c:pt>
                <c:pt idx="183">
                  <c:v>41176.0</c:v>
                </c:pt>
                <c:pt idx="184">
                  <c:v>41177.0</c:v>
                </c:pt>
                <c:pt idx="185">
                  <c:v>41178.0</c:v>
                </c:pt>
                <c:pt idx="186">
                  <c:v>41179.0</c:v>
                </c:pt>
                <c:pt idx="187">
                  <c:v>41180.0</c:v>
                </c:pt>
                <c:pt idx="188">
                  <c:v>41183.0</c:v>
                </c:pt>
                <c:pt idx="189">
                  <c:v>41184.0</c:v>
                </c:pt>
                <c:pt idx="190">
                  <c:v>41185.0</c:v>
                </c:pt>
                <c:pt idx="191">
                  <c:v>41186.0</c:v>
                </c:pt>
                <c:pt idx="192">
                  <c:v>41187.0</c:v>
                </c:pt>
                <c:pt idx="193">
                  <c:v>41190.0</c:v>
                </c:pt>
                <c:pt idx="194">
                  <c:v>41191.0</c:v>
                </c:pt>
                <c:pt idx="195">
                  <c:v>41192.0</c:v>
                </c:pt>
                <c:pt idx="196">
                  <c:v>41193.0</c:v>
                </c:pt>
                <c:pt idx="197">
                  <c:v>41194.0</c:v>
                </c:pt>
                <c:pt idx="198">
                  <c:v>41197.0</c:v>
                </c:pt>
                <c:pt idx="199">
                  <c:v>41198.0</c:v>
                </c:pt>
                <c:pt idx="200">
                  <c:v>41199.0</c:v>
                </c:pt>
                <c:pt idx="201">
                  <c:v>41200.0</c:v>
                </c:pt>
                <c:pt idx="202">
                  <c:v>41201.0</c:v>
                </c:pt>
                <c:pt idx="203">
                  <c:v>41204.0</c:v>
                </c:pt>
                <c:pt idx="204">
                  <c:v>41205.0</c:v>
                </c:pt>
                <c:pt idx="205">
                  <c:v>41206.0</c:v>
                </c:pt>
                <c:pt idx="206">
                  <c:v>41207.0</c:v>
                </c:pt>
                <c:pt idx="207">
                  <c:v>41208.0</c:v>
                </c:pt>
                <c:pt idx="208">
                  <c:v>41213.0</c:v>
                </c:pt>
                <c:pt idx="209">
                  <c:v>41214.0</c:v>
                </c:pt>
                <c:pt idx="210">
                  <c:v>41215.0</c:v>
                </c:pt>
                <c:pt idx="211">
                  <c:v>41218.0</c:v>
                </c:pt>
                <c:pt idx="212">
                  <c:v>41219.0</c:v>
                </c:pt>
                <c:pt idx="213">
                  <c:v>41220.0</c:v>
                </c:pt>
                <c:pt idx="214">
                  <c:v>41221.0</c:v>
                </c:pt>
                <c:pt idx="215">
                  <c:v>41222.0</c:v>
                </c:pt>
                <c:pt idx="216">
                  <c:v>41225.0</c:v>
                </c:pt>
                <c:pt idx="217">
                  <c:v>41226.0</c:v>
                </c:pt>
                <c:pt idx="218">
                  <c:v>41227.0</c:v>
                </c:pt>
                <c:pt idx="219">
                  <c:v>41228.0</c:v>
                </c:pt>
                <c:pt idx="220">
                  <c:v>41229.0</c:v>
                </c:pt>
                <c:pt idx="221">
                  <c:v>41232.0</c:v>
                </c:pt>
                <c:pt idx="222">
                  <c:v>41233.0</c:v>
                </c:pt>
                <c:pt idx="223">
                  <c:v>41234.0</c:v>
                </c:pt>
                <c:pt idx="224">
                  <c:v>41236.0</c:v>
                </c:pt>
                <c:pt idx="225">
                  <c:v>41239.0</c:v>
                </c:pt>
                <c:pt idx="226">
                  <c:v>41240.0</c:v>
                </c:pt>
                <c:pt idx="227">
                  <c:v>41241.0</c:v>
                </c:pt>
                <c:pt idx="228">
                  <c:v>41242.0</c:v>
                </c:pt>
                <c:pt idx="229">
                  <c:v>41243.0</c:v>
                </c:pt>
                <c:pt idx="230">
                  <c:v>41246.0</c:v>
                </c:pt>
                <c:pt idx="231">
                  <c:v>41247.0</c:v>
                </c:pt>
                <c:pt idx="232">
                  <c:v>41248.0</c:v>
                </c:pt>
                <c:pt idx="233">
                  <c:v>41249.0</c:v>
                </c:pt>
                <c:pt idx="234">
                  <c:v>41250.0</c:v>
                </c:pt>
                <c:pt idx="235">
                  <c:v>41253.0</c:v>
                </c:pt>
                <c:pt idx="236">
                  <c:v>41254.0</c:v>
                </c:pt>
                <c:pt idx="237">
                  <c:v>41255.0</c:v>
                </c:pt>
                <c:pt idx="238">
                  <c:v>41256.0</c:v>
                </c:pt>
                <c:pt idx="239">
                  <c:v>41257.0</c:v>
                </c:pt>
                <c:pt idx="240">
                  <c:v>41260.0</c:v>
                </c:pt>
                <c:pt idx="241">
                  <c:v>41261.0</c:v>
                </c:pt>
                <c:pt idx="242">
                  <c:v>41262.0</c:v>
                </c:pt>
                <c:pt idx="243">
                  <c:v>41263.0</c:v>
                </c:pt>
                <c:pt idx="244">
                  <c:v>41264.0</c:v>
                </c:pt>
                <c:pt idx="245">
                  <c:v>41267.0</c:v>
                </c:pt>
                <c:pt idx="246">
                  <c:v>41269.0</c:v>
                </c:pt>
                <c:pt idx="247">
                  <c:v>41270.0</c:v>
                </c:pt>
                <c:pt idx="248">
                  <c:v>41271.0</c:v>
                </c:pt>
                <c:pt idx="249">
                  <c:v>41274.0</c:v>
                </c:pt>
                <c:pt idx="250">
                  <c:v>41276.0</c:v>
                </c:pt>
                <c:pt idx="251">
                  <c:v>41277.0</c:v>
                </c:pt>
                <c:pt idx="252">
                  <c:v>41278.0</c:v>
                </c:pt>
                <c:pt idx="253">
                  <c:v>41281.0</c:v>
                </c:pt>
                <c:pt idx="254">
                  <c:v>41282.0</c:v>
                </c:pt>
                <c:pt idx="255">
                  <c:v>41283.0</c:v>
                </c:pt>
                <c:pt idx="256">
                  <c:v>41284.0</c:v>
                </c:pt>
                <c:pt idx="257">
                  <c:v>41285.0</c:v>
                </c:pt>
                <c:pt idx="258">
                  <c:v>41288.0</c:v>
                </c:pt>
                <c:pt idx="259">
                  <c:v>41289.0</c:v>
                </c:pt>
                <c:pt idx="260">
                  <c:v>41290.0</c:v>
                </c:pt>
                <c:pt idx="261">
                  <c:v>41291.0</c:v>
                </c:pt>
                <c:pt idx="262">
                  <c:v>41292.0</c:v>
                </c:pt>
                <c:pt idx="263">
                  <c:v>41296.0</c:v>
                </c:pt>
                <c:pt idx="264">
                  <c:v>41297.0</c:v>
                </c:pt>
                <c:pt idx="265">
                  <c:v>41298.0</c:v>
                </c:pt>
                <c:pt idx="266">
                  <c:v>41299.0</c:v>
                </c:pt>
                <c:pt idx="267">
                  <c:v>41302.0</c:v>
                </c:pt>
                <c:pt idx="268">
                  <c:v>41303.0</c:v>
                </c:pt>
                <c:pt idx="269">
                  <c:v>41304.0</c:v>
                </c:pt>
                <c:pt idx="270">
                  <c:v>41305.0</c:v>
                </c:pt>
                <c:pt idx="271">
                  <c:v>41306.0</c:v>
                </c:pt>
                <c:pt idx="272">
                  <c:v>41309.0</c:v>
                </c:pt>
                <c:pt idx="273">
                  <c:v>41310.0</c:v>
                </c:pt>
                <c:pt idx="274">
                  <c:v>41311.0</c:v>
                </c:pt>
                <c:pt idx="275">
                  <c:v>41312.0</c:v>
                </c:pt>
                <c:pt idx="276">
                  <c:v>41313.0</c:v>
                </c:pt>
                <c:pt idx="277">
                  <c:v>41316.0</c:v>
                </c:pt>
                <c:pt idx="278">
                  <c:v>41317.0</c:v>
                </c:pt>
                <c:pt idx="279">
                  <c:v>41318.0</c:v>
                </c:pt>
                <c:pt idx="280">
                  <c:v>41319.0</c:v>
                </c:pt>
                <c:pt idx="281">
                  <c:v>41320.0</c:v>
                </c:pt>
                <c:pt idx="282">
                  <c:v>41324.0</c:v>
                </c:pt>
                <c:pt idx="283">
                  <c:v>41325.0</c:v>
                </c:pt>
                <c:pt idx="284">
                  <c:v>41326.0</c:v>
                </c:pt>
                <c:pt idx="285">
                  <c:v>41327.0</c:v>
                </c:pt>
                <c:pt idx="286">
                  <c:v>41330.0</c:v>
                </c:pt>
                <c:pt idx="287">
                  <c:v>41331.0</c:v>
                </c:pt>
                <c:pt idx="288">
                  <c:v>41332.0</c:v>
                </c:pt>
                <c:pt idx="289">
                  <c:v>41333.0</c:v>
                </c:pt>
                <c:pt idx="290">
                  <c:v>41334.0</c:v>
                </c:pt>
                <c:pt idx="291">
                  <c:v>41337.0</c:v>
                </c:pt>
                <c:pt idx="292">
                  <c:v>41338.0</c:v>
                </c:pt>
                <c:pt idx="293">
                  <c:v>41339.0</c:v>
                </c:pt>
                <c:pt idx="294">
                  <c:v>41340.0</c:v>
                </c:pt>
                <c:pt idx="295">
                  <c:v>41341.0</c:v>
                </c:pt>
                <c:pt idx="296">
                  <c:v>41344.0</c:v>
                </c:pt>
                <c:pt idx="297">
                  <c:v>41345.0</c:v>
                </c:pt>
                <c:pt idx="298">
                  <c:v>41346.0</c:v>
                </c:pt>
                <c:pt idx="299">
                  <c:v>41347.0</c:v>
                </c:pt>
                <c:pt idx="300">
                  <c:v>41348.0</c:v>
                </c:pt>
                <c:pt idx="301">
                  <c:v>41351.0</c:v>
                </c:pt>
                <c:pt idx="302">
                  <c:v>41352.0</c:v>
                </c:pt>
                <c:pt idx="303">
                  <c:v>41353.0</c:v>
                </c:pt>
                <c:pt idx="304">
                  <c:v>41354.0</c:v>
                </c:pt>
                <c:pt idx="305">
                  <c:v>41355.0</c:v>
                </c:pt>
                <c:pt idx="306">
                  <c:v>41358.0</c:v>
                </c:pt>
                <c:pt idx="307">
                  <c:v>41359.0</c:v>
                </c:pt>
                <c:pt idx="308">
                  <c:v>41360.0</c:v>
                </c:pt>
                <c:pt idx="309">
                  <c:v>41361.0</c:v>
                </c:pt>
                <c:pt idx="310">
                  <c:v>41365.0</c:v>
                </c:pt>
                <c:pt idx="311">
                  <c:v>41366.0</c:v>
                </c:pt>
                <c:pt idx="312">
                  <c:v>41367.0</c:v>
                </c:pt>
                <c:pt idx="313">
                  <c:v>41368.0</c:v>
                </c:pt>
                <c:pt idx="314">
                  <c:v>41369.0</c:v>
                </c:pt>
                <c:pt idx="315">
                  <c:v>41372.0</c:v>
                </c:pt>
                <c:pt idx="316">
                  <c:v>41373.0</c:v>
                </c:pt>
                <c:pt idx="317">
                  <c:v>41374.0</c:v>
                </c:pt>
                <c:pt idx="318">
                  <c:v>41375.0</c:v>
                </c:pt>
                <c:pt idx="319">
                  <c:v>41376.0</c:v>
                </c:pt>
                <c:pt idx="320">
                  <c:v>41379.0</c:v>
                </c:pt>
                <c:pt idx="321">
                  <c:v>41380.0</c:v>
                </c:pt>
                <c:pt idx="322">
                  <c:v>41381.0</c:v>
                </c:pt>
                <c:pt idx="323">
                  <c:v>41382.0</c:v>
                </c:pt>
                <c:pt idx="324">
                  <c:v>41383.0</c:v>
                </c:pt>
                <c:pt idx="325">
                  <c:v>41386.0</c:v>
                </c:pt>
                <c:pt idx="326">
                  <c:v>41387.0</c:v>
                </c:pt>
                <c:pt idx="327">
                  <c:v>41388.0</c:v>
                </c:pt>
                <c:pt idx="328">
                  <c:v>41389.0</c:v>
                </c:pt>
                <c:pt idx="329">
                  <c:v>41390.0</c:v>
                </c:pt>
                <c:pt idx="330">
                  <c:v>41393.0</c:v>
                </c:pt>
                <c:pt idx="331">
                  <c:v>41394.0</c:v>
                </c:pt>
                <c:pt idx="332">
                  <c:v>41395.0</c:v>
                </c:pt>
                <c:pt idx="333">
                  <c:v>41396.0</c:v>
                </c:pt>
                <c:pt idx="334">
                  <c:v>41397.0</c:v>
                </c:pt>
                <c:pt idx="335">
                  <c:v>41400.0</c:v>
                </c:pt>
                <c:pt idx="336">
                  <c:v>41401.0</c:v>
                </c:pt>
                <c:pt idx="337">
                  <c:v>41402.0</c:v>
                </c:pt>
                <c:pt idx="338">
                  <c:v>41403.0</c:v>
                </c:pt>
                <c:pt idx="339">
                  <c:v>41404.0</c:v>
                </c:pt>
                <c:pt idx="340">
                  <c:v>41407.0</c:v>
                </c:pt>
                <c:pt idx="341">
                  <c:v>41408.0</c:v>
                </c:pt>
                <c:pt idx="342">
                  <c:v>41409.0</c:v>
                </c:pt>
                <c:pt idx="343">
                  <c:v>41410.0</c:v>
                </c:pt>
                <c:pt idx="344">
                  <c:v>41411.0</c:v>
                </c:pt>
                <c:pt idx="345">
                  <c:v>41414.0</c:v>
                </c:pt>
                <c:pt idx="346">
                  <c:v>41415.0</c:v>
                </c:pt>
                <c:pt idx="347">
                  <c:v>41416.0</c:v>
                </c:pt>
                <c:pt idx="348">
                  <c:v>41417.0</c:v>
                </c:pt>
                <c:pt idx="349">
                  <c:v>41418.0</c:v>
                </c:pt>
                <c:pt idx="350">
                  <c:v>41422.0</c:v>
                </c:pt>
                <c:pt idx="351">
                  <c:v>41423.0</c:v>
                </c:pt>
                <c:pt idx="352">
                  <c:v>41424.0</c:v>
                </c:pt>
                <c:pt idx="353">
                  <c:v>41425.0</c:v>
                </c:pt>
                <c:pt idx="354">
                  <c:v>41428.0</c:v>
                </c:pt>
                <c:pt idx="355">
                  <c:v>41429.0</c:v>
                </c:pt>
                <c:pt idx="356">
                  <c:v>41430.0</c:v>
                </c:pt>
                <c:pt idx="357">
                  <c:v>41431.0</c:v>
                </c:pt>
                <c:pt idx="358">
                  <c:v>41432.0</c:v>
                </c:pt>
                <c:pt idx="359">
                  <c:v>41435.0</c:v>
                </c:pt>
                <c:pt idx="360">
                  <c:v>41436.0</c:v>
                </c:pt>
                <c:pt idx="361">
                  <c:v>41437.0</c:v>
                </c:pt>
                <c:pt idx="362">
                  <c:v>41438.0</c:v>
                </c:pt>
                <c:pt idx="363">
                  <c:v>41439.0</c:v>
                </c:pt>
                <c:pt idx="364">
                  <c:v>41442.0</c:v>
                </c:pt>
                <c:pt idx="365">
                  <c:v>41443.0</c:v>
                </c:pt>
                <c:pt idx="366">
                  <c:v>41444.0</c:v>
                </c:pt>
                <c:pt idx="367">
                  <c:v>41445.0</c:v>
                </c:pt>
                <c:pt idx="368">
                  <c:v>41446.0</c:v>
                </c:pt>
                <c:pt idx="369">
                  <c:v>41449.0</c:v>
                </c:pt>
                <c:pt idx="370">
                  <c:v>41450.0</c:v>
                </c:pt>
                <c:pt idx="371">
                  <c:v>41451.0</c:v>
                </c:pt>
                <c:pt idx="372">
                  <c:v>41452.0</c:v>
                </c:pt>
                <c:pt idx="373">
                  <c:v>41453.0</c:v>
                </c:pt>
                <c:pt idx="374">
                  <c:v>41456.0</c:v>
                </c:pt>
                <c:pt idx="375">
                  <c:v>41457.0</c:v>
                </c:pt>
                <c:pt idx="376">
                  <c:v>41458.0</c:v>
                </c:pt>
                <c:pt idx="377">
                  <c:v>41460.0</c:v>
                </c:pt>
                <c:pt idx="378">
                  <c:v>41463.0</c:v>
                </c:pt>
                <c:pt idx="379">
                  <c:v>41464.0</c:v>
                </c:pt>
                <c:pt idx="380">
                  <c:v>41465.0</c:v>
                </c:pt>
                <c:pt idx="381">
                  <c:v>41466.0</c:v>
                </c:pt>
                <c:pt idx="382">
                  <c:v>41467.0</c:v>
                </c:pt>
                <c:pt idx="383">
                  <c:v>41470.0</c:v>
                </c:pt>
                <c:pt idx="384">
                  <c:v>41471.0</c:v>
                </c:pt>
                <c:pt idx="385">
                  <c:v>41472.0</c:v>
                </c:pt>
                <c:pt idx="386">
                  <c:v>41473.0</c:v>
                </c:pt>
                <c:pt idx="387">
                  <c:v>41474.0</c:v>
                </c:pt>
                <c:pt idx="388">
                  <c:v>41477.0</c:v>
                </c:pt>
                <c:pt idx="389">
                  <c:v>41478.0</c:v>
                </c:pt>
                <c:pt idx="390">
                  <c:v>41479.0</c:v>
                </c:pt>
                <c:pt idx="391">
                  <c:v>41480.0</c:v>
                </c:pt>
                <c:pt idx="392">
                  <c:v>41481.0</c:v>
                </c:pt>
                <c:pt idx="393">
                  <c:v>41484.0</c:v>
                </c:pt>
                <c:pt idx="394">
                  <c:v>41485.0</c:v>
                </c:pt>
                <c:pt idx="395">
                  <c:v>41486.0</c:v>
                </c:pt>
                <c:pt idx="396">
                  <c:v>41487.0</c:v>
                </c:pt>
                <c:pt idx="397">
                  <c:v>41488.0</c:v>
                </c:pt>
                <c:pt idx="398">
                  <c:v>41491.0</c:v>
                </c:pt>
                <c:pt idx="399">
                  <c:v>41492.0</c:v>
                </c:pt>
                <c:pt idx="400">
                  <c:v>41493.0</c:v>
                </c:pt>
                <c:pt idx="401">
                  <c:v>41494.0</c:v>
                </c:pt>
                <c:pt idx="402">
                  <c:v>41495.0</c:v>
                </c:pt>
                <c:pt idx="403">
                  <c:v>41498.0</c:v>
                </c:pt>
                <c:pt idx="404">
                  <c:v>41499.0</c:v>
                </c:pt>
                <c:pt idx="405">
                  <c:v>41500.0</c:v>
                </c:pt>
                <c:pt idx="406">
                  <c:v>41501.0</c:v>
                </c:pt>
                <c:pt idx="407">
                  <c:v>41502.0</c:v>
                </c:pt>
                <c:pt idx="408">
                  <c:v>41505.0</c:v>
                </c:pt>
                <c:pt idx="409">
                  <c:v>41506.0</c:v>
                </c:pt>
                <c:pt idx="410">
                  <c:v>41507.0</c:v>
                </c:pt>
                <c:pt idx="411">
                  <c:v>41508.0</c:v>
                </c:pt>
                <c:pt idx="412">
                  <c:v>41509.0</c:v>
                </c:pt>
                <c:pt idx="413">
                  <c:v>41512.0</c:v>
                </c:pt>
                <c:pt idx="414">
                  <c:v>41513.0</c:v>
                </c:pt>
                <c:pt idx="415">
                  <c:v>41514.0</c:v>
                </c:pt>
                <c:pt idx="416">
                  <c:v>41515.0</c:v>
                </c:pt>
                <c:pt idx="417">
                  <c:v>41516.0</c:v>
                </c:pt>
                <c:pt idx="418">
                  <c:v>41520.0</c:v>
                </c:pt>
                <c:pt idx="419">
                  <c:v>41521.0</c:v>
                </c:pt>
                <c:pt idx="420">
                  <c:v>41522.0</c:v>
                </c:pt>
                <c:pt idx="421">
                  <c:v>41523.0</c:v>
                </c:pt>
                <c:pt idx="422">
                  <c:v>41526.0</c:v>
                </c:pt>
                <c:pt idx="423">
                  <c:v>41527.0</c:v>
                </c:pt>
                <c:pt idx="424">
                  <c:v>41528.0</c:v>
                </c:pt>
                <c:pt idx="425">
                  <c:v>41529.0</c:v>
                </c:pt>
                <c:pt idx="426">
                  <c:v>41530.0</c:v>
                </c:pt>
                <c:pt idx="427">
                  <c:v>41533.0</c:v>
                </c:pt>
                <c:pt idx="428">
                  <c:v>41534.0</c:v>
                </c:pt>
                <c:pt idx="429">
                  <c:v>41535.0</c:v>
                </c:pt>
                <c:pt idx="430">
                  <c:v>41536.0</c:v>
                </c:pt>
                <c:pt idx="431">
                  <c:v>41537.0</c:v>
                </c:pt>
                <c:pt idx="432">
                  <c:v>41540.0</c:v>
                </c:pt>
                <c:pt idx="433">
                  <c:v>41541.0</c:v>
                </c:pt>
                <c:pt idx="434">
                  <c:v>41542.0</c:v>
                </c:pt>
                <c:pt idx="435">
                  <c:v>41543.0</c:v>
                </c:pt>
                <c:pt idx="436">
                  <c:v>41544.0</c:v>
                </c:pt>
                <c:pt idx="437">
                  <c:v>41547.0</c:v>
                </c:pt>
                <c:pt idx="438">
                  <c:v>41548.0</c:v>
                </c:pt>
                <c:pt idx="439">
                  <c:v>41549.0</c:v>
                </c:pt>
                <c:pt idx="440">
                  <c:v>41550.0</c:v>
                </c:pt>
                <c:pt idx="441">
                  <c:v>41551.0</c:v>
                </c:pt>
                <c:pt idx="442">
                  <c:v>41554.0</c:v>
                </c:pt>
                <c:pt idx="443">
                  <c:v>41555.0</c:v>
                </c:pt>
                <c:pt idx="444">
                  <c:v>41556.0</c:v>
                </c:pt>
                <c:pt idx="445">
                  <c:v>41557.0</c:v>
                </c:pt>
                <c:pt idx="446">
                  <c:v>41558.0</c:v>
                </c:pt>
                <c:pt idx="447">
                  <c:v>41561.0</c:v>
                </c:pt>
                <c:pt idx="448">
                  <c:v>41562.0</c:v>
                </c:pt>
                <c:pt idx="449">
                  <c:v>41563.0</c:v>
                </c:pt>
                <c:pt idx="450">
                  <c:v>41564.0</c:v>
                </c:pt>
                <c:pt idx="451">
                  <c:v>41565.0</c:v>
                </c:pt>
                <c:pt idx="452">
                  <c:v>41568.0</c:v>
                </c:pt>
                <c:pt idx="453">
                  <c:v>41569.0</c:v>
                </c:pt>
                <c:pt idx="454">
                  <c:v>41570.0</c:v>
                </c:pt>
                <c:pt idx="455">
                  <c:v>41571.0</c:v>
                </c:pt>
                <c:pt idx="456">
                  <c:v>41572.0</c:v>
                </c:pt>
                <c:pt idx="457">
                  <c:v>41575.0</c:v>
                </c:pt>
                <c:pt idx="458">
                  <c:v>41576.0</c:v>
                </c:pt>
                <c:pt idx="459">
                  <c:v>41577.0</c:v>
                </c:pt>
                <c:pt idx="460">
                  <c:v>41578.0</c:v>
                </c:pt>
                <c:pt idx="461">
                  <c:v>41579.0</c:v>
                </c:pt>
                <c:pt idx="462">
                  <c:v>41582.0</c:v>
                </c:pt>
                <c:pt idx="463">
                  <c:v>41583.0</c:v>
                </c:pt>
                <c:pt idx="464">
                  <c:v>41584.0</c:v>
                </c:pt>
                <c:pt idx="465">
                  <c:v>41585.0</c:v>
                </c:pt>
                <c:pt idx="466">
                  <c:v>41586.0</c:v>
                </c:pt>
                <c:pt idx="467">
                  <c:v>41589.0</c:v>
                </c:pt>
                <c:pt idx="468">
                  <c:v>41590.0</c:v>
                </c:pt>
                <c:pt idx="469">
                  <c:v>41591.0</c:v>
                </c:pt>
                <c:pt idx="470">
                  <c:v>41592.0</c:v>
                </c:pt>
                <c:pt idx="471">
                  <c:v>41593.0</c:v>
                </c:pt>
                <c:pt idx="472">
                  <c:v>41596.0</c:v>
                </c:pt>
                <c:pt idx="473">
                  <c:v>41597.0</c:v>
                </c:pt>
                <c:pt idx="474">
                  <c:v>41598.0</c:v>
                </c:pt>
                <c:pt idx="475">
                  <c:v>41599.0</c:v>
                </c:pt>
                <c:pt idx="476">
                  <c:v>41600.0</c:v>
                </c:pt>
                <c:pt idx="477">
                  <c:v>41603.0</c:v>
                </c:pt>
                <c:pt idx="478">
                  <c:v>41604.0</c:v>
                </c:pt>
                <c:pt idx="479">
                  <c:v>41605.0</c:v>
                </c:pt>
                <c:pt idx="480">
                  <c:v>41607.0</c:v>
                </c:pt>
                <c:pt idx="481">
                  <c:v>41610.0</c:v>
                </c:pt>
                <c:pt idx="482">
                  <c:v>41611.0</c:v>
                </c:pt>
                <c:pt idx="483">
                  <c:v>41612.0</c:v>
                </c:pt>
                <c:pt idx="484">
                  <c:v>41613.0</c:v>
                </c:pt>
                <c:pt idx="485">
                  <c:v>41614.0</c:v>
                </c:pt>
                <c:pt idx="486">
                  <c:v>41617.0</c:v>
                </c:pt>
                <c:pt idx="487">
                  <c:v>41618.0</c:v>
                </c:pt>
                <c:pt idx="488">
                  <c:v>41619.0</c:v>
                </c:pt>
                <c:pt idx="489">
                  <c:v>41620.0</c:v>
                </c:pt>
                <c:pt idx="490">
                  <c:v>41621.0</c:v>
                </c:pt>
                <c:pt idx="491">
                  <c:v>41624.0</c:v>
                </c:pt>
                <c:pt idx="492">
                  <c:v>41625.0</c:v>
                </c:pt>
                <c:pt idx="493">
                  <c:v>41626.0</c:v>
                </c:pt>
                <c:pt idx="494">
                  <c:v>41627.0</c:v>
                </c:pt>
                <c:pt idx="495">
                  <c:v>41628.0</c:v>
                </c:pt>
                <c:pt idx="496">
                  <c:v>41631.0</c:v>
                </c:pt>
                <c:pt idx="497">
                  <c:v>41632.0</c:v>
                </c:pt>
                <c:pt idx="498">
                  <c:v>41634.0</c:v>
                </c:pt>
                <c:pt idx="499">
                  <c:v>41635.0</c:v>
                </c:pt>
                <c:pt idx="500">
                  <c:v>41638.0</c:v>
                </c:pt>
                <c:pt idx="501">
                  <c:v>41639.0</c:v>
                </c:pt>
                <c:pt idx="502">
                  <c:v>41641.0</c:v>
                </c:pt>
                <c:pt idx="503">
                  <c:v>41642.0</c:v>
                </c:pt>
                <c:pt idx="504">
                  <c:v>41645.0</c:v>
                </c:pt>
                <c:pt idx="505">
                  <c:v>41646.0</c:v>
                </c:pt>
                <c:pt idx="506">
                  <c:v>41647.0</c:v>
                </c:pt>
                <c:pt idx="507">
                  <c:v>41648.0</c:v>
                </c:pt>
                <c:pt idx="508">
                  <c:v>41649.0</c:v>
                </c:pt>
                <c:pt idx="509">
                  <c:v>41652.0</c:v>
                </c:pt>
                <c:pt idx="510">
                  <c:v>41653.0</c:v>
                </c:pt>
                <c:pt idx="511">
                  <c:v>41654.0</c:v>
                </c:pt>
                <c:pt idx="512">
                  <c:v>41655.0</c:v>
                </c:pt>
                <c:pt idx="513">
                  <c:v>41656.0</c:v>
                </c:pt>
                <c:pt idx="514">
                  <c:v>41660.0</c:v>
                </c:pt>
                <c:pt idx="515">
                  <c:v>41661.0</c:v>
                </c:pt>
                <c:pt idx="516">
                  <c:v>41662.0</c:v>
                </c:pt>
                <c:pt idx="517">
                  <c:v>41663.0</c:v>
                </c:pt>
                <c:pt idx="518">
                  <c:v>41666.0</c:v>
                </c:pt>
                <c:pt idx="519">
                  <c:v>41667.0</c:v>
                </c:pt>
                <c:pt idx="520">
                  <c:v>41668.0</c:v>
                </c:pt>
                <c:pt idx="521">
                  <c:v>41669.0</c:v>
                </c:pt>
                <c:pt idx="522">
                  <c:v>41670.0</c:v>
                </c:pt>
                <c:pt idx="523">
                  <c:v>41673.0</c:v>
                </c:pt>
                <c:pt idx="524">
                  <c:v>41674.0</c:v>
                </c:pt>
                <c:pt idx="525">
                  <c:v>41675.0</c:v>
                </c:pt>
                <c:pt idx="526">
                  <c:v>41676.0</c:v>
                </c:pt>
                <c:pt idx="527">
                  <c:v>41677.0</c:v>
                </c:pt>
                <c:pt idx="528">
                  <c:v>41680.0</c:v>
                </c:pt>
                <c:pt idx="529">
                  <c:v>41681.0</c:v>
                </c:pt>
                <c:pt idx="530">
                  <c:v>41682.0</c:v>
                </c:pt>
                <c:pt idx="531">
                  <c:v>41683.0</c:v>
                </c:pt>
                <c:pt idx="532">
                  <c:v>41684.0</c:v>
                </c:pt>
                <c:pt idx="533">
                  <c:v>41688.0</c:v>
                </c:pt>
                <c:pt idx="534">
                  <c:v>41689.0</c:v>
                </c:pt>
                <c:pt idx="535">
                  <c:v>41690.0</c:v>
                </c:pt>
                <c:pt idx="536">
                  <c:v>41691.0</c:v>
                </c:pt>
                <c:pt idx="537">
                  <c:v>41694.0</c:v>
                </c:pt>
                <c:pt idx="538">
                  <c:v>41695.0</c:v>
                </c:pt>
                <c:pt idx="539">
                  <c:v>41696.0</c:v>
                </c:pt>
                <c:pt idx="540">
                  <c:v>41697.0</c:v>
                </c:pt>
                <c:pt idx="541">
                  <c:v>41698.0</c:v>
                </c:pt>
                <c:pt idx="542">
                  <c:v>41701.0</c:v>
                </c:pt>
                <c:pt idx="543">
                  <c:v>41702.0</c:v>
                </c:pt>
                <c:pt idx="544">
                  <c:v>41703.0</c:v>
                </c:pt>
                <c:pt idx="545">
                  <c:v>41704.0</c:v>
                </c:pt>
                <c:pt idx="546">
                  <c:v>41705.0</c:v>
                </c:pt>
                <c:pt idx="547">
                  <c:v>41708.0</c:v>
                </c:pt>
                <c:pt idx="548">
                  <c:v>41709.0</c:v>
                </c:pt>
                <c:pt idx="549">
                  <c:v>41710.0</c:v>
                </c:pt>
                <c:pt idx="550">
                  <c:v>41711.0</c:v>
                </c:pt>
                <c:pt idx="551">
                  <c:v>41712.0</c:v>
                </c:pt>
                <c:pt idx="552">
                  <c:v>41715.0</c:v>
                </c:pt>
                <c:pt idx="553">
                  <c:v>41716.0</c:v>
                </c:pt>
                <c:pt idx="554">
                  <c:v>41717.0</c:v>
                </c:pt>
                <c:pt idx="555">
                  <c:v>41718.0</c:v>
                </c:pt>
                <c:pt idx="556">
                  <c:v>41719.0</c:v>
                </c:pt>
                <c:pt idx="557">
                  <c:v>41722.0</c:v>
                </c:pt>
                <c:pt idx="558">
                  <c:v>41723.0</c:v>
                </c:pt>
                <c:pt idx="559">
                  <c:v>41724.0</c:v>
                </c:pt>
                <c:pt idx="560">
                  <c:v>41725.0</c:v>
                </c:pt>
                <c:pt idx="561">
                  <c:v>41726.0</c:v>
                </c:pt>
                <c:pt idx="562">
                  <c:v>41729.0</c:v>
                </c:pt>
                <c:pt idx="563">
                  <c:v>41730.0</c:v>
                </c:pt>
                <c:pt idx="564">
                  <c:v>41731.0</c:v>
                </c:pt>
                <c:pt idx="565">
                  <c:v>41732.0</c:v>
                </c:pt>
                <c:pt idx="566">
                  <c:v>41733.0</c:v>
                </c:pt>
                <c:pt idx="567">
                  <c:v>41736.0</c:v>
                </c:pt>
                <c:pt idx="568">
                  <c:v>41737.0</c:v>
                </c:pt>
                <c:pt idx="569">
                  <c:v>41738.0</c:v>
                </c:pt>
                <c:pt idx="570">
                  <c:v>41739.0</c:v>
                </c:pt>
                <c:pt idx="571">
                  <c:v>41740.0</c:v>
                </c:pt>
                <c:pt idx="572">
                  <c:v>41743.0</c:v>
                </c:pt>
                <c:pt idx="573">
                  <c:v>41744.0</c:v>
                </c:pt>
                <c:pt idx="574">
                  <c:v>41745.0</c:v>
                </c:pt>
                <c:pt idx="575">
                  <c:v>41746.0</c:v>
                </c:pt>
                <c:pt idx="576">
                  <c:v>41750.0</c:v>
                </c:pt>
                <c:pt idx="577">
                  <c:v>41751.0</c:v>
                </c:pt>
                <c:pt idx="578">
                  <c:v>41752.0</c:v>
                </c:pt>
                <c:pt idx="579">
                  <c:v>41753.0</c:v>
                </c:pt>
                <c:pt idx="580">
                  <c:v>41754.0</c:v>
                </c:pt>
                <c:pt idx="581">
                  <c:v>41757.0</c:v>
                </c:pt>
                <c:pt idx="582">
                  <c:v>41758.0</c:v>
                </c:pt>
                <c:pt idx="583">
                  <c:v>41759.0</c:v>
                </c:pt>
                <c:pt idx="584">
                  <c:v>41760.0</c:v>
                </c:pt>
                <c:pt idx="585">
                  <c:v>41761.0</c:v>
                </c:pt>
                <c:pt idx="586">
                  <c:v>41764.0</c:v>
                </c:pt>
                <c:pt idx="587">
                  <c:v>41765.0</c:v>
                </c:pt>
                <c:pt idx="588">
                  <c:v>41766.0</c:v>
                </c:pt>
                <c:pt idx="589">
                  <c:v>41767.0</c:v>
                </c:pt>
                <c:pt idx="590">
                  <c:v>41768.0</c:v>
                </c:pt>
                <c:pt idx="591">
                  <c:v>41771.0</c:v>
                </c:pt>
                <c:pt idx="592">
                  <c:v>41772.0</c:v>
                </c:pt>
                <c:pt idx="593">
                  <c:v>41773.0</c:v>
                </c:pt>
                <c:pt idx="594">
                  <c:v>41774.0</c:v>
                </c:pt>
                <c:pt idx="595">
                  <c:v>41775.0</c:v>
                </c:pt>
                <c:pt idx="596">
                  <c:v>41778.0</c:v>
                </c:pt>
                <c:pt idx="597">
                  <c:v>41779.0</c:v>
                </c:pt>
                <c:pt idx="598">
                  <c:v>41780.0</c:v>
                </c:pt>
                <c:pt idx="599">
                  <c:v>41781.0</c:v>
                </c:pt>
                <c:pt idx="600">
                  <c:v>41782.0</c:v>
                </c:pt>
                <c:pt idx="601">
                  <c:v>41786.0</c:v>
                </c:pt>
                <c:pt idx="602">
                  <c:v>41787.0</c:v>
                </c:pt>
                <c:pt idx="603">
                  <c:v>41788.0</c:v>
                </c:pt>
                <c:pt idx="604">
                  <c:v>41789.0</c:v>
                </c:pt>
                <c:pt idx="605">
                  <c:v>41792.0</c:v>
                </c:pt>
                <c:pt idx="606">
                  <c:v>41793.0</c:v>
                </c:pt>
                <c:pt idx="607">
                  <c:v>41794.0</c:v>
                </c:pt>
                <c:pt idx="608">
                  <c:v>41795.0</c:v>
                </c:pt>
                <c:pt idx="609">
                  <c:v>41796.0</c:v>
                </c:pt>
                <c:pt idx="610">
                  <c:v>41799.0</c:v>
                </c:pt>
                <c:pt idx="611">
                  <c:v>41800.0</c:v>
                </c:pt>
                <c:pt idx="612">
                  <c:v>41801.0</c:v>
                </c:pt>
                <c:pt idx="613">
                  <c:v>41802.0</c:v>
                </c:pt>
                <c:pt idx="614">
                  <c:v>41803.0</c:v>
                </c:pt>
                <c:pt idx="615">
                  <c:v>41806.0</c:v>
                </c:pt>
                <c:pt idx="616">
                  <c:v>41807.0</c:v>
                </c:pt>
                <c:pt idx="617">
                  <c:v>41808.0</c:v>
                </c:pt>
                <c:pt idx="618">
                  <c:v>41809.0</c:v>
                </c:pt>
                <c:pt idx="619">
                  <c:v>41810.0</c:v>
                </c:pt>
                <c:pt idx="620">
                  <c:v>41813.0</c:v>
                </c:pt>
                <c:pt idx="621">
                  <c:v>41814.0</c:v>
                </c:pt>
                <c:pt idx="622">
                  <c:v>41815.0</c:v>
                </c:pt>
                <c:pt idx="623">
                  <c:v>41816.0</c:v>
                </c:pt>
                <c:pt idx="624">
                  <c:v>41817.0</c:v>
                </c:pt>
                <c:pt idx="625">
                  <c:v>41820.0</c:v>
                </c:pt>
                <c:pt idx="626">
                  <c:v>41821.0</c:v>
                </c:pt>
                <c:pt idx="627">
                  <c:v>41822.0</c:v>
                </c:pt>
                <c:pt idx="628">
                  <c:v>41823.0</c:v>
                </c:pt>
                <c:pt idx="629">
                  <c:v>41827.0</c:v>
                </c:pt>
                <c:pt idx="630">
                  <c:v>41828.0</c:v>
                </c:pt>
                <c:pt idx="631">
                  <c:v>41829.0</c:v>
                </c:pt>
                <c:pt idx="632">
                  <c:v>41830.0</c:v>
                </c:pt>
                <c:pt idx="633">
                  <c:v>41831.0</c:v>
                </c:pt>
                <c:pt idx="634">
                  <c:v>41834.0</c:v>
                </c:pt>
                <c:pt idx="635">
                  <c:v>41835.0</c:v>
                </c:pt>
                <c:pt idx="636">
                  <c:v>41836.0</c:v>
                </c:pt>
                <c:pt idx="637">
                  <c:v>41837.0</c:v>
                </c:pt>
                <c:pt idx="638">
                  <c:v>41838.0</c:v>
                </c:pt>
                <c:pt idx="639">
                  <c:v>41841.0</c:v>
                </c:pt>
                <c:pt idx="640">
                  <c:v>41842.0</c:v>
                </c:pt>
                <c:pt idx="641">
                  <c:v>41843.0</c:v>
                </c:pt>
                <c:pt idx="642">
                  <c:v>41844.0</c:v>
                </c:pt>
                <c:pt idx="643">
                  <c:v>41845.0</c:v>
                </c:pt>
                <c:pt idx="644">
                  <c:v>41848.0</c:v>
                </c:pt>
                <c:pt idx="645">
                  <c:v>41849.0</c:v>
                </c:pt>
                <c:pt idx="646">
                  <c:v>41850.0</c:v>
                </c:pt>
                <c:pt idx="647">
                  <c:v>41851.0</c:v>
                </c:pt>
                <c:pt idx="648">
                  <c:v>41852.0</c:v>
                </c:pt>
                <c:pt idx="649">
                  <c:v>41855.0</c:v>
                </c:pt>
                <c:pt idx="650">
                  <c:v>41856.0</c:v>
                </c:pt>
                <c:pt idx="651">
                  <c:v>41857.0</c:v>
                </c:pt>
                <c:pt idx="652">
                  <c:v>41858.0</c:v>
                </c:pt>
                <c:pt idx="653">
                  <c:v>41859.0</c:v>
                </c:pt>
                <c:pt idx="654">
                  <c:v>41862.0</c:v>
                </c:pt>
                <c:pt idx="655">
                  <c:v>41863.0</c:v>
                </c:pt>
                <c:pt idx="656">
                  <c:v>41864.0</c:v>
                </c:pt>
                <c:pt idx="657">
                  <c:v>41865.0</c:v>
                </c:pt>
                <c:pt idx="658">
                  <c:v>41866.0</c:v>
                </c:pt>
                <c:pt idx="659">
                  <c:v>41869.0</c:v>
                </c:pt>
                <c:pt idx="660">
                  <c:v>41870.0</c:v>
                </c:pt>
                <c:pt idx="661">
                  <c:v>41871.0</c:v>
                </c:pt>
                <c:pt idx="662">
                  <c:v>41872.0</c:v>
                </c:pt>
                <c:pt idx="663">
                  <c:v>41873.0</c:v>
                </c:pt>
                <c:pt idx="664">
                  <c:v>41876.0</c:v>
                </c:pt>
                <c:pt idx="665">
                  <c:v>41877.0</c:v>
                </c:pt>
                <c:pt idx="666">
                  <c:v>41878.0</c:v>
                </c:pt>
                <c:pt idx="667">
                  <c:v>41879.0</c:v>
                </c:pt>
                <c:pt idx="668">
                  <c:v>41880.0</c:v>
                </c:pt>
                <c:pt idx="669">
                  <c:v>41884.0</c:v>
                </c:pt>
                <c:pt idx="670">
                  <c:v>41885.0</c:v>
                </c:pt>
                <c:pt idx="671">
                  <c:v>41886.0</c:v>
                </c:pt>
                <c:pt idx="672">
                  <c:v>41887.0</c:v>
                </c:pt>
                <c:pt idx="673">
                  <c:v>41890.0</c:v>
                </c:pt>
                <c:pt idx="674">
                  <c:v>41891.0</c:v>
                </c:pt>
                <c:pt idx="675">
                  <c:v>41892.0</c:v>
                </c:pt>
                <c:pt idx="676">
                  <c:v>41893.0</c:v>
                </c:pt>
                <c:pt idx="677">
                  <c:v>41894.0</c:v>
                </c:pt>
                <c:pt idx="678">
                  <c:v>41897.0</c:v>
                </c:pt>
                <c:pt idx="679">
                  <c:v>41898.0</c:v>
                </c:pt>
                <c:pt idx="680">
                  <c:v>41899.0</c:v>
                </c:pt>
                <c:pt idx="681">
                  <c:v>41900.0</c:v>
                </c:pt>
                <c:pt idx="682">
                  <c:v>41901.0</c:v>
                </c:pt>
                <c:pt idx="683">
                  <c:v>41904.0</c:v>
                </c:pt>
                <c:pt idx="684">
                  <c:v>41905.0</c:v>
                </c:pt>
                <c:pt idx="685">
                  <c:v>41906.0</c:v>
                </c:pt>
                <c:pt idx="686">
                  <c:v>41907.0</c:v>
                </c:pt>
                <c:pt idx="687">
                  <c:v>41908.0</c:v>
                </c:pt>
                <c:pt idx="688">
                  <c:v>41911.0</c:v>
                </c:pt>
                <c:pt idx="689">
                  <c:v>41912.0</c:v>
                </c:pt>
                <c:pt idx="690">
                  <c:v>41913.0</c:v>
                </c:pt>
                <c:pt idx="691">
                  <c:v>41914.0</c:v>
                </c:pt>
                <c:pt idx="692">
                  <c:v>41915.0</c:v>
                </c:pt>
                <c:pt idx="693">
                  <c:v>41918.0</c:v>
                </c:pt>
                <c:pt idx="694">
                  <c:v>41919.0</c:v>
                </c:pt>
                <c:pt idx="695">
                  <c:v>41920.0</c:v>
                </c:pt>
                <c:pt idx="696">
                  <c:v>41921.0</c:v>
                </c:pt>
                <c:pt idx="697">
                  <c:v>41922.0</c:v>
                </c:pt>
                <c:pt idx="698">
                  <c:v>41925.0</c:v>
                </c:pt>
                <c:pt idx="699">
                  <c:v>41926.0</c:v>
                </c:pt>
                <c:pt idx="700">
                  <c:v>41927.0</c:v>
                </c:pt>
                <c:pt idx="701">
                  <c:v>41928.0</c:v>
                </c:pt>
                <c:pt idx="702">
                  <c:v>41929.0</c:v>
                </c:pt>
                <c:pt idx="703">
                  <c:v>41932.0</c:v>
                </c:pt>
                <c:pt idx="704">
                  <c:v>41933.0</c:v>
                </c:pt>
                <c:pt idx="705">
                  <c:v>41934.0</c:v>
                </c:pt>
                <c:pt idx="706">
                  <c:v>41935.0</c:v>
                </c:pt>
                <c:pt idx="707">
                  <c:v>41936.0</c:v>
                </c:pt>
                <c:pt idx="708">
                  <c:v>41939.0</c:v>
                </c:pt>
                <c:pt idx="709">
                  <c:v>41940.0</c:v>
                </c:pt>
                <c:pt idx="710">
                  <c:v>41941.0</c:v>
                </c:pt>
                <c:pt idx="711">
                  <c:v>41942.0</c:v>
                </c:pt>
                <c:pt idx="712">
                  <c:v>41943.0</c:v>
                </c:pt>
                <c:pt idx="713">
                  <c:v>41946.0</c:v>
                </c:pt>
                <c:pt idx="714">
                  <c:v>41947.0</c:v>
                </c:pt>
                <c:pt idx="715">
                  <c:v>41948.0</c:v>
                </c:pt>
                <c:pt idx="716">
                  <c:v>41949.0</c:v>
                </c:pt>
                <c:pt idx="717">
                  <c:v>41950.0</c:v>
                </c:pt>
                <c:pt idx="718">
                  <c:v>41953.0</c:v>
                </c:pt>
                <c:pt idx="719">
                  <c:v>41954.0</c:v>
                </c:pt>
                <c:pt idx="720">
                  <c:v>41955.0</c:v>
                </c:pt>
                <c:pt idx="721">
                  <c:v>41956.0</c:v>
                </c:pt>
                <c:pt idx="722">
                  <c:v>41957.0</c:v>
                </c:pt>
                <c:pt idx="723">
                  <c:v>41960.0</c:v>
                </c:pt>
                <c:pt idx="724">
                  <c:v>41961.0</c:v>
                </c:pt>
                <c:pt idx="725">
                  <c:v>41962.0</c:v>
                </c:pt>
                <c:pt idx="726">
                  <c:v>41963.0</c:v>
                </c:pt>
                <c:pt idx="727">
                  <c:v>41964.0</c:v>
                </c:pt>
                <c:pt idx="728">
                  <c:v>41967.0</c:v>
                </c:pt>
                <c:pt idx="729">
                  <c:v>41968.0</c:v>
                </c:pt>
                <c:pt idx="730">
                  <c:v>41969.0</c:v>
                </c:pt>
                <c:pt idx="731">
                  <c:v>41971.0</c:v>
                </c:pt>
                <c:pt idx="732">
                  <c:v>41974.0</c:v>
                </c:pt>
                <c:pt idx="733">
                  <c:v>41975.0</c:v>
                </c:pt>
                <c:pt idx="734">
                  <c:v>41976.0</c:v>
                </c:pt>
                <c:pt idx="735">
                  <c:v>41977.0</c:v>
                </c:pt>
                <c:pt idx="736">
                  <c:v>41978.0</c:v>
                </c:pt>
                <c:pt idx="737">
                  <c:v>41981.0</c:v>
                </c:pt>
                <c:pt idx="738">
                  <c:v>41982.0</c:v>
                </c:pt>
                <c:pt idx="739">
                  <c:v>41983.0</c:v>
                </c:pt>
                <c:pt idx="740">
                  <c:v>41984.0</c:v>
                </c:pt>
                <c:pt idx="741">
                  <c:v>41985.0</c:v>
                </c:pt>
                <c:pt idx="742">
                  <c:v>41988.0</c:v>
                </c:pt>
                <c:pt idx="743">
                  <c:v>41989.0</c:v>
                </c:pt>
                <c:pt idx="744">
                  <c:v>41990.0</c:v>
                </c:pt>
                <c:pt idx="745">
                  <c:v>41991.0</c:v>
                </c:pt>
                <c:pt idx="746">
                  <c:v>41992.0</c:v>
                </c:pt>
                <c:pt idx="747">
                  <c:v>41995.0</c:v>
                </c:pt>
                <c:pt idx="748">
                  <c:v>41996.0</c:v>
                </c:pt>
                <c:pt idx="749">
                  <c:v>41997.0</c:v>
                </c:pt>
                <c:pt idx="750">
                  <c:v>41999.0</c:v>
                </c:pt>
                <c:pt idx="751">
                  <c:v>42002.0</c:v>
                </c:pt>
                <c:pt idx="752">
                  <c:v>42003.0</c:v>
                </c:pt>
                <c:pt idx="753">
                  <c:v>42004.0</c:v>
                </c:pt>
                <c:pt idx="754">
                  <c:v>42006.0</c:v>
                </c:pt>
                <c:pt idx="755">
                  <c:v>42009.0</c:v>
                </c:pt>
                <c:pt idx="756">
                  <c:v>42010.0</c:v>
                </c:pt>
                <c:pt idx="757">
                  <c:v>42011.0</c:v>
                </c:pt>
                <c:pt idx="758">
                  <c:v>42012.0</c:v>
                </c:pt>
                <c:pt idx="759">
                  <c:v>42013.0</c:v>
                </c:pt>
                <c:pt idx="760">
                  <c:v>42016.0</c:v>
                </c:pt>
                <c:pt idx="761">
                  <c:v>42017.0</c:v>
                </c:pt>
                <c:pt idx="762">
                  <c:v>42018.0</c:v>
                </c:pt>
                <c:pt idx="763">
                  <c:v>42019.0</c:v>
                </c:pt>
                <c:pt idx="764">
                  <c:v>42020.0</c:v>
                </c:pt>
                <c:pt idx="765">
                  <c:v>42024.0</c:v>
                </c:pt>
                <c:pt idx="766">
                  <c:v>42025.0</c:v>
                </c:pt>
                <c:pt idx="767">
                  <c:v>42026.0</c:v>
                </c:pt>
                <c:pt idx="768">
                  <c:v>42027.0</c:v>
                </c:pt>
                <c:pt idx="769">
                  <c:v>42030.0</c:v>
                </c:pt>
                <c:pt idx="770">
                  <c:v>42031.0</c:v>
                </c:pt>
                <c:pt idx="771">
                  <c:v>42032.0</c:v>
                </c:pt>
                <c:pt idx="772">
                  <c:v>42033.0</c:v>
                </c:pt>
                <c:pt idx="773">
                  <c:v>42034.0</c:v>
                </c:pt>
                <c:pt idx="774">
                  <c:v>42037.0</c:v>
                </c:pt>
                <c:pt idx="775">
                  <c:v>42038.0</c:v>
                </c:pt>
                <c:pt idx="776">
                  <c:v>42039.0</c:v>
                </c:pt>
                <c:pt idx="777">
                  <c:v>42040.0</c:v>
                </c:pt>
                <c:pt idx="778">
                  <c:v>42041.0</c:v>
                </c:pt>
                <c:pt idx="779">
                  <c:v>42044.0</c:v>
                </c:pt>
                <c:pt idx="780">
                  <c:v>42045.0</c:v>
                </c:pt>
                <c:pt idx="781">
                  <c:v>42046.0</c:v>
                </c:pt>
                <c:pt idx="782">
                  <c:v>42047.0</c:v>
                </c:pt>
                <c:pt idx="783">
                  <c:v>42048.0</c:v>
                </c:pt>
                <c:pt idx="784">
                  <c:v>42052.0</c:v>
                </c:pt>
                <c:pt idx="785">
                  <c:v>42053.0</c:v>
                </c:pt>
                <c:pt idx="786">
                  <c:v>42054.0</c:v>
                </c:pt>
                <c:pt idx="787">
                  <c:v>42055.0</c:v>
                </c:pt>
                <c:pt idx="788">
                  <c:v>42058.0</c:v>
                </c:pt>
                <c:pt idx="789">
                  <c:v>42059.0</c:v>
                </c:pt>
                <c:pt idx="790">
                  <c:v>42060.0</c:v>
                </c:pt>
                <c:pt idx="791">
                  <c:v>42061.0</c:v>
                </c:pt>
                <c:pt idx="792">
                  <c:v>42062.0</c:v>
                </c:pt>
                <c:pt idx="793">
                  <c:v>42065.0</c:v>
                </c:pt>
                <c:pt idx="794">
                  <c:v>42066.0</c:v>
                </c:pt>
                <c:pt idx="795">
                  <c:v>42067.0</c:v>
                </c:pt>
                <c:pt idx="796">
                  <c:v>42068.0</c:v>
                </c:pt>
                <c:pt idx="797">
                  <c:v>42069.0</c:v>
                </c:pt>
                <c:pt idx="798">
                  <c:v>42072.0</c:v>
                </c:pt>
                <c:pt idx="799">
                  <c:v>42073.0</c:v>
                </c:pt>
                <c:pt idx="800">
                  <c:v>42074.0</c:v>
                </c:pt>
                <c:pt idx="801">
                  <c:v>42075.0</c:v>
                </c:pt>
                <c:pt idx="802">
                  <c:v>42076.0</c:v>
                </c:pt>
                <c:pt idx="803">
                  <c:v>42079.0</c:v>
                </c:pt>
                <c:pt idx="804">
                  <c:v>42080.0</c:v>
                </c:pt>
                <c:pt idx="805">
                  <c:v>42081.0</c:v>
                </c:pt>
                <c:pt idx="806">
                  <c:v>42082.0</c:v>
                </c:pt>
                <c:pt idx="807">
                  <c:v>42083.0</c:v>
                </c:pt>
                <c:pt idx="808">
                  <c:v>42086.0</c:v>
                </c:pt>
                <c:pt idx="809">
                  <c:v>42087.0</c:v>
                </c:pt>
                <c:pt idx="810">
                  <c:v>42088.0</c:v>
                </c:pt>
                <c:pt idx="811">
                  <c:v>42089.0</c:v>
                </c:pt>
                <c:pt idx="812">
                  <c:v>42090.0</c:v>
                </c:pt>
                <c:pt idx="813">
                  <c:v>42093.0</c:v>
                </c:pt>
                <c:pt idx="814">
                  <c:v>42094.0</c:v>
                </c:pt>
                <c:pt idx="815">
                  <c:v>42095.0</c:v>
                </c:pt>
                <c:pt idx="816">
                  <c:v>42096.0</c:v>
                </c:pt>
                <c:pt idx="817">
                  <c:v>42100.0</c:v>
                </c:pt>
                <c:pt idx="818">
                  <c:v>42101.0</c:v>
                </c:pt>
                <c:pt idx="819">
                  <c:v>42102.0</c:v>
                </c:pt>
                <c:pt idx="820">
                  <c:v>42103.0</c:v>
                </c:pt>
                <c:pt idx="821">
                  <c:v>42104.0</c:v>
                </c:pt>
                <c:pt idx="822">
                  <c:v>42107.0</c:v>
                </c:pt>
                <c:pt idx="823">
                  <c:v>42108.0</c:v>
                </c:pt>
                <c:pt idx="824">
                  <c:v>42109.0</c:v>
                </c:pt>
                <c:pt idx="825">
                  <c:v>42110.0</c:v>
                </c:pt>
                <c:pt idx="826">
                  <c:v>42111.0</c:v>
                </c:pt>
                <c:pt idx="827">
                  <c:v>42114.0</c:v>
                </c:pt>
                <c:pt idx="828">
                  <c:v>42115.0</c:v>
                </c:pt>
                <c:pt idx="829">
                  <c:v>42116.0</c:v>
                </c:pt>
                <c:pt idx="830">
                  <c:v>42117.0</c:v>
                </c:pt>
                <c:pt idx="831">
                  <c:v>42118.0</c:v>
                </c:pt>
                <c:pt idx="832">
                  <c:v>42121.0</c:v>
                </c:pt>
                <c:pt idx="833">
                  <c:v>42122.0</c:v>
                </c:pt>
                <c:pt idx="834">
                  <c:v>42123.0</c:v>
                </c:pt>
                <c:pt idx="835">
                  <c:v>42124.0</c:v>
                </c:pt>
                <c:pt idx="836">
                  <c:v>42125.0</c:v>
                </c:pt>
                <c:pt idx="837">
                  <c:v>42128.0</c:v>
                </c:pt>
                <c:pt idx="838">
                  <c:v>42129.0</c:v>
                </c:pt>
                <c:pt idx="839">
                  <c:v>42130.0</c:v>
                </c:pt>
                <c:pt idx="840">
                  <c:v>42131.0</c:v>
                </c:pt>
                <c:pt idx="841">
                  <c:v>42132.0</c:v>
                </c:pt>
                <c:pt idx="842">
                  <c:v>42135.0</c:v>
                </c:pt>
                <c:pt idx="843">
                  <c:v>42136.0</c:v>
                </c:pt>
                <c:pt idx="844">
                  <c:v>42137.0</c:v>
                </c:pt>
                <c:pt idx="845">
                  <c:v>42138.0</c:v>
                </c:pt>
                <c:pt idx="846">
                  <c:v>42139.0</c:v>
                </c:pt>
                <c:pt idx="847">
                  <c:v>42142.0</c:v>
                </c:pt>
                <c:pt idx="848">
                  <c:v>42143.0</c:v>
                </c:pt>
                <c:pt idx="849">
                  <c:v>42144.0</c:v>
                </c:pt>
                <c:pt idx="850">
                  <c:v>42145.0</c:v>
                </c:pt>
                <c:pt idx="851">
                  <c:v>42146.0</c:v>
                </c:pt>
                <c:pt idx="852">
                  <c:v>42150.0</c:v>
                </c:pt>
                <c:pt idx="853">
                  <c:v>42151.0</c:v>
                </c:pt>
                <c:pt idx="854">
                  <c:v>42152.0</c:v>
                </c:pt>
                <c:pt idx="855">
                  <c:v>42153.0</c:v>
                </c:pt>
                <c:pt idx="856">
                  <c:v>42156.0</c:v>
                </c:pt>
                <c:pt idx="857">
                  <c:v>42157.0</c:v>
                </c:pt>
                <c:pt idx="858">
                  <c:v>42158.0</c:v>
                </c:pt>
                <c:pt idx="859">
                  <c:v>42159.0</c:v>
                </c:pt>
                <c:pt idx="860">
                  <c:v>42160.0</c:v>
                </c:pt>
                <c:pt idx="861">
                  <c:v>42163.0</c:v>
                </c:pt>
                <c:pt idx="862">
                  <c:v>42164.0</c:v>
                </c:pt>
                <c:pt idx="863">
                  <c:v>42165.0</c:v>
                </c:pt>
                <c:pt idx="864">
                  <c:v>42166.0</c:v>
                </c:pt>
                <c:pt idx="865">
                  <c:v>42167.0</c:v>
                </c:pt>
                <c:pt idx="866">
                  <c:v>42170.0</c:v>
                </c:pt>
                <c:pt idx="867">
                  <c:v>42171.0</c:v>
                </c:pt>
                <c:pt idx="868">
                  <c:v>42172.0</c:v>
                </c:pt>
                <c:pt idx="869">
                  <c:v>42173.0</c:v>
                </c:pt>
                <c:pt idx="870">
                  <c:v>42174.0</c:v>
                </c:pt>
                <c:pt idx="871">
                  <c:v>42177.0</c:v>
                </c:pt>
                <c:pt idx="872">
                  <c:v>42178.0</c:v>
                </c:pt>
                <c:pt idx="873">
                  <c:v>42179.0</c:v>
                </c:pt>
                <c:pt idx="874">
                  <c:v>42180.0</c:v>
                </c:pt>
                <c:pt idx="875">
                  <c:v>42181.0</c:v>
                </c:pt>
                <c:pt idx="876">
                  <c:v>42184.0</c:v>
                </c:pt>
                <c:pt idx="877">
                  <c:v>42185.0</c:v>
                </c:pt>
                <c:pt idx="878">
                  <c:v>42186.0</c:v>
                </c:pt>
                <c:pt idx="879">
                  <c:v>42187.0</c:v>
                </c:pt>
                <c:pt idx="880">
                  <c:v>42191.0</c:v>
                </c:pt>
                <c:pt idx="881">
                  <c:v>42192.0</c:v>
                </c:pt>
                <c:pt idx="882">
                  <c:v>42193.0</c:v>
                </c:pt>
                <c:pt idx="883">
                  <c:v>42194.0</c:v>
                </c:pt>
                <c:pt idx="884">
                  <c:v>42195.0</c:v>
                </c:pt>
                <c:pt idx="885">
                  <c:v>42198.0</c:v>
                </c:pt>
                <c:pt idx="886">
                  <c:v>42199.0</c:v>
                </c:pt>
                <c:pt idx="887">
                  <c:v>42200.0</c:v>
                </c:pt>
                <c:pt idx="888">
                  <c:v>42201.0</c:v>
                </c:pt>
                <c:pt idx="889">
                  <c:v>42202.0</c:v>
                </c:pt>
                <c:pt idx="890">
                  <c:v>42205.0</c:v>
                </c:pt>
                <c:pt idx="891">
                  <c:v>42206.0</c:v>
                </c:pt>
                <c:pt idx="892">
                  <c:v>42207.0</c:v>
                </c:pt>
                <c:pt idx="893">
                  <c:v>42208.0</c:v>
                </c:pt>
                <c:pt idx="894">
                  <c:v>42209.0</c:v>
                </c:pt>
                <c:pt idx="895">
                  <c:v>42212.0</c:v>
                </c:pt>
                <c:pt idx="896">
                  <c:v>42213.0</c:v>
                </c:pt>
                <c:pt idx="897">
                  <c:v>42214.0</c:v>
                </c:pt>
                <c:pt idx="898">
                  <c:v>42215.0</c:v>
                </c:pt>
                <c:pt idx="899">
                  <c:v>42216.0</c:v>
                </c:pt>
                <c:pt idx="900">
                  <c:v>42219.0</c:v>
                </c:pt>
                <c:pt idx="901">
                  <c:v>42220.0</c:v>
                </c:pt>
                <c:pt idx="902">
                  <c:v>42221.0</c:v>
                </c:pt>
                <c:pt idx="903">
                  <c:v>42222.0</c:v>
                </c:pt>
                <c:pt idx="904">
                  <c:v>42223.0</c:v>
                </c:pt>
                <c:pt idx="905">
                  <c:v>42226.0</c:v>
                </c:pt>
                <c:pt idx="906">
                  <c:v>42227.0</c:v>
                </c:pt>
                <c:pt idx="907">
                  <c:v>42228.0</c:v>
                </c:pt>
                <c:pt idx="908">
                  <c:v>42229.0</c:v>
                </c:pt>
                <c:pt idx="909">
                  <c:v>42230.0</c:v>
                </c:pt>
                <c:pt idx="910">
                  <c:v>42233.0</c:v>
                </c:pt>
                <c:pt idx="911">
                  <c:v>42234.0</c:v>
                </c:pt>
                <c:pt idx="912">
                  <c:v>42235.0</c:v>
                </c:pt>
                <c:pt idx="913">
                  <c:v>42236.0</c:v>
                </c:pt>
                <c:pt idx="914">
                  <c:v>42237.0</c:v>
                </c:pt>
                <c:pt idx="915">
                  <c:v>42240.0</c:v>
                </c:pt>
                <c:pt idx="916">
                  <c:v>42241.0</c:v>
                </c:pt>
                <c:pt idx="917">
                  <c:v>42242.0</c:v>
                </c:pt>
                <c:pt idx="918">
                  <c:v>42243.0</c:v>
                </c:pt>
                <c:pt idx="919">
                  <c:v>42244.0</c:v>
                </c:pt>
                <c:pt idx="920">
                  <c:v>42247.0</c:v>
                </c:pt>
                <c:pt idx="921">
                  <c:v>42248.0</c:v>
                </c:pt>
                <c:pt idx="922">
                  <c:v>42249.0</c:v>
                </c:pt>
                <c:pt idx="923">
                  <c:v>42250.0</c:v>
                </c:pt>
                <c:pt idx="924">
                  <c:v>42251.0</c:v>
                </c:pt>
                <c:pt idx="925">
                  <c:v>42255.0</c:v>
                </c:pt>
                <c:pt idx="926">
                  <c:v>42256.0</c:v>
                </c:pt>
                <c:pt idx="927">
                  <c:v>42257.0</c:v>
                </c:pt>
                <c:pt idx="928">
                  <c:v>42258.0</c:v>
                </c:pt>
                <c:pt idx="929">
                  <c:v>42261.0</c:v>
                </c:pt>
                <c:pt idx="930">
                  <c:v>42262.0</c:v>
                </c:pt>
                <c:pt idx="931">
                  <c:v>42263.0</c:v>
                </c:pt>
                <c:pt idx="932">
                  <c:v>42264.0</c:v>
                </c:pt>
                <c:pt idx="933">
                  <c:v>42265.0</c:v>
                </c:pt>
                <c:pt idx="934">
                  <c:v>42268.0</c:v>
                </c:pt>
                <c:pt idx="935">
                  <c:v>42269.0</c:v>
                </c:pt>
                <c:pt idx="936">
                  <c:v>42270.0</c:v>
                </c:pt>
                <c:pt idx="937">
                  <c:v>42271.0</c:v>
                </c:pt>
                <c:pt idx="938">
                  <c:v>42272.0</c:v>
                </c:pt>
                <c:pt idx="939">
                  <c:v>42275.0</c:v>
                </c:pt>
                <c:pt idx="940">
                  <c:v>42276.0</c:v>
                </c:pt>
                <c:pt idx="941">
                  <c:v>42277.0</c:v>
                </c:pt>
                <c:pt idx="942">
                  <c:v>42278.0</c:v>
                </c:pt>
                <c:pt idx="943">
                  <c:v>42279.0</c:v>
                </c:pt>
                <c:pt idx="944">
                  <c:v>42282.0</c:v>
                </c:pt>
                <c:pt idx="945">
                  <c:v>42283.0</c:v>
                </c:pt>
                <c:pt idx="946">
                  <c:v>42284.0</c:v>
                </c:pt>
                <c:pt idx="947">
                  <c:v>42285.0</c:v>
                </c:pt>
                <c:pt idx="948">
                  <c:v>42286.0</c:v>
                </c:pt>
                <c:pt idx="949">
                  <c:v>42289.0</c:v>
                </c:pt>
                <c:pt idx="950">
                  <c:v>42290.0</c:v>
                </c:pt>
                <c:pt idx="951">
                  <c:v>42291.0</c:v>
                </c:pt>
                <c:pt idx="952">
                  <c:v>42292.0</c:v>
                </c:pt>
                <c:pt idx="953">
                  <c:v>42293.0</c:v>
                </c:pt>
                <c:pt idx="954">
                  <c:v>42296.0</c:v>
                </c:pt>
                <c:pt idx="955">
                  <c:v>42297.0</c:v>
                </c:pt>
                <c:pt idx="956">
                  <c:v>42298.0</c:v>
                </c:pt>
                <c:pt idx="957">
                  <c:v>42299.0</c:v>
                </c:pt>
                <c:pt idx="958">
                  <c:v>42300.0</c:v>
                </c:pt>
                <c:pt idx="959">
                  <c:v>42303.0</c:v>
                </c:pt>
                <c:pt idx="960">
                  <c:v>42304.0</c:v>
                </c:pt>
                <c:pt idx="961">
                  <c:v>42305.0</c:v>
                </c:pt>
                <c:pt idx="962">
                  <c:v>42306.0</c:v>
                </c:pt>
                <c:pt idx="963">
                  <c:v>42307.0</c:v>
                </c:pt>
                <c:pt idx="964">
                  <c:v>42310.0</c:v>
                </c:pt>
                <c:pt idx="965">
                  <c:v>42311.0</c:v>
                </c:pt>
                <c:pt idx="966">
                  <c:v>42312.0</c:v>
                </c:pt>
                <c:pt idx="967">
                  <c:v>42313.0</c:v>
                </c:pt>
                <c:pt idx="968">
                  <c:v>42314.0</c:v>
                </c:pt>
                <c:pt idx="969">
                  <c:v>42317.0</c:v>
                </c:pt>
                <c:pt idx="970">
                  <c:v>42318.0</c:v>
                </c:pt>
                <c:pt idx="971">
                  <c:v>42319.0</c:v>
                </c:pt>
                <c:pt idx="972">
                  <c:v>42320.0</c:v>
                </c:pt>
                <c:pt idx="973">
                  <c:v>42321.0</c:v>
                </c:pt>
                <c:pt idx="974">
                  <c:v>42324.0</c:v>
                </c:pt>
                <c:pt idx="975">
                  <c:v>42325.0</c:v>
                </c:pt>
                <c:pt idx="976">
                  <c:v>42326.0</c:v>
                </c:pt>
                <c:pt idx="977">
                  <c:v>42327.0</c:v>
                </c:pt>
                <c:pt idx="978">
                  <c:v>42328.0</c:v>
                </c:pt>
                <c:pt idx="979">
                  <c:v>42331.0</c:v>
                </c:pt>
                <c:pt idx="980">
                  <c:v>42332.0</c:v>
                </c:pt>
                <c:pt idx="981">
                  <c:v>42333.0</c:v>
                </c:pt>
                <c:pt idx="982">
                  <c:v>42335.0</c:v>
                </c:pt>
                <c:pt idx="983">
                  <c:v>42338.0</c:v>
                </c:pt>
                <c:pt idx="984">
                  <c:v>42339.0</c:v>
                </c:pt>
                <c:pt idx="985">
                  <c:v>42340.0</c:v>
                </c:pt>
                <c:pt idx="986">
                  <c:v>42341.0</c:v>
                </c:pt>
                <c:pt idx="987">
                  <c:v>42342.0</c:v>
                </c:pt>
                <c:pt idx="988">
                  <c:v>42345.0</c:v>
                </c:pt>
                <c:pt idx="989">
                  <c:v>42346.0</c:v>
                </c:pt>
                <c:pt idx="990">
                  <c:v>42347.0</c:v>
                </c:pt>
                <c:pt idx="991">
                  <c:v>42348.0</c:v>
                </c:pt>
                <c:pt idx="992">
                  <c:v>42349.0</c:v>
                </c:pt>
                <c:pt idx="993">
                  <c:v>42352.0</c:v>
                </c:pt>
                <c:pt idx="994">
                  <c:v>42353.0</c:v>
                </c:pt>
                <c:pt idx="995">
                  <c:v>42354.0</c:v>
                </c:pt>
                <c:pt idx="996">
                  <c:v>42355.0</c:v>
                </c:pt>
                <c:pt idx="997">
                  <c:v>42356.0</c:v>
                </c:pt>
                <c:pt idx="998">
                  <c:v>42359.0</c:v>
                </c:pt>
                <c:pt idx="999">
                  <c:v>42360.0</c:v>
                </c:pt>
                <c:pt idx="1000">
                  <c:v>42361.0</c:v>
                </c:pt>
                <c:pt idx="1001">
                  <c:v>42362.0</c:v>
                </c:pt>
                <c:pt idx="1002">
                  <c:v>42366.0</c:v>
                </c:pt>
                <c:pt idx="1003">
                  <c:v>42367.0</c:v>
                </c:pt>
                <c:pt idx="1004">
                  <c:v>42368.0</c:v>
                </c:pt>
                <c:pt idx="1005">
                  <c:v>42369.0</c:v>
                </c:pt>
                <c:pt idx="1006">
                  <c:v>42373.0</c:v>
                </c:pt>
                <c:pt idx="1007">
                  <c:v>42374.0</c:v>
                </c:pt>
                <c:pt idx="1008">
                  <c:v>42375.0</c:v>
                </c:pt>
                <c:pt idx="1009">
                  <c:v>42376.0</c:v>
                </c:pt>
                <c:pt idx="1010">
                  <c:v>42377.0</c:v>
                </c:pt>
                <c:pt idx="1011">
                  <c:v>42380.0</c:v>
                </c:pt>
                <c:pt idx="1012">
                  <c:v>42381.0</c:v>
                </c:pt>
                <c:pt idx="1013">
                  <c:v>42382.0</c:v>
                </c:pt>
                <c:pt idx="1014">
                  <c:v>42383.0</c:v>
                </c:pt>
                <c:pt idx="1015">
                  <c:v>42384.0</c:v>
                </c:pt>
                <c:pt idx="1016">
                  <c:v>42388.0</c:v>
                </c:pt>
                <c:pt idx="1017">
                  <c:v>42389.0</c:v>
                </c:pt>
                <c:pt idx="1018">
                  <c:v>42390.0</c:v>
                </c:pt>
                <c:pt idx="1019">
                  <c:v>42391.0</c:v>
                </c:pt>
                <c:pt idx="1020">
                  <c:v>42394.0</c:v>
                </c:pt>
                <c:pt idx="1021">
                  <c:v>42395.0</c:v>
                </c:pt>
                <c:pt idx="1022">
                  <c:v>42396.0</c:v>
                </c:pt>
                <c:pt idx="1023">
                  <c:v>42397.0</c:v>
                </c:pt>
                <c:pt idx="1024">
                  <c:v>42398.0</c:v>
                </c:pt>
                <c:pt idx="1025">
                  <c:v>42401.0</c:v>
                </c:pt>
                <c:pt idx="1026">
                  <c:v>42402.0</c:v>
                </c:pt>
                <c:pt idx="1027">
                  <c:v>42403.0</c:v>
                </c:pt>
                <c:pt idx="1028">
                  <c:v>42404.0</c:v>
                </c:pt>
                <c:pt idx="1029">
                  <c:v>42405.0</c:v>
                </c:pt>
                <c:pt idx="1030">
                  <c:v>42408.0</c:v>
                </c:pt>
                <c:pt idx="1031">
                  <c:v>42409.0</c:v>
                </c:pt>
                <c:pt idx="1032">
                  <c:v>42410.0</c:v>
                </c:pt>
                <c:pt idx="1033">
                  <c:v>42411.0</c:v>
                </c:pt>
                <c:pt idx="1034">
                  <c:v>42412.0</c:v>
                </c:pt>
                <c:pt idx="1035">
                  <c:v>42416.0</c:v>
                </c:pt>
                <c:pt idx="1036">
                  <c:v>42417.0</c:v>
                </c:pt>
                <c:pt idx="1037">
                  <c:v>42418.0</c:v>
                </c:pt>
                <c:pt idx="1038">
                  <c:v>42419.0</c:v>
                </c:pt>
                <c:pt idx="1039">
                  <c:v>42422.0</c:v>
                </c:pt>
                <c:pt idx="1040">
                  <c:v>42423.0</c:v>
                </c:pt>
                <c:pt idx="1041">
                  <c:v>42424.0</c:v>
                </c:pt>
                <c:pt idx="1042">
                  <c:v>42425.0</c:v>
                </c:pt>
                <c:pt idx="1043">
                  <c:v>42426.0</c:v>
                </c:pt>
                <c:pt idx="1044">
                  <c:v>42429.0</c:v>
                </c:pt>
                <c:pt idx="1045">
                  <c:v>42430.0</c:v>
                </c:pt>
                <c:pt idx="1046">
                  <c:v>42431.0</c:v>
                </c:pt>
                <c:pt idx="1047">
                  <c:v>42432.0</c:v>
                </c:pt>
                <c:pt idx="1048">
                  <c:v>42433.0</c:v>
                </c:pt>
                <c:pt idx="1049">
                  <c:v>42436.0</c:v>
                </c:pt>
                <c:pt idx="1050">
                  <c:v>42437.0</c:v>
                </c:pt>
                <c:pt idx="1051">
                  <c:v>42438.0</c:v>
                </c:pt>
                <c:pt idx="1052">
                  <c:v>42439.0</c:v>
                </c:pt>
                <c:pt idx="1053">
                  <c:v>42440.0</c:v>
                </c:pt>
                <c:pt idx="1054">
                  <c:v>42443.0</c:v>
                </c:pt>
                <c:pt idx="1055">
                  <c:v>42444.0</c:v>
                </c:pt>
                <c:pt idx="1056">
                  <c:v>42445.0</c:v>
                </c:pt>
                <c:pt idx="1057">
                  <c:v>42446.0</c:v>
                </c:pt>
                <c:pt idx="1058">
                  <c:v>42447.0</c:v>
                </c:pt>
                <c:pt idx="1059">
                  <c:v>42450.0</c:v>
                </c:pt>
                <c:pt idx="1060">
                  <c:v>42451.0</c:v>
                </c:pt>
                <c:pt idx="1061">
                  <c:v>42452.0</c:v>
                </c:pt>
                <c:pt idx="1062">
                  <c:v>42453.0</c:v>
                </c:pt>
                <c:pt idx="1063">
                  <c:v>42457.0</c:v>
                </c:pt>
                <c:pt idx="1064">
                  <c:v>42458.0</c:v>
                </c:pt>
                <c:pt idx="1065">
                  <c:v>42459.0</c:v>
                </c:pt>
                <c:pt idx="1066">
                  <c:v>42460.0</c:v>
                </c:pt>
                <c:pt idx="1067">
                  <c:v>42461.0</c:v>
                </c:pt>
                <c:pt idx="1068">
                  <c:v>42464.0</c:v>
                </c:pt>
                <c:pt idx="1069">
                  <c:v>42465.0</c:v>
                </c:pt>
                <c:pt idx="1070">
                  <c:v>42466.0</c:v>
                </c:pt>
                <c:pt idx="1071">
                  <c:v>42467.0</c:v>
                </c:pt>
                <c:pt idx="1072">
                  <c:v>42468.0</c:v>
                </c:pt>
                <c:pt idx="1073">
                  <c:v>42471.0</c:v>
                </c:pt>
                <c:pt idx="1074">
                  <c:v>42472.0</c:v>
                </c:pt>
                <c:pt idx="1075">
                  <c:v>42473.0</c:v>
                </c:pt>
                <c:pt idx="1076">
                  <c:v>42474.0</c:v>
                </c:pt>
                <c:pt idx="1077">
                  <c:v>42475.0</c:v>
                </c:pt>
                <c:pt idx="1078">
                  <c:v>42478.0</c:v>
                </c:pt>
                <c:pt idx="1079">
                  <c:v>42479.0</c:v>
                </c:pt>
                <c:pt idx="1080">
                  <c:v>42480.0</c:v>
                </c:pt>
                <c:pt idx="1081">
                  <c:v>42481.0</c:v>
                </c:pt>
                <c:pt idx="1082">
                  <c:v>42482.0</c:v>
                </c:pt>
                <c:pt idx="1083">
                  <c:v>42485.0</c:v>
                </c:pt>
                <c:pt idx="1084">
                  <c:v>42486.0</c:v>
                </c:pt>
                <c:pt idx="1085">
                  <c:v>42487.0</c:v>
                </c:pt>
                <c:pt idx="1086">
                  <c:v>42488.0</c:v>
                </c:pt>
                <c:pt idx="1087">
                  <c:v>42489.0</c:v>
                </c:pt>
                <c:pt idx="1088">
                  <c:v>42492.0</c:v>
                </c:pt>
                <c:pt idx="1089">
                  <c:v>42493.0</c:v>
                </c:pt>
                <c:pt idx="1090">
                  <c:v>42494.0</c:v>
                </c:pt>
                <c:pt idx="1091">
                  <c:v>42495.0</c:v>
                </c:pt>
                <c:pt idx="1092">
                  <c:v>42496.0</c:v>
                </c:pt>
                <c:pt idx="1093">
                  <c:v>42499.0</c:v>
                </c:pt>
                <c:pt idx="1094">
                  <c:v>42500.0</c:v>
                </c:pt>
                <c:pt idx="1095">
                  <c:v>42501.0</c:v>
                </c:pt>
                <c:pt idx="1096">
                  <c:v>42502.0</c:v>
                </c:pt>
                <c:pt idx="1097">
                  <c:v>42503.0</c:v>
                </c:pt>
                <c:pt idx="1098">
                  <c:v>42506.0</c:v>
                </c:pt>
                <c:pt idx="1099">
                  <c:v>42507.0</c:v>
                </c:pt>
                <c:pt idx="1100">
                  <c:v>42508.0</c:v>
                </c:pt>
                <c:pt idx="1101">
                  <c:v>42509.0</c:v>
                </c:pt>
                <c:pt idx="1102">
                  <c:v>42510.0</c:v>
                </c:pt>
                <c:pt idx="1103">
                  <c:v>42513.0</c:v>
                </c:pt>
                <c:pt idx="1104">
                  <c:v>42514.0</c:v>
                </c:pt>
                <c:pt idx="1105">
                  <c:v>42515.0</c:v>
                </c:pt>
                <c:pt idx="1106">
                  <c:v>42516.0</c:v>
                </c:pt>
                <c:pt idx="1107">
                  <c:v>42517.0</c:v>
                </c:pt>
                <c:pt idx="1108">
                  <c:v>42521.0</c:v>
                </c:pt>
                <c:pt idx="1109">
                  <c:v>42522.0</c:v>
                </c:pt>
                <c:pt idx="1110">
                  <c:v>42523.0</c:v>
                </c:pt>
                <c:pt idx="1111">
                  <c:v>42524.0</c:v>
                </c:pt>
                <c:pt idx="1112">
                  <c:v>42527.0</c:v>
                </c:pt>
                <c:pt idx="1113">
                  <c:v>42528.0</c:v>
                </c:pt>
                <c:pt idx="1114">
                  <c:v>42529.0</c:v>
                </c:pt>
                <c:pt idx="1115">
                  <c:v>42530.0</c:v>
                </c:pt>
                <c:pt idx="1116">
                  <c:v>42531.0</c:v>
                </c:pt>
                <c:pt idx="1117">
                  <c:v>42534.0</c:v>
                </c:pt>
                <c:pt idx="1118">
                  <c:v>42535.0</c:v>
                </c:pt>
                <c:pt idx="1119">
                  <c:v>42536.0</c:v>
                </c:pt>
                <c:pt idx="1120">
                  <c:v>42537.0</c:v>
                </c:pt>
                <c:pt idx="1121">
                  <c:v>42538.0</c:v>
                </c:pt>
                <c:pt idx="1122">
                  <c:v>42541.0</c:v>
                </c:pt>
                <c:pt idx="1123">
                  <c:v>42542.0</c:v>
                </c:pt>
                <c:pt idx="1124">
                  <c:v>42543.0</c:v>
                </c:pt>
                <c:pt idx="1125">
                  <c:v>42544.0</c:v>
                </c:pt>
                <c:pt idx="1126">
                  <c:v>42545.0</c:v>
                </c:pt>
                <c:pt idx="1127">
                  <c:v>42548.0</c:v>
                </c:pt>
                <c:pt idx="1128">
                  <c:v>42549.0</c:v>
                </c:pt>
                <c:pt idx="1129">
                  <c:v>42550.0</c:v>
                </c:pt>
                <c:pt idx="1130">
                  <c:v>42551.0</c:v>
                </c:pt>
                <c:pt idx="1131">
                  <c:v>42552.0</c:v>
                </c:pt>
                <c:pt idx="1132">
                  <c:v>42556.0</c:v>
                </c:pt>
                <c:pt idx="1133">
                  <c:v>42557.0</c:v>
                </c:pt>
                <c:pt idx="1134">
                  <c:v>42558.0</c:v>
                </c:pt>
                <c:pt idx="1135">
                  <c:v>42559.0</c:v>
                </c:pt>
                <c:pt idx="1136">
                  <c:v>42562.0</c:v>
                </c:pt>
                <c:pt idx="1137">
                  <c:v>42563.0</c:v>
                </c:pt>
                <c:pt idx="1138">
                  <c:v>42564.0</c:v>
                </c:pt>
                <c:pt idx="1139">
                  <c:v>42565.0</c:v>
                </c:pt>
                <c:pt idx="1140">
                  <c:v>42566.0</c:v>
                </c:pt>
                <c:pt idx="1141">
                  <c:v>42569.0</c:v>
                </c:pt>
                <c:pt idx="1142">
                  <c:v>42570.0</c:v>
                </c:pt>
                <c:pt idx="1143">
                  <c:v>42571.0</c:v>
                </c:pt>
                <c:pt idx="1144">
                  <c:v>42572.0</c:v>
                </c:pt>
                <c:pt idx="1145">
                  <c:v>42573.0</c:v>
                </c:pt>
                <c:pt idx="1146">
                  <c:v>42576.0</c:v>
                </c:pt>
                <c:pt idx="1147">
                  <c:v>42577.0</c:v>
                </c:pt>
                <c:pt idx="1148">
                  <c:v>42578.0</c:v>
                </c:pt>
                <c:pt idx="1149">
                  <c:v>42579.0</c:v>
                </c:pt>
                <c:pt idx="1150">
                  <c:v>42580.0</c:v>
                </c:pt>
                <c:pt idx="1151">
                  <c:v>42583.0</c:v>
                </c:pt>
                <c:pt idx="1152">
                  <c:v>42584.0</c:v>
                </c:pt>
                <c:pt idx="1153">
                  <c:v>42585.0</c:v>
                </c:pt>
                <c:pt idx="1154">
                  <c:v>42586.0</c:v>
                </c:pt>
                <c:pt idx="1155">
                  <c:v>42587.0</c:v>
                </c:pt>
                <c:pt idx="1156">
                  <c:v>42590.0</c:v>
                </c:pt>
                <c:pt idx="1157">
                  <c:v>42591.0</c:v>
                </c:pt>
                <c:pt idx="1158">
                  <c:v>42592.0</c:v>
                </c:pt>
                <c:pt idx="1159">
                  <c:v>42593.0</c:v>
                </c:pt>
                <c:pt idx="1160">
                  <c:v>42594.0</c:v>
                </c:pt>
                <c:pt idx="1161">
                  <c:v>42597.0</c:v>
                </c:pt>
                <c:pt idx="1162">
                  <c:v>42598.0</c:v>
                </c:pt>
                <c:pt idx="1163">
                  <c:v>42599.0</c:v>
                </c:pt>
                <c:pt idx="1164">
                  <c:v>42600.0</c:v>
                </c:pt>
                <c:pt idx="1165">
                  <c:v>42601.0</c:v>
                </c:pt>
                <c:pt idx="1166">
                  <c:v>42604.0</c:v>
                </c:pt>
                <c:pt idx="1167">
                  <c:v>42605.0</c:v>
                </c:pt>
                <c:pt idx="1168">
                  <c:v>42606.0</c:v>
                </c:pt>
                <c:pt idx="1169">
                  <c:v>42607.0</c:v>
                </c:pt>
                <c:pt idx="1170">
                  <c:v>42608.0</c:v>
                </c:pt>
                <c:pt idx="1171">
                  <c:v>42611.0</c:v>
                </c:pt>
                <c:pt idx="1172">
                  <c:v>42612.0</c:v>
                </c:pt>
                <c:pt idx="1173">
                  <c:v>42613.0</c:v>
                </c:pt>
                <c:pt idx="1174">
                  <c:v>42614.0</c:v>
                </c:pt>
                <c:pt idx="1175">
                  <c:v>42615.0</c:v>
                </c:pt>
                <c:pt idx="1176">
                  <c:v>42619.0</c:v>
                </c:pt>
                <c:pt idx="1177">
                  <c:v>42620.0</c:v>
                </c:pt>
                <c:pt idx="1178">
                  <c:v>42621.0</c:v>
                </c:pt>
                <c:pt idx="1179">
                  <c:v>42622.0</c:v>
                </c:pt>
                <c:pt idx="1180">
                  <c:v>42625.0</c:v>
                </c:pt>
                <c:pt idx="1181">
                  <c:v>42626.0</c:v>
                </c:pt>
                <c:pt idx="1182">
                  <c:v>42627.0</c:v>
                </c:pt>
                <c:pt idx="1183">
                  <c:v>42628.0</c:v>
                </c:pt>
                <c:pt idx="1184">
                  <c:v>42629.0</c:v>
                </c:pt>
                <c:pt idx="1185">
                  <c:v>42632.0</c:v>
                </c:pt>
                <c:pt idx="1186">
                  <c:v>42633.0</c:v>
                </c:pt>
                <c:pt idx="1187">
                  <c:v>42634.0</c:v>
                </c:pt>
                <c:pt idx="1188">
                  <c:v>42635.0</c:v>
                </c:pt>
                <c:pt idx="1189">
                  <c:v>42636.0</c:v>
                </c:pt>
                <c:pt idx="1190">
                  <c:v>42639.0</c:v>
                </c:pt>
                <c:pt idx="1191">
                  <c:v>42640.0</c:v>
                </c:pt>
                <c:pt idx="1192">
                  <c:v>42641.0</c:v>
                </c:pt>
                <c:pt idx="1193">
                  <c:v>42642.0</c:v>
                </c:pt>
                <c:pt idx="1194">
                  <c:v>42643.0</c:v>
                </c:pt>
                <c:pt idx="1195">
                  <c:v>42646.0</c:v>
                </c:pt>
                <c:pt idx="1196">
                  <c:v>42647.0</c:v>
                </c:pt>
                <c:pt idx="1197">
                  <c:v>42648.0</c:v>
                </c:pt>
                <c:pt idx="1198">
                  <c:v>42649.0</c:v>
                </c:pt>
                <c:pt idx="1199">
                  <c:v>42650.0</c:v>
                </c:pt>
                <c:pt idx="1200">
                  <c:v>42653.0</c:v>
                </c:pt>
                <c:pt idx="1201">
                  <c:v>42654.0</c:v>
                </c:pt>
                <c:pt idx="1202">
                  <c:v>42655.0</c:v>
                </c:pt>
                <c:pt idx="1203">
                  <c:v>42656.0</c:v>
                </c:pt>
                <c:pt idx="1204">
                  <c:v>42657.0</c:v>
                </c:pt>
                <c:pt idx="1205">
                  <c:v>42660.0</c:v>
                </c:pt>
                <c:pt idx="1206">
                  <c:v>42661.0</c:v>
                </c:pt>
                <c:pt idx="1207">
                  <c:v>42662.0</c:v>
                </c:pt>
                <c:pt idx="1208">
                  <c:v>42663.0</c:v>
                </c:pt>
                <c:pt idx="1209">
                  <c:v>42664.0</c:v>
                </c:pt>
                <c:pt idx="1210">
                  <c:v>42667.0</c:v>
                </c:pt>
                <c:pt idx="1211">
                  <c:v>42668.0</c:v>
                </c:pt>
                <c:pt idx="1212">
                  <c:v>42669.0</c:v>
                </c:pt>
                <c:pt idx="1213">
                  <c:v>42670.0</c:v>
                </c:pt>
                <c:pt idx="1214">
                  <c:v>42671.0</c:v>
                </c:pt>
                <c:pt idx="1215">
                  <c:v>42674.0</c:v>
                </c:pt>
                <c:pt idx="1216">
                  <c:v>42675.0</c:v>
                </c:pt>
                <c:pt idx="1217">
                  <c:v>42676.0</c:v>
                </c:pt>
                <c:pt idx="1218">
                  <c:v>42677.0</c:v>
                </c:pt>
                <c:pt idx="1219">
                  <c:v>42678.0</c:v>
                </c:pt>
                <c:pt idx="1220">
                  <c:v>42681.0</c:v>
                </c:pt>
                <c:pt idx="1221">
                  <c:v>42682.0</c:v>
                </c:pt>
                <c:pt idx="1222">
                  <c:v>42683.0</c:v>
                </c:pt>
                <c:pt idx="1223">
                  <c:v>42684.0</c:v>
                </c:pt>
                <c:pt idx="1224">
                  <c:v>42685.0</c:v>
                </c:pt>
                <c:pt idx="1225">
                  <c:v>42688.0</c:v>
                </c:pt>
                <c:pt idx="1226">
                  <c:v>42689.0</c:v>
                </c:pt>
                <c:pt idx="1227">
                  <c:v>42690.0</c:v>
                </c:pt>
                <c:pt idx="1228">
                  <c:v>42691.0</c:v>
                </c:pt>
                <c:pt idx="1229">
                  <c:v>42692.0</c:v>
                </c:pt>
                <c:pt idx="1230">
                  <c:v>42695.0</c:v>
                </c:pt>
                <c:pt idx="1231">
                  <c:v>42696.0</c:v>
                </c:pt>
                <c:pt idx="1232">
                  <c:v>42697.0</c:v>
                </c:pt>
                <c:pt idx="1233">
                  <c:v>42699.0</c:v>
                </c:pt>
                <c:pt idx="1234">
                  <c:v>42702.0</c:v>
                </c:pt>
                <c:pt idx="1235">
                  <c:v>42703.0</c:v>
                </c:pt>
                <c:pt idx="1236">
                  <c:v>42704.0</c:v>
                </c:pt>
                <c:pt idx="1237">
                  <c:v>42705.0</c:v>
                </c:pt>
                <c:pt idx="1238">
                  <c:v>42706.0</c:v>
                </c:pt>
                <c:pt idx="1239">
                  <c:v>42709.0</c:v>
                </c:pt>
                <c:pt idx="1240">
                  <c:v>42710.0</c:v>
                </c:pt>
                <c:pt idx="1241">
                  <c:v>42711.0</c:v>
                </c:pt>
                <c:pt idx="1242">
                  <c:v>42712.0</c:v>
                </c:pt>
                <c:pt idx="1243">
                  <c:v>42713.0</c:v>
                </c:pt>
                <c:pt idx="1244">
                  <c:v>42716.0</c:v>
                </c:pt>
                <c:pt idx="1245">
                  <c:v>42717.0</c:v>
                </c:pt>
                <c:pt idx="1246">
                  <c:v>42718.0</c:v>
                </c:pt>
                <c:pt idx="1247">
                  <c:v>42719.0</c:v>
                </c:pt>
                <c:pt idx="1248">
                  <c:v>42720.0</c:v>
                </c:pt>
                <c:pt idx="1249">
                  <c:v>42723.0</c:v>
                </c:pt>
                <c:pt idx="1250">
                  <c:v>42724.0</c:v>
                </c:pt>
                <c:pt idx="1251">
                  <c:v>42725.0</c:v>
                </c:pt>
                <c:pt idx="1252">
                  <c:v>42726.0</c:v>
                </c:pt>
                <c:pt idx="1253">
                  <c:v>42727.0</c:v>
                </c:pt>
                <c:pt idx="1254">
                  <c:v>42731.0</c:v>
                </c:pt>
                <c:pt idx="1255">
                  <c:v>42732.0</c:v>
                </c:pt>
                <c:pt idx="1256">
                  <c:v>42733.0</c:v>
                </c:pt>
                <c:pt idx="1257">
                  <c:v>42734.0</c:v>
                </c:pt>
                <c:pt idx="1258">
                  <c:v>42738.0</c:v>
                </c:pt>
                <c:pt idx="1259">
                  <c:v>42739.0</c:v>
                </c:pt>
                <c:pt idx="1260">
                  <c:v>42740.0</c:v>
                </c:pt>
                <c:pt idx="1261">
                  <c:v>42741.0</c:v>
                </c:pt>
                <c:pt idx="1262">
                  <c:v>42744.0</c:v>
                </c:pt>
                <c:pt idx="1263">
                  <c:v>42745.0</c:v>
                </c:pt>
                <c:pt idx="1264">
                  <c:v>42746.0</c:v>
                </c:pt>
                <c:pt idx="1265">
                  <c:v>42747.0</c:v>
                </c:pt>
                <c:pt idx="1266">
                  <c:v>42748.0</c:v>
                </c:pt>
                <c:pt idx="1267">
                  <c:v>42752.0</c:v>
                </c:pt>
                <c:pt idx="1268">
                  <c:v>42753.0</c:v>
                </c:pt>
                <c:pt idx="1269">
                  <c:v>42754.0</c:v>
                </c:pt>
                <c:pt idx="1270">
                  <c:v>42755.0</c:v>
                </c:pt>
                <c:pt idx="1271">
                  <c:v>42758.0</c:v>
                </c:pt>
                <c:pt idx="1272">
                  <c:v>42759.0</c:v>
                </c:pt>
                <c:pt idx="1273">
                  <c:v>42760.0</c:v>
                </c:pt>
                <c:pt idx="1274">
                  <c:v>42761.0</c:v>
                </c:pt>
                <c:pt idx="1275">
                  <c:v>42762.0</c:v>
                </c:pt>
                <c:pt idx="1276">
                  <c:v>42765.0</c:v>
                </c:pt>
                <c:pt idx="1277">
                  <c:v>42766.0</c:v>
                </c:pt>
                <c:pt idx="1278">
                  <c:v>42767.0</c:v>
                </c:pt>
                <c:pt idx="1279">
                  <c:v>42768.0</c:v>
                </c:pt>
                <c:pt idx="1280">
                  <c:v>42769.0</c:v>
                </c:pt>
                <c:pt idx="1281">
                  <c:v>42772.0</c:v>
                </c:pt>
                <c:pt idx="1282">
                  <c:v>42773.0</c:v>
                </c:pt>
                <c:pt idx="1283">
                  <c:v>42774.0</c:v>
                </c:pt>
                <c:pt idx="1284">
                  <c:v>42775.0</c:v>
                </c:pt>
                <c:pt idx="1285">
                  <c:v>42776.0</c:v>
                </c:pt>
                <c:pt idx="1286">
                  <c:v>42779.0</c:v>
                </c:pt>
                <c:pt idx="1287">
                  <c:v>42780.0</c:v>
                </c:pt>
                <c:pt idx="1288">
                  <c:v>42781.0</c:v>
                </c:pt>
                <c:pt idx="1289">
                  <c:v>42782.0</c:v>
                </c:pt>
                <c:pt idx="1290">
                  <c:v>42783.0</c:v>
                </c:pt>
                <c:pt idx="1291">
                  <c:v>42787.0</c:v>
                </c:pt>
                <c:pt idx="1292">
                  <c:v>42788.0</c:v>
                </c:pt>
                <c:pt idx="1293">
                  <c:v>42789.0</c:v>
                </c:pt>
                <c:pt idx="1294">
                  <c:v>42790.0</c:v>
                </c:pt>
                <c:pt idx="1295">
                  <c:v>42793.0</c:v>
                </c:pt>
                <c:pt idx="1296">
                  <c:v>42794.0</c:v>
                </c:pt>
                <c:pt idx="1297">
                  <c:v>42795.0</c:v>
                </c:pt>
                <c:pt idx="1298">
                  <c:v>42796.0</c:v>
                </c:pt>
                <c:pt idx="1299">
                  <c:v>42797.0</c:v>
                </c:pt>
                <c:pt idx="1300">
                  <c:v>42800.0</c:v>
                </c:pt>
                <c:pt idx="1301">
                  <c:v>42801.0</c:v>
                </c:pt>
                <c:pt idx="1302">
                  <c:v>42802.0</c:v>
                </c:pt>
                <c:pt idx="1303">
                  <c:v>42803.0</c:v>
                </c:pt>
                <c:pt idx="1304">
                  <c:v>42804.0</c:v>
                </c:pt>
                <c:pt idx="1305">
                  <c:v>42807.0</c:v>
                </c:pt>
                <c:pt idx="1306">
                  <c:v>42808.0</c:v>
                </c:pt>
                <c:pt idx="1307">
                  <c:v>42809.0</c:v>
                </c:pt>
                <c:pt idx="1308">
                  <c:v>42810.0</c:v>
                </c:pt>
                <c:pt idx="1309">
                  <c:v>42811.0</c:v>
                </c:pt>
                <c:pt idx="1310">
                  <c:v>42814.0</c:v>
                </c:pt>
                <c:pt idx="1311">
                  <c:v>42815.0</c:v>
                </c:pt>
                <c:pt idx="1312">
                  <c:v>42816.0</c:v>
                </c:pt>
                <c:pt idx="1313">
                  <c:v>42817.0</c:v>
                </c:pt>
                <c:pt idx="1314">
                  <c:v>42818.0</c:v>
                </c:pt>
                <c:pt idx="1315">
                  <c:v>42821.0</c:v>
                </c:pt>
                <c:pt idx="1316">
                  <c:v>42822.0</c:v>
                </c:pt>
                <c:pt idx="1317">
                  <c:v>42823.0</c:v>
                </c:pt>
                <c:pt idx="1318">
                  <c:v>42824.0</c:v>
                </c:pt>
                <c:pt idx="1319">
                  <c:v>42825.0</c:v>
                </c:pt>
                <c:pt idx="1320">
                  <c:v>42828.0</c:v>
                </c:pt>
                <c:pt idx="1321">
                  <c:v>42829.0</c:v>
                </c:pt>
                <c:pt idx="1322">
                  <c:v>42830.0</c:v>
                </c:pt>
                <c:pt idx="1323">
                  <c:v>42831.0</c:v>
                </c:pt>
                <c:pt idx="1324">
                  <c:v>42832.0</c:v>
                </c:pt>
                <c:pt idx="1325">
                  <c:v>42835.0</c:v>
                </c:pt>
                <c:pt idx="1326">
                  <c:v>42836.0</c:v>
                </c:pt>
                <c:pt idx="1327">
                  <c:v>42837.0</c:v>
                </c:pt>
                <c:pt idx="1328">
                  <c:v>42838.0</c:v>
                </c:pt>
                <c:pt idx="1329">
                  <c:v>42842.0</c:v>
                </c:pt>
                <c:pt idx="1330">
                  <c:v>42843.0</c:v>
                </c:pt>
                <c:pt idx="1331">
                  <c:v>42844.0</c:v>
                </c:pt>
                <c:pt idx="1332">
                  <c:v>42845.0</c:v>
                </c:pt>
                <c:pt idx="1333">
                  <c:v>42846.0</c:v>
                </c:pt>
                <c:pt idx="1334">
                  <c:v>42849.0</c:v>
                </c:pt>
                <c:pt idx="1335">
                  <c:v>42850.0</c:v>
                </c:pt>
                <c:pt idx="1336">
                  <c:v>42851.0</c:v>
                </c:pt>
                <c:pt idx="1337">
                  <c:v>42852.0</c:v>
                </c:pt>
                <c:pt idx="1338">
                  <c:v>42853.0</c:v>
                </c:pt>
                <c:pt idx="1339">
                  <c:v>42856.0</c:v>
                </c:pt>
                <c:pt idx="1340">
                  <c:v>42857.0</c:v>
                </c:pt>
                <c:pt idx="1341">
                  <c:v>42858.0</c:v>
                </c:pt>
                <c:pt idx="1342">
                  <c:v>42859.0</c:v>
                </c:pt>
                <c:pt idx="1343">
                  <c:v>42860.0</c:v>
                </c:pt>
                <c:pt idx="1344">
                  <c:v>42863.0</c:v>
                </c:pt>
                <c:pt idx="1345">
                  <c:v>42864.0</c:v>
                </c:pt>
                <c:pt idx="1346">
                  <c:v>42865.0</c:v>
                </c:pt>
                <c:pt idx="1347">
                  <c:v>42866.0</c:v>
                </c:pt>
                <c:pt idx="1348">
                  <c:v>42867.0</c:v>
                </c:pt>
                <c:pt idx="1349">
                  <c:v>42870.0</c:v>
                </c:pt>
                <c:pt idx="1350">
                  <c:v>42871.0</c:v>
                </c:pt>
                <c:pt idx="1351">
                  <c:v>42872.0</c:v>
                </c:pt>
                <c:pt idx="1352">
                  <c:v>42873.0</c:v>
                </c:pt>
                <c:pt idx="1353">
                  <c:v>42874.0</c:v>
                </c:pt>
                <c:pt idx="1354">
                  <c:v>42877.0</c:v>
                </c:pt>
                <c:pt idx="1355">
                  <c:v>42878.0</c:v>
                </c:pt>
                <c:pt idx="1356">
                  <c:v>42879.0</c:v>
                </c:pt>
                <c:pt idx="1357">
                  <c:v>42880.0</c:v>
                </c:pt>
                <c:pt idx="1358">
                  <c:v>42881.0</c:v>
                </c:pt>
                <c:pt idx="1359">
                  <c:v>42885.0</c:v>
                </c:pt>
                <c:pt idx="1360">
                  <c:v>42886.0</c:v>
                </c:pt>
                <c:pt idx="1361">
                  <c:v>42887.0</c:v>
                </c:pt>
                <c:pt idx="1362">
                  <c:v>42888.0</c:v>
                </c:pt>
                <c:pt idx="1363">
                  <c:v>42891.0</c:v>
                </c:pt>
                <c:pt idx="1364">
                  <c:v>42892.0</c:v>
                </c:pt>
                <c:pt idx="1365">
                  <c:v>42893.0</c:v>
                </c:pt>
                <c:pt idx="1366">
                  <c:v>42894.0</c:v>
                </c:pt>
                <c:pt idx="1367">
                  <c:v>42895.0</c:v>
                </c:pt>
                <c:pt idx="1368">
                  <c:v>42898.0</c:v>
                </c:pt>
                <c:pt idx="1369">
                  <c:v>42899.0</c:v>
                </c:pt>
                <c:pt idx="1370">
                  <c:v>42900.0</c:v>
                </c:pt>
                <c:pt idx="1371">
                  <c:v>42901.0</c:v>
                </c:pt>
                <c:pt idx="1372">
                  <c:v>42902.0</c:v>
                </c:pt>
                <c:pt idx="1373">
                  <c:v>42905.0</c:v>
                </c:pt>
                <c:pt idx="1374">
                  <c:v>42906.0</c:v>
                </c:pt>
                <c:pt idx="1375">
                  <c:v>42907.0</c:v>
                </c:pt>
                <c:pt idx="1376">
                  <c:v>42908.0</c:v>
                </c:pt>
                <c:pt idx="1377">
                  <c:v>42909.0</c:v>
                </c:pt>
                <c:pt idx="1378">
                  <c:v>42912.0</c:v>
                </c:pt>
                <c:pt idx="1379">
                  <c:v>42913.0</c:v>
                </c:pt>
                <c:pt idx="1380">
                  <c:v>42914.0</c:v>
                </c:pt>
                <c:pt idx="1381">
                  <c:v>42915.0</c:v>
                </c:pt>
                <c:pt idx="1382">
                  <c:v>42916.0</c:v>
                </c:pt>
                <c:pt idx="1383">
                  <c:v>42919.0</c:v>
                </c:pt>
                <c:pt idx="1384">
                  <c:v>42921.0</c:v>
                </c:pt>
                <c:pt idx="1385">
                  <c:v>42922.0</c:v>
                </c:pt>
                <c:pt idx="1386">
                  <c:v>42923.0</c:v>
                </c:pt>
                <c:pt idx="1387">
                  <c:v>42926.0</c:v>
                </c:pt>
                <c:pt idx="1388">
                  <c:v>42927.0</c:v>
                </c:pt>
                <c:pt idx="1389">
                  <c:v>42928.0</c:v>
                </c:pt>
                <c:pt idx="1390">
                  <c:v>42929.0</c:v>
                </c:pt>
                <c:pt idx="1391">
                  <c:v>42930.0</c:v>
                </c:pt>
                <c:pt idx="1392">
                  <c:v>42933.0</c:v>
                </c:pt>
                <c:pt idx="1393">
                  <c:v>42934.0</c:v>
                </c:pt>
                <c:pt idx="1394">
                  <c:v>42935.0</c:v>
                </c:pt>
                <c:pt idx="1395">
                  <c:v>42936.0</c:v>
                </c:pt>
                <c:pt idx="1396">
                  <c:v>42937.0</c:v>
                </c:pt>
                <c:pt idx="1397">
                  <c:v>42940.0</c:v>
                </c:pt>
                <c:pt idx="1398">
                  <c:v>42941.0</c:v>
                </c:pt>
                <c:pt idx="1399">
                  <c:v>42942.0</c:v>
                </c:pt>
                <c:pt idx="1400">
                  <c:v>42943.0</c:v>
                </c:pt>
                <c:pt idx="1401">
                  <c:v>42944.0</c:v>
                </c:pt>
                <c:pt idx="1402">
                  <c:v>42947.0</c:v>
                </c:pt>
                <c:pt idx="1403">
                  <c:v>42948.0</c:v>
                </c:pt>
                <c:pt idx="1404">
                  <c:v>42949.0</c:v>
                </c:pt>
                <c:pt idx="1405">
                  <c:v>42950.0</c:v>
                </c:pt>
                <c:pt idx="1406">
                  <c:v>42951.0</c:v>
                </c:pt>
                <c:pt idx="1407">
                  <c:v>42954.0</c:v>
                </c:pt>
                <c:pt idx="1408">
                  <c:v>42955.0</c:v>
                </c:pt>
                <c:pt idx="1409">
                  <c:v>42956.0</c:v>
                </c:pt>
                <c:pt idx="1410">
                  <c:v>42957.0</c:v>
                </c:pt>
                <c:pt idx="1411">
                  <c:v>42958.0</c:v>
                </c:pt>
                <c:pt idx="1412">
                  <c:v>42961.0</c:v>
                </c:pt>
                <c:pt idx="1413">
                  <c:v>42962.0</c:v>
                </c:pt>
                <c:pt idx="1414">
                  <c:v>42963.0</c:v>
                </c:pt>
                <c:pt idx="1415">
                  <c:v>42964.0</c:v>
                </c:pt>
                <c:pt idx="1416">
                  <c:v>42965.0</c:v>
                </c:pt>
                <c:pt idx="1417">
                  <c:v>42968.0</c:v>
                </c:pt>
                <c:pt idx="1418">
                  <c:v>42969.0</c:v>
                </c:pt>
                <c:pt idx="1419">
                  <c:v>42970.0</c:v>
                </c:pt>
                <c:pt idx="1420">
                  <c:v>42971.0</c:v>
                </c:pt>
                <c:pt idx="1421">
                  <c:v>42972.0</c:v>
                </c:pt>
                <c:pt idx="1422">
                  <c:v>42975.0</c:v>
                </c:pt>
                <c:pt idx="1423">
                  <c:v>42976.0</c:v>
                </c:pt>
                <c:pt idx="1424">
                  <c:v>42977.0</c:v>
                </c:pt>
                <c:pt idx="1425">
                  <c:v>42978.0</c:v>
                </c:pt>
                <c:pt idx="1426">
                  <c:v>42979.0</c:v>
                </c:pt>
                <c:pt idx="1427">
                  <c:v>42983.0</c:v>
                </c:pt>
                <c:pt idx="1428">
                  <c:v>42984.0</c:v>
                </c:pt>
                <c:pt idx="1429">
                  <c:v>42985.0</c:v>
                </c:pt>
                <c:pt idx="1430">
                  <c:v>42986.0</c:v>
                </c:pt>
                <c:pt idx="1431">
                  <c:v>42989.0</c:v>
                </c:pt>
                <c:pt idx="1432">
                  <c:v>42990.0</c:v>
                </c:pt>
                <c:pt idx="1433">
                  <c:v>42991.0</c:v>
                </c:pt>
                <c:pt idx="1434">
                  <c:v>42992.0</c:v>
                </c:pt>
                <c:pt idx="1435">
                  <c:v>42993.0</c:v>
                </c:pt>
                <c:pt idx="1436">
                  <c:v>42996.0</c:v>
                </c:pt>
                <c:pt idx="1437">
                  <c:v>42997.0</c:v>
                </c:pt>
                <c:pt idx="1438">
                  <c:v>42998.0</c:v>
                </c:pt>
                <c:pt idx="1439">
                  <c:v>42999.0</c:v>
                </c:pt>
                <c:pt idx="1440">
                  <c:v>43000.0</c:v>
                </c:pt>
                <c:pt idx="1441">
                  <c:v>43003.0</c:v>
                </c:pt>
                <c:pt idx="1442">
                  <c:v>43004.0</c:v>
                </c:pt>
                <c:pt idx="1443">
                  <c:v>43005.0</c:v>
                </c:pt>
                <c:pt idx="1444">
                  <c:v>43006.0</c:v>
                </c:pt>
                <c:pt idx="1445">
                  <c:v>43007.0</c:v>
                </c:pt>
                <c:pt idx="1446">
                  <c:v>43010.0</c:v>
                </c:pt>
                <c:pt idx="1447">
                  <c:v>43011.0</c:v>
                </c:pt>
                <c:pt idx="1448">
                  <c:v>43012.0</c:v>
                </c:pt>
                <c:pt idx="1449">
                  <c:v>43013.0</c:v>
                </c:pt>
                <c:pt idx="1450">
                  <c:v>43014.0</c:v>
                </c:pt>
                <c:pt idx="1451">
                  <c:v>43017.0</c:v>
                </c:pt>
                <c:pt idx="1452">
                  <c:v>43018.0</c:v>
                </c:pt>
                <c:pt idx="1453">
                  <c:v>43019.0</c:v>
                </c:pt>
                <c:pt idx="1454">
                  <c:v>43020.0</c:v>
                </c:pt>
                <c:pt idx="1455">
                  <c:v>43021.0</c:v>
                </c:pt>
                <c:pt idx="1456">
                  <c:v>43024.0</c:v>
                </c:pt>
                <c:pt idx="1457">
                  <c:v>43025.0</c:v>
                </c:pt>
                <c:pt idx="1458">
                  <c:v>43026.0</c:v>
                </c:pt>
                <c:pt idx="1459">
                  <c:v>43027.0</c:v>
                </c:pt>
                <c:pt idx="1460">
                  <c:v>43028.0</c:v>
                </c:pt>
                <c:pt idx="1461">
                  <c:v>43031.0</c:v>
                </c:pt>
                <c:pt idx="1462">
                  <c:v>43032.0</c:v>
                </c:pt>
                <c:pt idx="1463">
                  <c:v>43033.0</c:v>
                </c:pt>
                <c:pt idx="1464">
                  <c:v>43034.0</c:v>
                </c:pt>
                <c:pt idx="1465">
                  <c:v>43035.0</c:v>
                </c:pt>
                <c:pt idx="1466">
                  <c:v>43038.0</c:v>
                </c:pt>
                <c:pt idx="1467">
                  <c:v>43039.0</c:v>
                </c:pt>
                <c:pt idx="1468">
                  <c:v>43040.0</c:v>
                </c:pt>
                <c:pt idx="1469">
                  <c:v>43041.0</c:v>
                </c:pt>
                <c:pt idx="1470">
                  <c:v>43042.0</c:v>
                </c:pt>
                <c:pt idx="1471">
                  <c:v>43045.0</c:v>
                </c:pt>
                <c:pt idx="1472">
                  <c:v>43046.0</c:v>
                </c:pt>
                <c:pt idx="1473">
                  <c:v>43047.0</c:v>
                </c:pt>
                <c:pt idx="1474">
                  <c:v>43048.0</c:v>
                </c:pt>
                <c:pt idx="1475">
                  <c:v>43049.0</c:v>
                </c:pt>
                <c:pt idx="1476">
                  <c:v>43052.0</c:v>
                </c:pt>
                <c:pt idx="1477">
                  <c:v>43053.0</c:v>
                </c:pt>
                <c:pt idx="1478">
                  <c:v>43054.0</c:v>
                </c:pt>
                <c:pt idx="1479">
                  <c:v>43055.0</c:v>
                </c:pt>
                <c:pt idx="1480">
                  <c:v>43056.0</c:v>
                </c:pt>
              </c:numCache>
            </c:numRef>
          </c:cat>
          <c:val>
            <c:numRef>
              <c:f>Sheet1!$Z$10:$Z$1490</c:f>
              <c:numCache>
                <c:formatCode>0.00%</c:formatCode>
                <c:ptCount val="1481"/>
                <c:pt idx="0">
                  <c:v>0.00621510579452512</c:v>
                </c:pt>
                <c:pt idx="1">
                  <c:v>0.011585059926589</c:v>
                </c:pt>
                <c:pt idx="2">
                  <c:v>0.0114667130218449</c:v>
                </c:pt>
                <c:pt idx="3">
                  <c:v>0.012912317118163</c:v>
                </c:pt>
                <c:pt idx="4">
                  <c:v>0.00936352746105194</c:v>
                </c:pt>
                <c:pt idx="5">
                  <c:v>0.0123598451477493</c:v>
                </c:pt>
                <c:pt idx="6">
                  <c:v>0.0191040260451526</c:v>
                </c:pt>
                <c:pt idx="7">
                  <c:v>0.0222238726001402</c:v>
                </c:pt>
                <c:pt idx="8">
                  <c:v>0.0237116032974831</c:v>
                </c:pt>
                <c:pt idx="9">
                  <c:v>0.0253734170419511</c:v>
                </c:pt>
                <c:pt idx="10">
                  <c:v>0.0252485392485546</c:v>
                </c:pt>
                <c:pt idx="11">
                  <c:v>0.0298294734939444</c:v>
                </c:pt>
                <c:pt idx="12">
                  <c:v>0.0269102853138969</c:v>
                </c:pt>
                <c:pt idx="13">
                  <c:v>0.0275147225454753</c:v>
                </c:pt>
                <c:pt idx="14">
                  <c:v>0.0263468476079503</c:v>
                </c:pt>
                <c:pt idx="15">
                  <c:v>0.0263570550426461</c:v>
                </c:pt>
                <c:pt idx="16">
                  <c:v>0.0306108954055238</c:v>
                </c:pt>
                <c:pt idx="17">
                  <c:v>0.0316552752097652</c:v>
                </c:pt>
                <c:pt idx="18">
                  <c:v>0.0368619498697015</c:v>
                </c:pt>
                <c:pt idx="19">
                  <c:v>0.0370728006564027</c:v>
                </c:pt>
                <c:pt idx="20">
                  <c:v>0.0380761932159942</c:v>
                </c:pt>
                <c:pt idx="21">
                  <c:v>0.0383266038287202</c:v>
                </c:pt>
                <c:pt idx="22">
                  <c:v>0.0384110568848139</c:v>
                </c:pt>
                <c:pt idx="23">
                  <c:v>0.0342822019047107</c:v>
                </c:pt>
                <c:pt idx="24">
                  <c:v>0.0384035364042218</c:v>
                </c:pt>
                <c:pt idx="25">
                  <c:v>0.0369262727262252</c:v>
                </c:pt>
                <c:pt idx="26">
                  <c:v>0.0356485069984709</c:v>
                </c:pt>
                <c:pt idx="27">
                  <c:v>0.0396966541496441</c:v>
                </c:pt>
                <c:pt idx="28">
                  <c:v>0.0407853562796154</c:v>
                </c:pt>
                <c:pt idx="29">
                  <c:v>0.0414727596249768</c:v>
                </c:pt>
                <c:pt idx="30">
                  <c:v>0.0414240501521757</c:v>
                </c:pt>
                <c:pt idx="31">
                  <c:v>0.0430138152336519</c:v>
                </c:pt>
                <c:pt idx="32">
                  <c:v>0.0432686751143098</c:v>
                </c:pt>
                <c:pt idx="33">
                  <c:v>0.0438507411998297</c:v>
                </c:pt>
                <c:pt idx="34">
                  <c:v>0.0442377288802155</c:v>
                </c:pt>
                <c:pt idx="35">
                  <c:v>0.0439566664494593</c:v>
                </c:pt>
                <c:pt idx="36">
                  <c:v>0.0447705620445547</c:v>
                </c:pt>
                <c:pt idx="37">
                  <c:v>0.044657994834891</c:v>
                </c:pt>
                <c:pt idx="38">
                  <c:v>0.0445464051780756</c:v>
                </c:pt>
                <c:pt idx="39">
                  <c:v>0.0417125290545656</c:v>
                </c:pt>
                <c:pt idx="40">
                  <c:v>0.0435975992910247</c:v>
                </c:pt>
                <c:pt idx="41">
                  <c:v>0.0452071268905754</c:v>
                </c:pt>
                <c:pt idx="42">
                  <c:v>0.0456698661412949</c:v>
                </c:pt>
                <c:pt idx="43">
                  <c:v>0.0460568576007094</c:v>
                </c:pt>
                <c:pt idx="44">
                  <c:v>0.0564051293422172</c:v>
                </c:pt>
                <c:pt idx="45">
                  <c:v>0.0542744659362193</c:v>
                </c:pt>
                <c:pt idx="46">
                  <c:v>0.057554241040356</c:v>
                </c:pt>
                <c:pt idx="47">
                  <c:v>0.0590953749888199</c:v>
                </c:pt>
                <c:pt idx="48">
                  <c:v>0.0615687552698052</c:v>
                </c:pt>
                <c:pt idx="49">
                  <c:v>0.0603094041609529</c:v>
                </c:pt>
                <c:pt idx="50">
                  <c:v>0.0610497026409756</c:v>
                </c:pt>
                <c:pt idx="51">
                  <c:v>0.0563498045086902</c:v>
                </c:pt>
                <c:pt idx="52">
                  <c:v>0.0600691392068232</c:v>
                </c:pt>
                <c:pt idx="53">
                  <c:v>0.067372065171717</c:v>
                </c:pt>
                <c:pt idx="54">
                  <c:v>0.0659164583283544</c:v>
                </c:pt>
                <c:pt idx="55">
                  <c:v>0.0628081871650463</c:v>
                </c:pt>
                <c:pt idx="56">
                  <c:v>0.0629148797892241</c:v>
                </c:pt>
                <c:pt idx="57">
                  <c:v>0.0649502571456302</c:v>
                </c:pt>
                <c:pt idx="58">
                  <c:v>0.0686561645004272</c:v>
                </c:pt>
                <c:pt idx="59">
                  <c:v>0.0664048796168263</c:v>
                </c:pt>
                <c:pt idx="60">
                  <c:v>0.0619091701294002</c:v>
                </c:pt>
                <c:pt idx="61">
                  <c:v>0.0613756761739077</c:v>
                </c:pt>
                <c:pt idx="62">
                  <c:v>0.055917810008639</c:v>
                </c:pt>
                <c:pt idx="63">
                  <c:v>0.0434514981229582</c:v>
                </c:pt>
                <c:pt idx="64">
                  <c:v>0.0484419957551941</c:v>
                </c:pt>
                <c:pt idx="65">
                  <c:v>0.0575887311037474</c:v>
                </c:pt>
                <c:pt idx="66">
                  <c:v>0.0508392816463355</c:v>
                </c:pt>
                <c:pt idx="67">
                  <c:v>0.0508400639725628</c:v>
                </c:pt>
                <c:pt idx="68">
                  <c:v>0.0609108682462226</c:v>
                </c:pt>
                <c:pt idx="69">
                  <c:v>0.0591674398574252</c:v>
                </c:pt>
                <c:pt idx="70">
                  <c:v>0.0557142712932306</c:v>
                </c:pt>
                <c:pt idx="71">
                  <c:v>0.0575227913447344</c:v>
                </c:pt>
                <c:pt idx="72">
                  <c:v>0.0530365857525396</c:v>
                </c:pt>
                <c:pt idx="73">
                  <c:v>0.0558268929909856</c:v>
                </c:pt>
                <c:pt idx="74">
                  <c:v>0.0645385040589815</c:v>
                </c:pt>
                <c:pt idx="75">
                  <c:v>0.0685834691983254</c:v>
                </c:pt>
                <c:pt idx="76">
                  <c:v>0.0698650684184006</c:v>
                </c:pt>
                <c:pt idx="77">
                  <c:v>0.0682446435895637</c:v>
                </c:pt>
                <c:pt idx="78">
                  <c:v>0.0716666618356178</c:v>
                </c:pt>
                <c:pt idx="79">
                  <c:v>0.070354843622019</c:v>
                </c:pt>
                <c:pt idx="80">
                  <c:v>0.0671277161974879</c:v>
                </c:pt>
                <c:pt idx="81">
                  <c:v>0.0582596720131817</c:v>
                </c:pt>
                <c:pt idx="82">
                  <c:v>0.0596210274394213</c:v>
                </c:pt>
                <c:pt idx="83">
                  <c:v>0.0573413329600685</c:v>
                </c:pt>
                <c:pt idx="84">
                  <c:v>0.0526962513674626</c:v>
                </c:pt>
                <c:pt idx="85">
                  <c:v>0.0553653017168641</c:v>
                </c:pt>
                <c:pt idx="86">
                  <c:v>0.0531606788850641</c:v>
                </c:pt>
                <c:pt idx="87">
                  <c:v>0.0455830723000368</c:v>
                </c:pt>
                <c:pt idx="88">
                  <c:v>0.0411074010414317</c:v>
                </c:pt>
                <c:pt idx="89">
                  <c:v>0.0380375409136171</c:v>
                </c:pt>
                <c:pt idx="90">
                  <c:v>0.0261002871193318</c:v>
                </c:pt>
                <c:pt idx="91">
                  <c:v>0.0196164149858777</c:v>
                </c:pt>
                <c:pt idx="92">
                  <c:v>0.034751132222466</c:v>
                </c:pt>
                <c:pt idx="93">
                  <c:v>0.0356574515464237</c:v>
                </c:pt>
                <c:pt idx="94">
                  <c:v>0.0371312393902492</c:v>
                </c:pt>
                <c:pt idx="95">
                  <c:v>0.0388152777958887</c:v>
                </c:pt>
                <c:pt idx="96">
                  <c:v>0.0374683783563601</c:v>
                </c:pt>
                <c:pt idx="97">
                  <c:v>0.0486278249607715</c:v>
                </c:pt>
                <c:pt idx="98">
                  <c:v>0.0365445936887474</c:v>
                </c:pt>
                <c:pt idx="99">
                  <c:v>0.034950914391194</c:v>
                </c:pt>
                <c:pt idx="100">
                  <c:v>0.0116320502159536</c:v>
                </c:pt>
                <c:pt idx="101">
                  <c:v>0.012260942541715</c:v>
                </c:pt>
                <c:pt idx="102">
                  <c:v>0.0179933206436855</c:v>
                </c:pt>
                <c:pt idx="103">
                  <c:v>0.0403288693479922</c:v>
                </c:pt>
                <c:pt idx="104">
                  <c:v>0.0405838687737589</c:v>
                </c:pt>
                <c:pt idx="105">
                  <c:v>0.0487470754810204</c:v>
                </c:pt>
                <c:pt idx="106">
                  <c:v>0.0363567617321147</c:v>
                </c:pt>
                <c:pt idx="107">
                  <c:v>0.0421117218655567</c:v>
                </c:pt>
                <c:pt idx="108">
                  <c:v>0.0362828787634952</c:v>
                </c:pt>
                <c:pt idx="109">
                  <c:v>0.0438735736463286</c:v>
                </c:pt>
                <c:pt idx="110">
                  <c:v>0.0522969047561381</c:v>
                </c:pt>
                <c:pt idx="111">
                  <c:v>0.0559621007073615</c:v>
                </c:pt>
                <c:pt idx="112">
                  <c:v>0.0614061669265032</c:v>
                </c:pt>
                <c:pt idx="113">
                  <c:v>0.0607122210917878</c:v>
                </c:pt>
                <c:pt idx="114">
                  <c:v>0.0487577966322459</c:v>
                </c:pt>
                <c:pt idx="115">
                  <c:v>0.0543749850221251</c:v>
                </c:pt>
                <c:pt idx="116">
                  <c:v>0.0456532921580458</c:v>
                </c:pt>
                <c:pt idx="117">
                  <c:v>0.0490009408439326</c:v>
                </c:pt>
                <c:pt idx="118">
                  <c:v>0.0531170776047136</c:v>
                </c:pt>
                <c:pt idx="119">
                  <c:v>0.0515045033091176</c:v>
                </c:pt>
                <c:pt idx="120">
                  <c:v>0.0652250354918889</c:v>
                </c:pt>
                <c:pt idx="121">
                  <c:v>0.0676799929354263</c:v>
                </c:pt>
                <c:pt idx="122">
                  <c:v>0.0703272011868227</c:v>
                </c:pt>
                <c:pt idx="123">
                  <c:v>0.0684698268572397</c:v>
                </c:pt>
                <c:pt idx="124">
                  <c:v>0.0652670368945708</c:v>
                </c:pt>
                <c:pt idx="125">
                  <c:v>0.064960246232151</c:v>
                </c:pt>
                <c:pt idx="126">
                  <c:v>0.0612471956351844</c:v>
                </c:pt>
                <c:pt idx="127">
                  <c:v>0.0616849796249708</c:v>
                </c:pt>
                <c:pt idx="128">
                  <c:v>0.060152380863968</c:v>
                </c:pt>
                <c:pt idx="129">
                  <c:v>0.0682480646523896</c:v>
                </c:pt>
                <c:pt idx="130">
                  <c:v>0.0679324516420553</c:v>
                </c:pt>
                <c:pt idx="131">
                  <c:v>0.0712198851677985</c:v>
                </c:pt>
                <c:pt idx="132">
                  <c:v>0.0734884718664281</c:v>
                </c:pt>
                <c:pt idx="133">
                  <c:v>0.0742989156601534</c:v>
                </c:pt>
                <c:pt idx="134">
                  <c:v>0.0712013630843982</c:v>
                </c:pt>
                <c:pt idx="135">
                  <c:v>0.0674812882336541</c:v>
                </c:pt>
                <c:pt idx="136">
                  <c:v>0.0625176977650868</c:v>
                </c:pt>
                <c:pt idx="137">
                  <c:v>0.0636559190894782</c:v>
                </c:pt>
                <c:pt idx="138">
                  <c:v>0.0713058806375945</c:v>
                </c:pt>
                <c:pt idx="139">
                  <c:v>0.0769533711784286</c:v>
                </c:pt>
                <c:pt idx="140">
                  <c:v>0.0767296096648604</c:v>
                </c:pt>
                <c:pt idx="141">
                  <c:v>0.0758051414085063</c:v>
                </c:pt>
                <c:pt idx="142">
                  <c:v>0.075571747352998</c:v>
                </c:pt>
                <c:pt idx="143">
                  <c:v>0.0739323527741255</c:v>
                </c:pt>
                <c:pt idx="144">
                  <c:v>0.0787987836377413</c:v>
                </c:pt>
                <c:pt idx="145">
                  <c:v>0.0797460149097489</c:v>
                </c:pt>
                <c:pt idx="146">
                  <c:v>0.0804314679834451</c:v>
                </c:pt>
                <c:pt idx="147">
                  <c:v>0.0806971564775922</c:v>
                </c:pt>
                <c:pt idx="148">
                  <c:v>0.081007792063019</c:v>
                </c:pt>
                <c:pt idx="149">
                  <c:v>0.0813264169329193</c:v>
                </c:pt>
                <c:pt idx="150">
                  <c:v>0.0815592447367506</c:v>
                </c:pt>
                <c:pt idx="151">
                  <c:v>0.0815511125551015</c:v>
                </c:pt>
                <c:pt idx="152">
                  <c:v>0.0816770128537065</c:v>
                </c:pt>
                <c:pt idx="153">
                  <c:v>0.0860262670539666</c:v>
                </c:pt>
                <c:pt idx="154">
                  <c:v>0.0881154699005561</c:v>
                </c:pt>
                <c:pt idx="155">
                  <c:v>0.0881179036163352</c:v>
                </c:pt>
                <c:pt idx="156">
                  <c:v>0.0859052061569108</c:v>
                </c:pt>
                <c:pt idx="157">
                  <c:v>0.0859322091277111</c:v>
                </c:pt>
                <c:pt idx="158">
                  <c:v>0.0805445158083488</c:v>
                </c:pt>
                <c:pt idx="159">
                  <c:v>0.085369701110227</c:v>
                </c:pt>
                <c:pt idx="160">
                  <c:v>0.0852242006474153</c:v>
                </c:pt>
                <c:pt idx="161">
                  <c:v>0.084826873408708</c:v>
                </c:pt>
                <c:pt idx="162">
                  <c:v>0.0849730938386177</c:v>
                </c:pt>
                <c:pt idx="163">
                  <c:v>0.079923833473091</c:v>
                </c:pt>
                <c:pt idx="164">
                  <c:v>0.08328047755719</c:v>
                </c:pt>
                <c:pt idx="165">
                  <c:v>0.0837709356293995</c:v>
                </c:pt>
                <c:pt idx="166">
                  <c:v>0.0843251889375087</c:v>
                </c:pt>
                <c:pt idx="167">
                  <c:v>0.0967369468380573</c:v>
                </c:pt>
                <c:pt idx="168">
                  <c:v>0.100343441904695</c:v>
                </c:pt>
                <c:pt idx="169">
                  <c:v>0.0978935519100309</c:v>
                </c:pt>
                <c:pt idx="170">
                  <c:v>0.0989500424290499</c:v>
                </c:pt>
                <c:pt idx="171">
                  <c:v>0.100536424794246</c:v>
                </c:pt>
                <c:pt idx="172">
                  <c:v>0.108590081472675</c:v>
                </c:pt>
                <c:pt idx="173">
                  <c:v>0.10925957409578</c:v>
                </c:pt>
                <c:pt idx="174">
                  <c:v>0.108414528347574</c:v>
                </c:pt>
                <c:pt idx="175">
                  <c:v>0.108897068234367</c:v>
                </c:pt>
                <c:pt idx="176">
                  <c:v>0.11007486309358</c:v>
                </c:pt>
                <c:pt idx="177">
                  <c:v>0.109862004281161</c:v>
                </c:pt>
                <c:pt idx="178">
                  <c:v>0.110452238473649</c:v>
                </c:pt>
                <c:pt idx="179">
                  <c:v>0.110453657564985</c:v>
                </c:pt>
                <c:pt idx="180">
                  <c:v>0.106396637489621</c:v>
                </c:pt>
                <c:pt idx="181">
                  <c:v>0.103127856716062</c:v>
                </c:pt>
                <c:pt idx="182">
                  <c:v>0.108526256416255</c:v>
                </c:pt>
                <c:pt idx="183">
                  <c:v>0.106675746107142</c:v>
                </c:pt>
                <c:pt idx="184">
                  <c:v>0.107845922231034</c:v>
                </c:pt>
                <c:pt idx="185">
                  <c:v>0.108388375854821</c:v>
                </c:pt>
                <c:pt idx="186">
                  <c:v>0.110240570665214</c:v>
                </c:pt>
                <c:pt idx="187">
                  <c:v>0.112821393676242</c:v>
                </c:pt>
                <c:pt idx="188">
                  <c:v>0.113014820708428</c:v>
                </c:pt>
                <c:pt idx="189">
                  <c:v>0.112565083965278</c:v>
                </c:pt>
                <c:pt idx="190">
                  <c:v>0.10920758871118</c:v>
                </c:pt>
                <c:pt idx="191">
                  <c:v>0.107065930554356</c:v>
                </c:pt>
                <c:pt idx="192">
                  <c:v>0.107972266235892</c:v>
                </c:pt>
                <c:pt idx="193">
                  <c:v>0.107010783069542</c:v>
                </c:pt>
                <c:pt idx="194">
                  <c:v>0.111134431491198</c:v>
                </c:pt>
                <c:pt idx="195">
                  <c:v>0.114378159227176</c:v>
                </c:pt>
                <c:pt idx="196">
                  <c:v>0.115663701021844</c:v>
                </c:pt>
                <c:pt idx="197">
                  <c:v>0.115379382280022</c:v>
                </c:pt>
                <c:pt idx="198">
                  <c:v>0.110323573224387</c:v>
                </c:pt>
                <c:pt idx="199">
                  <c:v>0.111074184977494</c:v>
                </c:pt>
                <c:pt idx="200">
                  <c:v>0.104855572211836</c:v>
                </c:pt>
                <c:pt idx="201">
                  <c:v>0.103464653920982</c:v>
                </c:pt>
                <c:pt idx="202">
                  <c:v>0.105671845797932</c:v>
                </c:pt>
                <c:pt idx="203">
                  <c:v>0.106223402890886</c:v>
                </c:pt>
                <c:pt idx="204">
                  <c:v>0.108238132753605</c:v>
                </c:pt>
                <c:pt idx="205">
                  <c:v>0.113935669320191</c:v>
                </c:pt>
                <c:pt idx="206">
                  <c:v>0.110530812286256</c:v>
                </c:pt>
                <c:pt idx="207">
                  <c:v>0.11273008345049</c:v>
                </c:pt>
                <c:pt idx="208">
                  <c:v>0.116283032120029</c:v>
                </c:pt>
                <c:pt idx="209">
                  <c:v>0.105014950479023</c:v>
                </c:pt>
                <c:pt idx="210">
                  <c:v>0.0958862217719783</c:v>
                </c:pt>
                <c:pt idx="211">
                  <c:v>0.0978825536536572</c:v>
                </c:pt>
                <c:pt idx="212">
                  <c:v>0.0998241428233406</c:v>
                </c:pt>
                <c:pt idx="213">
                  <c:v>0.0960852548828246</c:v>
                </c:pt>
                <c:pt idx="214">
                  <c:v>0.0815215049886061</c:v>
                </c:pt>
                <c:pt idx="215">
                  <c:v>0.0801091813675354</c:v>
                </c:pt>
                <c:pt idx="216">
                  <c:v>0.0850874139814298</c:v>
                </c:pt>
                <c:pt idx="217">
                  <c:v>0.0981012746136612</c:v>
                </c:pt>
                <c:pt idx="218">
                  <c:v>0.0990914424245958</c:v>
                </c:pt>
                <c:pt idx="219">
                  <c:v>0.100212347896414</c:v>
                </c:pt>
                <c:pt idx="220">
                  <c:v>0.106503730553275</c:v>
                </c:pt>
                <c:pt idx="221">
                  <c:v>0.105757796708734</c:v>
                </c:pt>
                <c:pt idx="222">
                  <c:v>0.104002322310007</c:v>
                </c:pt>
                <c:pt idx="223">
                  <c:v>0.107061559925399</c:v>
                </c:pt>
                <c:pt idx="224">
                  <c:v>0.109146329263688</c:v>
                </c:pt>
                <c:pt idx="225">
                  <c:v>0.108648068563954</c:v>
                </c:pt>
                <c:pt idx="226">
                  <c:v>0.107120698293842</c:v>
                </c:pt>
                <c:pt idx="227">
                  <c:v>0.106109592463339</c:v>
                </c:pt>
                <c:pt idx="228">
                  <c:v>0.10752610767901</c:v>
                </c:pt>
                <c:pt idx="229">
                  <c:v>0.108284294479894</c:v>
                </c:pt>
                <c:pt idx="230">
                  <c:v>0.110208069993463</c:v>
                </c:pt>
                <c:pt idx="231">
                  <c:v>0.110786172168182</c:v>
                </c:pt>
                <c:pt idx="232">
                  <c:v>0.112946957758748</c:v>
                </c:pt>
                <c:pt idx="233">
                  <c:v>0.113220024487715</c:v>
                </c:pt>
                <c:pt idx="234">
                  <c:v>0.110873492054067</c:v>
                </c:pt>
                <c:pt idx="235">
                  <c:v>0.109696253648091</c:v>
                </c:pt>
                <c:pt idx="236">
                  <c:v>0.113922501529652</c:v>
                </c:pt>
                <c:pt idx="237">
                  <c:v>0.117253427643602</c:v>
                </c:pt>
                <c:pt idx="238">
                  <c:v>0.115349897854716</c:v>
                </c:pt>
                <c:pt idx="239">
                  <c:v>0.116427132212296</c:v>
                </c:pt>
                <c:pt idx="240">
                  <c:v>0.114144749030091</c:v>
                </c:pt>
                <c:pt idx="241">
                  <c:v>0.113875933648952</c:v>
                </c:pt>
                <c:pt idx="242">
                  <c:v>0.1125576948592</c:v>
                </c:pt>
                <c:pt idx="243">
                  <c:v>0.112081209459756</c:v>
                </c:pt>
                <c:pt idx="244">
                  <c:v>0.108163348099014</c:v>
                </c:pt>
                <c:pt idx="245">
                  <c:v>0.115165734870992</c:v>
                </c:pt>
                <c:pt idx="246">
                  <c:v>0.120683661431481</c:v>
                </c:pt>
                <c:pt idx="247">
                  <c:v>0.120635782961864</c:v>
                </c:pt>
                <c:pt idx="248">
                  <c:v>0.121259286643518</c:v>
                </c:pt>
                <c:pt idx="249">
                  <c:v>0.11942437010758</c:v>
                </c:pt>
                <c:pt idx="250">
                  <c:v>0.117853238584702</c:v>
                </c:pt>
                <c:pt idx="251">
                  <c:v>0.11929477460517</c:v>
                </c:pt>
                <c:pt idx="252">
                  <c:v>0.124928365981158</c:v>
                </c:pt>
                <c:pt idx="253">
                  <c:v>0.125314016695487</c:v>
                </c:pt>
                <c:pt idx="254">
                  <c:v>0.124887495085459</c:v>
                </c:pt>
                <c:pt idx="255">
                  <c:v>0.125856659106943</c:v>
                </c:pt>
                <c:pt idx="256">
                  <c:v>0.126439857013293</c:v>
                </c:pt>
                <c:pt idx="257">
                  <c:v>0.130145578476788</c:v>
                </c:pt>
                <c:pt idx="258">
                  <c:v>0.133278255486574</c:v>
                </c:pt>
                <c:pt idx="259">
                  <c:v>0.137339311746603</c:v>
                </c:pt>
                <c:pt idx="260">
                  <c:v>0.138996858468276</c:v>
                </c:pt>
                <c:pt idx="261">
                  <c:v>0.138909062208669</c:v>
                </c:pt>
                <c:pt idx="262">
                  <c:v>0.14177783172601</c:v>
                </c:pt>
                <c:pt idx="263">
                  <c:v>0.140913045236389</c:v>
                </c:pt>
                <c:pt idx="264">
                  <c:v>0.143804123541613</c:v>
                </c:pt>
                <c:pt idx="265">
                  <c:v>0.141686529464631</c:v>
                </c:pt>
                <c:pt idx="266">
                  <c:v>0.140212779465731</c:v>
                </c:pt>
                <c:pt idx="267">
                  <c:v>0.145372189809658</c:v>
                </c:pt>
                <c:pt idx="268">
                  <c:v>0.140297382666927</c:v>
                </c:pt>
                <c:pt idx="269">
                  <c:v>0.145341142350794</c:v>
                </c:pt>
                <c:pt idx="270">
                  <c:v>0.145304615144012</c:v>
                </c:pt>
                <c:pt idx="271">
                  <c:v>0.144782610264435</c:v>
                </c:pt>
                <c:pt idx="272">
                  <c:v>0.147468238208128</c:v>
                </c:pt>
                <c:pt idx="273">
                  <c:v>0.147909666869661</c:v>
                </c:pt>
                <c:pt idx="274">
                  <c:v>0.148766025005162</c:v>
                </c:pt>
                <c:pt idx="275">
                  <c:v>0.148929001449504</c:v>
                </c:pt>
                <c:pt idx="276">
                  <c:v>0.149679007498317</c:v>
                </c:pt>
                <c:pt idx="277">
                  <c:v>0.149557012010648</c:v>
                </c:pt>
                <c:pt idx="278">
                  <c:v>0.152229399962066</c:v>
                </c:pt>
                <c:pt idx="279">
                  <c:v>0.148223384792266</c:v>
                </c:pt>
                <c:pt idx="280">
                  <c:v>0.145820350672103</c:v>
                </c:pt>
                <c:pt idx="281">
                  <c:v>0.149283417223796</c:v>
                </c:pt>
                <c:pt idx="282">
                  <c:v>0.14133026825544</c:v>
                </c:pt>
                <c:pt idx="283">
                  <c:v>0.143821767753114</c:v>
                </c:pt>
                <c:pt idx="284">
                  <c:v>0.150304627633739</c:v>
                </c:pt>
                <c:pt idx="285">
                  <c:v>0.150144791687913</c:v>
                </c:pt>
                <c:pt idx="286">
                  <c:v>0.150648058491211</c:v>
                </c:pt>
                <c:pt idx="287">
                  <c:v>0.152708670164168</c:v>
                </c:pt>
                <c:pt idx="288">
                  <c:v>0.154657245632035</c:v>
                </c:pt>
                <c:pt idx="289">
                  <c:v>0.154884655673054</c:v>
                </c:pt>
                <c:pt idx="290">
                  <c:v>0.155279175696026</c:v>
                </c:pt>
                <c:pt idx="291">
                  <c:v>0.15574674131986</c:v>
                </c:pt>
                <c:pt idx="292">
                  <c:v>0.156193364956847</c:v>
                </c:pt>
                <c:pt idx="293">
                  <c:v>0.154407375733269</c:v>
                </c:pt>
                <c:pt idx="294">
                  <c:v>0.155616652309028</c:v>
                </c:pt>
                <c:pt idx="295">
                  <c:v>0.159997019551459</c:v>
                </c:pt>
                <c:pt idx="296">
                  <c:v>0.158616808197618</c:v>
                </c:pt>
                <c:pt idx="297">
                  <c:v>0.154349275317687</c:v>
                </c:pt>
                <c:pt idx="298">
                  <c:v>0.151394081504905</c:v>
                </c:pt>
                <c:pt idx="299">
                  <c:v>0.158144408721442</c:v>
                </c:pt>
                <c:pt idx="300">
                  <c:v>0.152299402104758</c:v>
                </c:pt>
                <c:pt idx="301">
                  <c:v>0.156402811347907</c:v>
                </c:pt>
                <c:pt idx="302">
                  <c:v>0.154954657403748</c:v>
                </c:pt>
                <c:pt idx="303">
                  <c:v>0.16135668549309</c:v>
                </c:pt>
                <c:pt idx="304">
                  <c:v>0.161131375917141</c:v>
                </c:pt>
                <c:pt idx="305">
                  <c:v>0.163665406839134</c:v>
                </c:pt>
                <c:pt idx="306">
                  <c:v>0.160870421606416</c:v>
                </c:pt>
                <c:pt idx="307">
                  <c:v>0.165013353728546</c:v>
                </c:pt>
                <c:pt idx="308">
                  <c:v>0.158068367615952</c:v>
                </c:pt>
                <c:pt idx="309">
                  <c:v>0.160644773245502</c:v>
                </c:pt>
                <c:pt idx="310">
                  <c:v>0.157956592793</c:v>
                </c:pt>
                <c:pt idx="311">
                  <c:v>0.163436813119574</c:v>
                </c:pt>
                <c:pt idx="312">
                  <c:v>0.166702009763615</c:v>
                </c:pt>
                <c:pt idx="313">
                  <c:v>0.173017232630151</c:v>
                </c:pt>
                <c:pt idx="314">
                  <c:v>0.174695689800068</c:v>
                </c:pt>
                <c:pt idx="315">
                  <c:v>0.173604759331395</c:v>
                </c:pt>
                <c:pt idx="316">
                  <c:v>0.158953206536193</c:v>
                </c:pt>
                <c:pt idx="317">
                  <c:v>0.168741266141658</c:v>
                </c:pt>
                <c:pt idx="318">
                  <c:v>0.158693856680529</c:v>
                </c:pt>
                <c:pt idx="319">
                  <c:v>0.153371985638931</c:v>
                </c:pt>
                <c:pt idx="320">
                  <c:v>0.161292337927805</c:v>
                </c:pt>
                <c:pt idx="321">
                  <c:v>0.165771897314853</c:v>
                </c:pt>
                <c:pt idx="322">
                  <c:v>0.172558989178372</c:v>
                </c:pt>
                <c:pt idx="323">
                  <c:v>0.172724481393759</c:v>
                </c:pt>
                <c:pt idx="324">
                  <c:v>0.174347419855828</c:v>
                </c:pt>
                <c:pt idx="325">
                  <c:v>0.17409618022478</c:v>
                </c:pt>
                <c:pt idx="326">
                  <c:v>0.177612359461248</c:v>
                </c:pt>
                <c:pt idx="327">
                  <c:v>0.17875186607238</c:v>
                </c:pt>
                <c:pt idx="328">
                  <c:v>0.174682404285004</c:v>
                </c:pt>
                <c:pt idx="329">
                  <c:v>0.179203798493843</c:v>
                </c:pt>
                <c:pt idx="330">
                  <c:v>0.182721619712068</c:v>
                </c:pt>
                <c:pt idx="331">
                  <c:v>0.183760568193469</c:v>
                </c:pt>
                <c:pt idx="332">
                  <c:v>0.184886209263802</c:v>
                </c:pt>
                <c:pt idx="333">
                  <c:v>0.185424876414798</c:v>
                </c:pt>
                <c:pt idx="334">
                  <c:v>0.184821979537281</c:v>
                </c:pt>
                <c:pt idx="335">
                  <c:v>0.185516167771886</c:v>
                </c:pt>
                <c:pt idx="336">
                  <c:v>0.18578610934248</c:v>
                </c:pt>
                <c:pt idx="337">
                  <c:v>0.186805467680223</c:v>
                </c:pt>
                <c:pt idx="338">
                  <c:v>0.187153287925728</c:v>
                </c:pt>
                <c:pt idx="339">
                  <c:v>0.18398428088814</c:v>
                </c:pt>
                <c:pt idx="340">
                  <c:v>0.191177813948496</c:v>
                </c:pt>
                <c:pt idx="341">
                  <c:v>0.190706453043349</c:v>
                </c:pt>
                <c:pt idx="342">
                  <c:v>0.191074958986907</c:v>
                </c:pt>
                <c:pt idx="343">
                  <c:v>0.184860387090212</c:v>
                </c:pt>
                <c:pt idx="344">
                  <c:v>0.183853642824756</c:v>
                </c:pt>
                <c:pt idx="345">
                  <c:v>0.184154668590246</c:v>
                </c:pt>
                <c:pt idx="346">
                  <c:v>0.189263060467308</c:v>
                </c:pt>
                <c:pt idx="347">
                  <c:v>0.184807879345096</c:v>
                </c:pt>
                <c:pt idx="348">
                  <c:v>0.18770109121106</c:v>
                </c:pt>
                <c:pt idx="349">
                  <c:v>0.177066041556248</c:v>
                </c:pt>
                <c:pt idx="350">
                  <c:v>0.180557319168704</c:v>
                </c:pt>
                <c:pt idx="351">
                  <c:v>0.176724821841436</c:v>
                </c:pt>
                <c:pt idx="352">
                  <c:v>0.165879338320401</c:v>
                </c:pt>
                <c:pt idx="353">
                  <c:v>0.1726904350803</c:v>
                </c:pt>
                <c:pt idx="354">
                  <c:v>0.183949713185082</c:v>
                </c:pt>
                <c:pt idx="355">
                  <c:v>0.184395032146674</c:v>
                </c:pt>
                <c:pt idx="356">
                  <c:v>0.175912031471922</c:v>
                </c:pt>
                <c:pt idx="357">
                  <c:v>0.167815397270811</c:v>
                </c:pt>
                <c:pt idx="358">
                  <c:v>0.180641948829511</c:v>
                </c:pt>
                <c:pt idx="359">
                  <c:v>0.176385367661201</c:v>
                </c:pt>
                <c:pt idx="360">
                  <c:v>0.182462756333371</c:v>
                </c:pt>
                <c:pt idx="361">
                  <c:v>0.188938943570947</c:v>
                </c:pt>
                <c:pt idx="362">
                  <c:v>0.180424140747106</c:v>
                </c:pt>
                <c:pt idx="363">
                  <c:v>0.156159134237227</c:v>
                </c:pt>
                <c:pt idx="364">
                  <c:v>0.160411743968951</c:v>
                </c:pt>
                <c:pt idx="365">
                  <c:v>0.149196108664007</c:v>
                </c:pt>
                <c:pt idx="366">
                  <c:v>0.158843507034966</c:v>
                </c:pt>
                <c:pt idx="367">
                  <c:v>0.168047223662297</c:v>
                </c:pt>
                <c:pt idx="368">
                  <c:v>0.17371111631003</c:v>
                </c:pt>
                <c:pt idx="369">
                  <c:v>0.170577356133755</c:v>
                </c:pt>
                <c:pt idx="370">
                  <c:v>0.176094873874767</c:v>
                </c:pt>
                <c:pt idx="371">
                  <c:v>0.175617221109707</c:v>
                </c:pt>
                <c:pt idx="372">
                  <c:v>0.177049382806044</c:v>
                </c:pt>
                <c:pt idx="373">
                  <c:v>0.186318631713726</c:v>
                </c:pt>
                <c:pt idx="374">
                  <c:v>0.191875674488881</c:v>
                </c:pt>
                <c:pt idx="375">
                  <c:v>0.197897622670056</c:v>
                </c:pt>
                <c:pt idx="376">
                  <c:v>0.198342968989768</c:v>
                </c:pt>
                <c:pt idx="377">
                  <c:v>0.206685360104703</c:v>
                </c:pt>
                <c:pt idx="378">
                  <c:v>0.208116895688591</c:v>
                </c:pt>
                <c:pt idx="379">
                  <c:v>0.210036019558415</c:v>
                </c:pt>
                <c:pt idx="380">
                  <c:v>0.207988641964377</c:v>
                </c:pt>
                <c:pt idx="381">
                  <c:v>0.210172991355334</c:v>
                </c:pt>
                <c:pt idx="382">
                  <c:v>0.212828720338981</c:v>
                </c:pt>
                <c:pt idx="383">
                  <c:v>0.214149628743338</c:v>
                </c:pt>
                <c:pt idx="384">
                  <c:v>0.216051199822958</c:v>
                </c:pt>
                <c:pt idx="385">
                  <c:v>0.215886688248155</c:v>
                </c:pt>
                <c:pt idx="386">
                  <c:v>0.214413965375758</c:v>
                </c:pt>
                <c:pt idx="387">
                  <c:v>0.215920886744195</c:v>
                </c:pt>
                <c:pt idx="388">
                  <c:v>0.216595392085921</c:v>
                </c:pt>
                <c:pt idx="389">
                  <c:v>0.21624599792034</c:v>
                </c:pt>
                <c:pt idx="390">
                  <c:v>0.216897849450772</c:v>
                </c:pt>
                <c:pt idx="391">
                  <c:v>0.217462301726764</c:v>
                </c:pt>
                <c:pt idx="392">
                  <c:v>0.220671157243741</c:v>
                </c:pt>
                <c:pt idx="393">
                  <c:v>0.221224750685981</c:v>
                </c:pt>
                <c:pt idx="394">
                  <c:v>0.221715190344485</c:v>
                </c:pt>
                <c:pt idx="395">
                  <c:v>0.221205750772482</c:v>
                </c:pt>
                <c:pt idx="396">
                  <c:v>0.220897100745536</c:v>
                </c:pt>
                <c:pt idx="397">
                  <c:v>0.221781949445951</c:v>
                </c:pt>
                <c:pt idx="398">
                  <c:v>0.221638657350986</c:v>
                </c:pt>
                <c:pt idx="399">
                  <c:v>0.222395815495689</c:v>
                </c:pt>
                <c:pt idx="400">
                  <c:v>0.225351435435213</c:v>
                </c:pt>
                <c:pt idx="401">
                  <c:v>0.22172485355976</c:v>
                </c:pt>
                <c:pt idx="402">
                  <c:v>0.209671237157047</c:v>
                </c:pt>
                <c:pt idx="403">
                  <c:v>0.208059244290254</c:v>
                </c:pt>
                <c:pt idx="404">
                  <c:v>0.203481490416945</c:v>
                </c:pt>
                <c:pt idx="405">
                  <c:v>0.20744295354879</c:v>
                </c:pt>
                <c:pt idx="406">
                  <c:v>0.202512889196616</c:v>
                </c:pt>
                <c:pt idx="407">
                  <c:v>0.210003782065047</c:v>
                </c:pt>
                <c:pt idx="408">
                  <c:v>0.213854169187478</c:v>
                </c:pt>
                <c:pt idx="409">
                  <c:v>0.21067308732254</c:v>
                </c:pt>
                <c:pt idx="410">
                  <c:v>0.195477912963748</c:v>
                </c:pt>
                <c:pt idx="411">
                  <c:v>0.198622197954513</c:v>
                </c:pt>
                <c:pt idx="412">
                  <c:v>0.199434426289666</c:v>
                </c:pt>
                <c:pt idx="413">
                  <c:v>0.196945407042238</c:v>
                </c:pt>
                <c:pt idx="414">
                  <c:v>0.201682734688787</c:v>
                </c:pt>
                <c:pt idx="415">
                  <c:v>0.209150958432594</c:v>
                </c:pt>
                <c:pt idx="416">
                  <c:v>0.210886059092587</c:v>
                </c:pt>
                <c:pt idx="417">
                  <c:v>0.211542636872726</c:v>
                </c:pt>
                <c:pt idx="418">
                  <c:v>0.220244224111791</c:v>
                </c:pt>
                <c:pt idx="419">
                  <c:v>0.226584784763793</c:v>
                </c:pt>
                <c:pt idx="420">
                  <c:v>0.229775671038923</c:v>
                </c:pt>
                <c:pt idx="421">
                  <c:v>0.227378609572615</c:v>
                </c:pt>
                <c:pt idx="422">
                  <c:v>0.229473678127075</c:v>
                </c:pt>
                <c:pt idx="423">
                  <c:v>0.234078493511611</c:v>
                </c:pt>
                <c:pt idx="424">
                  <c:v>0.236542146242526</c:v>
                </c:pt>
                <c:pt idx="425">
                  <c:v>0.243537462079194</c:v>
                </c:pt>
                <c:pt idx="426">
                  <c:v>0.242962907062454</c:v>
                </c:pt>
                <c:pt idx="427">
                  <c:v>0.239238564992869</c:v>
                </c:pt>
                <c:pt idx="428">
                  <c:v>0.236715816577099</c:v>
                </c:pt>
                <c:pt idx="429">
                  <c:v>0.235992627543983</c:v>
                </c:pt>
                <c:pt idx="430">
                  <c:v>0.234792750797537</c:v>
                </c:pt>
                <c:pt idx="431">
                  <c:v>0.237173940644783</c:v>
                </c:pt>
                <c:pt idx="432">
                  <c:v>0.234420647741212</c:v>
                </c:pt>
                <c:pt idx="433">
                  <c:v>0.230309198666968</c:v>
                </c:pt>
                <c:pt idx="434">
                  <c:v>0.236470991336298</c:v>
                </c:pt>
                <c:pt idx="435">
                  <c:v>0.235833345596124</c:v>
                </c:pt>
                <c:pt idx="436">
                  <c:v>0.229527188121621</c:v>
                </c:pt>
                <c:pt idx="437">
                  <c:v>0.234923137500941</c:v>
                </c:pt>
                <c:pt idx="438">
                  <c:v>0.228743675551218</c:v>
                </c:pt>
                <c:pt idx="439">
                  <c:v>0.218555305223095</c:v>
                </c:pt>
                <c:pt idx="440">
                  <c:v>0.220090852002706</c:v>
                </c:pt>
                <c:pt idx="441">
                  <c:v>0.237864518169077</c:v>
                </c:pt>
                <c:pt idx="442">
                  <c:v>0.242612313907491</c:v>
                </c:pt>
                <c:pt idx="443">
                  <c:v>0.246094601162059</c:v>
                </c:pt>
                <c:pt idx="444">
                  <c:v>0.24161169045531</c:v>
                </c:pt>
                <c:pt idx="445">
                  <c:v>0.250104013301763</c:v>
                </c:pt>
                <c:pt idx="446">
                  <c:v>0.253765861749007</c:v>
                </c:pt>
                <c:pt idx="447">
                  <c:v>0.255720536720936</c:v>
                </c:pt>
                <c:pt idx="448">
                  <c:v>0.256388881424322</c:v>
                </c:pt>
                <c:pt idx="449">
                  <c:v>0.257454730135407</c:v>
                </c:pt>
                <c:pt idx="450">
                  <c:v>0.256874704288642</c:v>
                </c:pt>
                <c:pt idx="451">
                  <c:v>0.257692665151251</c:v>
                </c:pt>
                <c:pt idx="452">
                  <c:v>0.258261712163675</c:v>
                </c:pt>
                <c:pt idx="453">
                  <c:v>0.258689402764451</c:v>
                </c:pt>
                <c:pt idx="454">
                  <c:v>0.262344689015597</c:v>
                </c:pt>
                <c:pt idx="455">
                  <c:v>0.258933410333363</c:v>
                </c:pt>
                <c:pt idx="456">
                  <c:v>0.256734080357951</c:v>
                </c:pt>
                <c:pt idx="457">
                  <c:v>0.258782961721128</c:v>
                </c:pt>
                <c:pt idx="458">
                  <c:v>0.262184832727362</c:v>
                </c:pt>
                <c:pt idx="459">
                  <c:v>0.260428804680697</c:v>
                </c:pt>
                <c:pt idx="460">
                  <c:v>0.263574260001959</c:v>
                </c:pt>
                <c:pt idx="461">
                  <c:v>0.253525614218391</c:v>
                </c:pt>
                <c:pt idx="462">
                  <c:v>0.263795296450608</c:v>
                </c:pt>
                <c:pt idx="463">
                  <c:v>0.265000123430176</c:v>
                </c:pt>
                <c:pt idx="464">
                  <c:v>0.263373599069452</c:v>
                </c:pt>
                <c:pt idx="465">
                  <c:v>0.26841308375861</c:v>
                </c:pt>
                <c:pt idx="466">
                  <c:v>0.271683126630212</c:v>
                </c:pt>
                <c:pt idx="467">
                  <c:v>0.273976402632039</c:v>
                </c:pt>
                <c:pt idx="468">
                  <c:v>0.272242859881162</c:v>
                </c:pt>
                <c:pt idx="469">
                  <c:v>0.271370126227831</c:v>
                </c:pt>
                <c:pt idx="470">
                  <c:v>0.269871891054381</c:v>
                </c:pt>
                <c:pt idx="471">
                  <c:v>0.275263610263997</c:v>
                </c:pt>
                <c:pt idx="472">
                  <c:v>0.27825205339328</c:v>
                </c:pt>
                <c:pt idx="473">
                  <c:v>0.278058185607814</c:v>
                </c:pt>
                <c:pt idx="474">
                  <c:v>0.278424058055901</c:v>
                </c:pt>
                <c:pt idx="475">
                  <c:v>0.279395828666855</c:v>
                </c:pt>
                <c:pt idx="476">
                  <c:v>0.278847526047453</c:v>
                </c:pt>
                <c:pt idx="477">
                  <c:v>0.278078579476735</c:v>
                </c:pt>
                <c:pt idx="478">
                  <c:v>0.276064970454104</c:v>
                </c:pt>
                <c:pt idx="479">
                  <c:v>0.275776382679995</c:v>
                </c:pt>
                <c:pt idx="480">
                  <c:v>0.273372709063909</c:v>
                </c:pt>
                <c:pt idx="481">
                  <c:v>0.280432224622975</c:v>
                </c:pt>
                <c:pt idx="482">
                  <c:v>0.281796471333634</c:v>
                </c:pt>
                <c:pt idx="483">
                  <c:v>0.280649983602309</c:v>
                </c:pt>
                <c:pt idx="484">
                  <c:v>0.274227313413382</c:v>
                </c:pt>
                <c:pt idx="485">
                  <c:v>0.272412844824882</c:v>
                </c:pt>
                <c:pt idx="486">
                  <c:v>0.27261827078048</c:v>
                </c:pt>
                <c:pt idx="487">
                  <c:v>0.276374666339037</c:v>
                </c:pt>
                <c:pt idx="488">
                  <c:v>0.275250241311805</c:v>
                </c:pt>
                <c:pt idx="489">
                  <c:v>0.284410160268396</c:v>
                </c:pt>
                <c:pt idx="490">
                  <c:v>0.284725545719164</c:v>
                </c:pt>
                <c:pt idx="491">
                  <c:v>0.286848058803874</c:v>
                </c:pt>
                <c:pt idx="492">
                  <c:v>0.288999930684393</c:v>
                </c:pt>
                <c:pt idx="493">
                  <c:v>0.29011049488177</c:v>
                </c:pt>
                <c:pt idx="494">
                  <c:v>0.291188660002156</c:v>
                </c:pt>
                <c:pt idx="495">
                  <c:v>0.291243193255268</c:v>
                </c:pt>
                <c:pt idx="496">
                  <c:v>0.291281555353937</c:v>
                </c:pt>
                <c:pt idx="497">
                  <c:v>0.29177316876927</c:v>
                </c:pt>
                <c:pt idx="498">
                  <c:v>0.290811782466921</c:v>
                </c:pt>
                <c:pt idx="499">
                  <c:v>0.291119071562731</c:v>
                </c:pt>
                <c:pt idx="500">
                  <c:v>0.291385499708504</c:v>
                </c:pt>
                <c:pt idx="501">
                  <c:v>0.292492095858876</c:v>
                </c:pt>
                <c:pt idx="502">
                  <c:v>0.292582260616646</c:v>
                </c:pt>
                <c:pt idx="503">
                  <c:v>0.292840996467063</c:v>
                </c:pt>
                <c:pt idx="504">
                  <c:v>0.293177521365032</c:v>
                </c:pt>
                <c:pt idx="505">
                  <c:v>0.282449630294395</c:v>
                </c:pt>
                <c:pt idx="506">
                  <c:v>0.29191505111923</c:v>
                </c:pt>
                <c:pt idx="507">
                  <c:v>0.295524415271358</c:v>
                </c:pt>
                <c:pt idx="508">
                  <c:v>0.294640626638467</c:v>
                </c:pt>
                <c:pt idx="509">
                  <c:v>0.292051138888056</c:v>
                </c:pt>
                <c:pt idx="510">
                  <c:v>0.295227600687715</c:v>
                </c:pt>
                <c:pt idx="511">
                  <c:v>0.296221227655009</c:v>
                </c:pt>
                <c:pt idx="512">
                  <c:v>0.288959142873447</c:v>
                </c:pt>
                <c:pt idx="513">
                  <c:v>0.268777062986391</c:v>
                </c:pt>
                <c:pt idx="514">
                  <c:v>0.265586847427468</c:v>
                </c:pt>
                <c:pt idx="515">
                  <c:v>0.271841107366764</c:v>
                </c:pt>
                <c:pt idx="516">
                  <c:v>0.261410806213795</c:v>
                </c:pt>
                <c:pt idx="517">
                  <c:v>0.271863347190741</c:v>
                </c:pt>
                <c:pt idx="518">
                  <c:v>0.264950646861159</c:v>
                </c:pt>
                <c:pt idx="519">
                  <c:v>0.241463343098325</c:v>
                </c:pt>
                <c:pt idx="520">
                  <c:v>0.250733846336174</c:v>
                </c:pt>
                <c:pt idx="521">
                  <c:v>0.248165395456945</c:v>
                </c:pt>
                <c:pt idx="522">
                  <c:v>0.262661220169664</c:v>
                </c:pt>
                <c:pt idx="523">
                  <c:v>0.276828120003151</c:v>
                </c:pt>
                <c:pt idx="524">
                  <c:v>0.279030383506949</c:v>
                </c:pt>
                <c:pt idx="525">
                  <c:v>0.289347359122181</c:v>
                </c:pt>
                <c:pt idx="526">
                  <c:v>0.289393455459046</c:v>
                </c:pt>
                <c:pt idx="527">
                  <c:v>0.294462576233504</c:v>
                </c:pt>
                <c:pt idx="528">
                  <c:v>0.298753079484931</c:v>
                </c:pt>
                <c:pt idx="529">
                  <c:v>0.300469028369401</c:v>
                </c:pt>
                <c:pt idx="530">
                  <c:v>0.294675147256202</c:v>
                </c:pt>
                <c:pt idx="531">
                  <c:v>0.300231987750212</c:v>
                </c:pt>
                <c:pt idx="532">
                  <c:v>0.299463192842542</c:v>
                </c:pt>
                <c:pt idx="533">
                  <c:v>0.304423150495727</c:v>
                </c:pt>
                <c:pt idx="534">
                  <c:v>0.303940016644488</c:v>
                </c:pt>
                <c:pt idx="535">
                  <c:v>0.303724274760948</c:v>
                </c:pt>
                <c:pt idx="536">
                  <c:v>0.30775475380448</c:v>
                </c:pt>
                <c:pt idx="537">
                  <c:v>0.309642740542143</c:v>
                </c:pt>
                <c:pt idx="538">
                  <c:v>0.30418752726091</c:v>
                </c:pt>
                <c:pt idx="539">
                  <c:v>0.314545746689258</c:v>
                </c:pt>
                <c:pt idx="540">
                  <c:v>0.314759520960577</c:v>
                </c:pt>
                <c:pt idx="541">
                  <c:v>0.315667960399716</c:v>
                </c:pt>
                <c:pt idx="542">
                  <c:v>0.316249637078458</c:v>
                </c:pt>
                <c:pt idx="543">
                  <c:v>0.316855516244302</c:v>
                </c:pt>
                <c:pt idx="544">
                  <c:v>0.314450116770193</c:v>
                </c:pt>
                <c:pt idx="545">
                  <c:v>0.315172338001367</c:v>
                </c:pt>
                <c:pt idx="546">
                  <c:v>0.30758998437622</c:v>
                </c:pt>
                <c:pt idx="547">
                  <c:v>0.305380340773418</c:v>
                </c:pt>
                <c:pt idx="548">
                  <c:v>0.313845829511237</c:v>
                </c:pt>
                <c:pt idx="549">
                  <c:v>0.318343205264394</c:v>
                </c:pt>
                <c:pt idx="550">
                  <c:v>0.315565051353826</c:v>
                </c:pt>
                <c:pt idx="551">
                  <c:v>0.319303758660447</c:v>
                </c:pt>
                <c:pt idx="552">
                  <c:v>0.318207999516571</c:v>
                </c:pt>
                <c:pt idx="553">
                  <c:v>0.31677483009181</c:v>
                </c:pt>
                <c:pt idx="554">
                  <c:v>0.319768112966702</c:v>
                </c:pt>
                <c:pt idx="555">
                  <c:v>0.316261028616047</c:v>
                </c:pt>
                <c:pt idx="556">
                  <c:v>0.315752574938586</c:v>
                </c:pt>
                <c:pt idx="557">
                  <c:v>0.319150529019806</c:v>
                </c:pt>
                <c:pt idx="558">
                  <c:v>0.323960050429254</c:v>
                </c:pt>
                <c:pt idx="559">
                  <c:v>0.326311832267166</c:v>
                </c:pt>
                <c:pt idx="560">
                  <c:v>0.326941046928569</c:v>
                </c:pt>
                <c:pt idx="561">
                  <c:v>0.32699549049632</c:v>
                </c:pt>
                <c:pt idx="562">
                  <c:v>0.324617483656424</c:v>
                </c:pt>
                <c:pt idx="563">
                  <c:v>0.321491419762303</c:v>
                </c:pt>
                <c:pt idx="564">
                  <c:v>0.324648904631205</c:v>
                </c:pt>
                <c:pt idx="565">
                  <c:v>0.327911294080159</c:v>
                </c:pt>
                <c:pt idx="566">
                  <c:v>0.308998846420206</c:v>
                </c:pt>
                <c:pt idx="567">
                  <c:v>0.299794028476458</c:v>
                </c:pt>
                <c:pt idx="568">
                  <c:v>0.308374361257455</c:v>
                </c:pt>
                <c:pt idx="569">
                  <c:v>0.314705427970587</c:v>
                </c:pt>
                <c:pt idx="570">
                  <c:v>0.3246289433281</c:v>
                </c:pt>
                <c:pt idx="571">
                  <c:v>0.327337946406865</c:v>
                </c:pt>
                <c:pt idx="572">
                  <c:v>0.330591113235581</c:v>
                </c:pt>
                <c:pt idx="573">
                  <c:v>0.334140360829952</c:v>
                </c:pt>
                <c:pt idx="574">
                  <c:v>0.332451073538131</c:v>
                </c:pt>
                <c:pt idx="575">
                  <c:v>0.33378486255716</c:v>
                </c:pt>
                <c:pt idx="576">
                  <c:v>0.327353673164281</c:v>
                </c:pt>
                <c:pt idx="577">
                  <c:v>0.331348104987179</c:v>
                </c:pt>
                <c:pt idx="578">
                  <c:v>0.335290727600552</c:v>
                </c:pt>
                <c:pt idx="579">
                  <c:v>0.337638037083088</c:v>
                </c:pt>
                <c:pt idx="580">
                  <c:v>0.337958397234617</c:v>
                </c:pt>
                <c:pt idx="581">
                  <c:v>0.337083627007824</c:v>
                </c:pt>
                <c:pt idx="582">
                  <c:v>0.33910640096558</c:v>
                </c:pt>
                <c:pt idx="583">
                  <c:v>0.332506514686816</c:v>
                </c:pt>
                <c:pt idx="584">
                  <c:v>0.337321637039988</c:v>
                </c:pt>
                <c:pt idx="585">
                  <c:v>0.336756305336811</c:v>
                </c:pt>
                <c:pt idx="586">
                  <c:v>0.338553867425001</c:v>
                </c:pt>
                <c:pt idx="587">
                  <c:v>0.345814338082499</c:v>
                </c:pt>
                <c:pt idx="588">
                  <c:v>0.34594169292875</c:v>
                </c:pt>
                <c:pt idx="589">
                  <c:v>0.34352077600573</c:v>
                </c:pt>
                <c:pt idx="590">
                  <c:v>0.336597542428404</c:v>
                </c:pt>
                <c:pt idx="591">
                  <c:v>0.340501386085921</c:v>
                </c:pt>
                <c:pt idx="592">
                  <c:v>0.344046973852901</c:v>
                </c:pt>
                <c:pt idx="593">
                  <c:v>0.339750115941853</c:v>
                </c:pt>
                <c:pt idx="594">
                  <c:v>0.346116963072109</c:v>
                </c:pt>
                <c:pt idx="595">
                  <c:v>0.347525766402588</c:v>
                </c:pt>
                <c:pt idx="596">
                  <c:v>0.350172700296883</c:v>
                </c:pt>
                <c:pt idx="597">
                  <c:v>0.354222128210743</c:v>
                </c:pt>
                <c:pt idx="598">
                  <c:v>0.353824129063124</c:v>
                </c:pt>
                <c:pt idx="599">
                  <c:v>0.356236360297161</c:v>
                </c:pt>
                <c:pt idx="600">
                  <c:v>0.357340423348324</c:v>
                </c:pt>
                <c:pt idx="601">
                  <c:v>0.358122136336512</c:v>
                </c:pt>
                <c:pt idx="602">
                  <c:v>0.358268462275853</c:v>
                </c:pt>
                <c:pt idx="603">
                  <c:v>0.359001043015155</c:v>
                </c:pt>
                <c:pt idx="604">
                  <c:v>0.361289448648892</c:v>
                </c:pt>
                <c:pt idx="605">
                  <c:v>0.362933346914277</c:v>
                </c:pt>
                <c:pt idx="606">
                  <c:v>0.363423710146681</c:v>
                </c:pt>
                <c:pt idx="607">
                  <c:v>0.363698766449553</c:v>
                </c:pt>
                <c:pt idx="608">
                  <c:v>0.363144962513959</c:v>
                </c:pt>
                <c:pt idx="609">
                  <c:v>0.361615916465283</c:v>
                </c:pt>
                <c:pt idx="610">
                  <c:v>0.362511110462702</c:v>
                </c:pt>
                <c:pt idx="611">
                  <c:v>0.363200165516148</c:v>
                </c:pt>
                <c:pt idx="612">
                  <c:v>0.364025512211831</c:v>
                </c:pt>
                <c:pt idx="613">
                  <c:v>0.365268876882983</c:v>
                </c:pt>
                <c:pt idx="614">
                  <c:v>0.366971178647097</c:v>
                </c:pt>
                <c:pt idx="615">
                  <c:v>0.368318199945172</c:v>
                </c:pt>
                <c:pt idx="616">
                  <c:v>0.369191175715851</c:v>
                </c:pt>
                <c:pt idx="617">
                  <c:v>0.362532733905708</c:v>
                </c:pt>
                <c:pt idx="618">
                  <c:v>0.367418364737305</c:v>
                </c:pt>
                <c:pt idx="619">
                  <c:v>0.366781365757146</c:v>
                </c:pt>
                <c:pt idx="620">
                  <c:v>0.36867013151149</c:v>
                </c:pt>
                <c:pt idx="621">
                  <c:v>0.368944576072872</c:v>
                </c:pt>
                <c:pt idx="622">
                  <c:v>0.37409333656236</c:v>
                </c:pt>
                <c:pt idx="623">
                  <c:v>0.375010125062081</c:v>
                </c:pt>
                <c:pt idx="624">
                  <c:v>0.378978428992679</c:v>
                </c:pt>
                <c:pt idx="625">
                  <c:v>0.376112294867101</c:v>
                </c:pt>
                <c:pt idx="626">
                  <c:v>0.371034372371231</c:v>
                </c:pt>
                <c:pt idx="627">
                  <c:v>0.374646197351745</c:v>
                </c:pt>
                <c:pt idx="628">
                  <c:v>0.370984757856836</c:v>
                </c:pt>
                <c:pt idx="629">
                  <c:v>0.372921468254608</c:v>
                </c:pt>
                <c:pt idx="630">
                  <c:v>0.377291604619583</c:v>
                </c:pt>
                <c:pt idx="631">
                  <c:v>0.375919766914983</c:v>
                </c:pt>
                <c:pt idx="632">
                  <c:v>0.379497682039462</c:v>
                </c:pt>
                <c:pt idx="633">
                  <c:v>0.368482870151706</c:v>
                </c:pt>
                <c:pt idx="634">
                  <c:v>0.378311865401344</c:v>
                </c:pt>
                <c:pt idx="635">
                  <c:v>0.37671211399609</c:v>
                </c:pt>
                <c:pt idx="636">
                  <c:v>0.380179856978199</c:v>
                </c:pt>
                <c:pt idx="637">
                  <c:v>0.381145697542148</c:v>
                </c:pt>
                <c:pt idx="638">
                  <c:v>0.381417223077494</c:v>
                </c:pt>
                <c:pt idx="639">
                  <c:v>0.378300713516728</c:v>
                </c:pt>
                <c:pt idx="640">
                  <c:v>0.379341073013226</c:v>
                </c:pt>
                <c:pt idx="641">
                  <c:v>0.376474058438377</c:v>
                </c:pt>
                <c:pt idx="642">
                  <c:v>0.376642614241268</c:v>
                </c:pt>
                <c:pt idx="643">
                  <c:v>0.358323929926984</c:v>
                </c:pt>
                <c:pt idx="644">
                  <c:v>0.3556055095297</c:v>
                </c:pt>
                <c:pt idx="645">
                  <c:v>0.364348297665596</c:v>
                </c:pt>
                <c:pt idx="646">
                  <c:v>0.354612690498571</c:v>
                </c:pt>
                <c:pt idx="647">
                  <c:v>0.355080440382374</c:v>
                </c:pt>
                <c:pt idx="648">
                  <c:v>0.349776226247729</c:v>
                </c:pt>
                <c:pt idx="649">
                  <c:v>0.361171009937833</c:v>
                </c:pt>
                <c:pt idx="650">
                  <c:v>0.365830768584441</c:v>
                </c:pt>
                <c:pt idx="651">
                  <c:v>0.364961444577785</c:v>
                </c:pt>
                <c:pt idx="652">
                  <c:v>0.372032276745031</c:v>
                </c:pt>
                <c:pt idx="653">
                  <c:v>0.376741827771703</c:v>
                </c:pt>
                <c:pt idx="654">
                  <c:v>0.377063077149965</c:v>
                </c:pt>
                <c:pt idx="655">
                  <c:v>0.384680416676482</c:v>
                </c:pt>
                <c:pt idx="656">
                  <c:v>0.387745058505679</c:v>
                </c:pt>
                <c:pt idx="657">
                  <c:v>0.389363235524663</c:v>
                </c:pt>
                <c:pt idx="658">
                  <c:v>0.390972662430336</c:v>
                </c:pt>
                <c:pt idx="659">
                  <c:v>0.390317710710878</c:v>
                </c:pt>
                <c:pt idx="660">
                  <c:v>0.393203047973151</c:v>
                </c:pt>
                <c:pt idx="661">
                  <c:v>0.393868951657205</c:v>
                </c:pt>
                <c:pt idx="662">
                  <c:v>0.393916184486822</c:v>
                </c:pt>
                <c:pt idx="663">
                  <c:v>0.393414353992398</c:v>
                </c:pt>
                <c:pt idx="664">
                  <c:v>0.394818770124568</c:v>
                </c:pt>
                <c:pt idx="665">
                  <c:v>0.39569850965073</c:v>
                </c:pt>
                <c:pt idx="666">
                  <c:v>0.395936615620214</c:v>
                </c:pt>
                <c:pt idx="667">
                  <c:v>0.395784847689632</c:v>
                </c:pt>
                <c:pt idx="668">
                  <c:v>0.397499530846091</c:v>
                </c:pt>
                <c:pt idx="669">
                  <c:v>0.397664286054128</c:v>
                </c:pt>
                <c:pt idx="670">
                  <c:v>0.396520376599191</c:v>
                </c:pt>
                <c:pt idx="671">
                  <c:v>0.397797498022701</c:v>
                </c:pt>
                <c:pt idx="672">
                  <c:v>0.398281336031725</c:v>
                </c:pt>
                <c:pt idx="673">
                  <c:v>0.397539266368052</c:v>
                </c:pt>
                <c:pt idx="674">
                  <c:v>0.398805519700631</c:v>
                </c:pt>
                <c:pt idx="675">
                  <c:v>0.399279940797908</c:v>
                </c:pt>
                <c:pt idx="676">
                  <c:v>0.401528073646133</c:v>
                </c:pt>
                <c:pt idx="677">
                  <c:v>0.406050159253821</c:v>
                </c:pt>
                <c:pt idx="678">
                  <c:v>0.406167659426262</c:v>
                </c:pt>
                <c:pt idx="679">
                  <c:v>0.398320285019821</c:v>
                </c:pt>
                <c:pt idx="680">
                  <c:v>0.392472539198371</c:v>
                </c:pt>
                <c:pt idx="681">
                  <c:v>0.400573437683176</c:v>
                </c:pt>
                <c:pt idx="682">
                  <c:v>0.384275105666674</c:v>
                </c:pt>
                <c:pt idx="683">
                  <c:v>0.392919080394515</c:v>
                </c:pt>
                <c:pt idx="684">
                  <c:v>0.390011513888164</c:v>
                </c:pt>
                <c:pt idx="685">
                  <c:v>0.387162215648059</c:v>
                </c:pt>
                <c:pt idx="686">
                  <c:v>0.373858119432577</c:v>
                </c:pt>
                <c:pt idx="687">
                  <c:v>0.37498585573534</c:v>
                </c:pt>
                <c:pt idx="688">
                  <c:v>0.387563174493131</c:v>
                </c:pt>
                <c:pt idx="689">
                  <c:v>0.386047984719661</c:v>
                </c:pt>
                <c:pt idx="690">
                  <c:v>0.370086183614341</c:v>
                </c:pt>
                <c:pt idx="691">
                  <c:v>0.388682732966009</c:v>
                </c:pt>
                <c:pt idx="692">
                  <c:v>0.365551604819249</c:v>
                </c:pt>
                <c:pt idx="693">
                  <c:v>0.352380701365504</c:v>
                </c:pt>
                <c:pt idx="694">
                  <c:v>0.333404754187452</c:v>
                </c:pt>
                <c:pt idx="695">
                  <c:v>0.336226450165598</c:v>
                </c:pt>
                <c:pt idx="696">
                  <c:v>0.325921059284639</c:v>
                </c:pt>
                <c:pt idx="697">
                  <c:v>0.327390815535195</c:v>
                </c:pt>
                <c:pt idx="698">
                  <c:v>0.343319003967791</c:v>
                </c:pt>
                <c:pt idx="699">
                  <c:v>0.354999092713057</c:v>
                </c:pt>
                <c:pt idx="700">
                  <c:v>0.377208118934467</c:v>
                </c:pt>
                <c:pt idx="701">
                  <c:v>0.368804936579587</c:v>
                </c:pt>
                <c:pt idx="702">
                  <c:v>0.381935555214296</c:v>
                </c:pt>
                <c:pt idx="703">
                  <c:v>0.388605731035688</c:v>
                </c:pt>
                <c:pt idx="704">
                  <c:v>0.388361438385826</c:v>
                </c:pt>
                <c:pt idx="705">
                  <c:v>0.400713307592011</c:v>
                </c:pt>
                <c:pt idx="706">
                  <c:v>0.399667716307008</c:v>
                </c:pt>
                <c:pt idx="707">
                  <c:v>0.40509633157129</c:v>
                </c:pt>
                <c:pt idx="708">
                  <c:v>0.414130468415752</c:v>
                </c:pt>
                <c:pt idx="709">
                  <c:v>0.414484967774418</c:v>
                </c:pt>
                <c:pt idx="710">
                  <c:v>0.412779740719577</c:v>
                </c:pt>
                <c:pt idx="711">
                  <c:v>0.417296592536512</c:v>
                </c:pt>
                <c:pt idx="712">
                  <c:v>0.420605700463313</c:v>
                </c:pt>
                <c:pt idx="713">
                  <c:v>0.421799342830207</c:v>
                </c:pt>
                <c:pt idx="714">
                  <c:v>0.424925643372319</c:v>
                </c:pt>
                <c:pt idx="715">
                  <c:v>0.4255210448836</c:v>
                </c:pt>
                <c:pt idx="716">
                  <c:v>0.425181122629013</c:v>
                </c:pt>
                <c:pt idx="717">
                  <c:v>0.425748799377389</c:v>
                </c:pt>
                <c:pt idx="718">
                  <c:v>0.426019821138961</c:v>
                </c:pt>
                <c:pt idx="719">
                  <c:v>0.427416891373414</c:v>
                </c:pt>
                <c:pt idx="720">
                  <c:v>0.429849152247801</c:v>
                </c:pt>
                <c:pt idx="721">
                  <c:v>0.429265710041138</c:v>
                </c:pt>
                <c:pt idx="722">
                  <c:v>0.430713420118022</c:v>
                </c:pt>
                <c:pt idx="723">
                  <c:v>0.432650165192222</c:v>
                </c:pt>
                <c:pt idx="724">
                  <c:v>0.434092337909983</c:v>
                </c:pt>
                <c:pt idx="725">
                  <c:v>0.434014759244354</c:v>
                </c:pt>
                <c:pt idx="726">
                  <c:v>0.43483879385664</c:v>
                </c:pt>
                <c:pt idx="727">
                  <c:v>0.434475142808753</c:v>
                </c:pt>
                <c:pt idx="728">
                  <c:v>0.433512010126379</c:v>
                </c:pt>
                <c:pt idx="729">
                  <c:v>0.435472633942089</c:v>
                </c:pt>
                <c:pt idx="730">
                  <c:v>0.436270642332189</c:v>
                </c:pt>
                <c:pt idx="731">
                  <c:v>0.436337327524997</c:v>
                </c:pt>
                <c:pt idx="732">
                  <c:v>0.436702967724522</c:v>
                </c:pt>
                <c:pt idx="733">
                  <c:v>0.428277017267131</c:v>
                </c:pt>
                <c:pt idx="734">
                  <c:v>0.428679510168911</c:v>
                </c:pt>
                <c:pt idx="735">
                  <c:v>0.40951755911627</c:v>
                </c:pt>
                <c:pt idx="736">
                  <c:v>0.410631538160027</c:v>
                </c:pt>
                <c:pt idx="737">
                  <c:v>0.393631653175162</c:v>
                </c:pt>
                <c:pt idx="738">
                  <c:v>0.388586096012659</c:v>
                </c:pt>
                <c:pt idx="739">
                  <c:v>0.377929415361134</c:v>
                </c:pt>
                <c:pt idx="740">
                  <c:v>0.402645760136099</c:v>
                </c:pt>
                <c:pt idx="741">
                  <c:v>0.428149928382072</c:v>
                </c:pt>
                <c:pt idx="742">
                  <c:v>0.432803829281408</c:v>
                </c:pt>
                <c:pt idx="743">
                  <c:v>0.437767997850581</c:v>
                </c:pt>
                <c:pt idx="744">
                  <c:v>0.439456373421966</c:v>
                </c:pt>
                <c:pt idx="745">
                  <c:v>0.440209337404974</c:v>
                </c:pt>
                <c:pt idx="746">
                  <c:v>0.443369934239498</c:v>
                </c:pt>
                <c:pt idx="747">
                  <c:v>0.444582401122094</c:v>
                </c:pt>
                <c:pt idx="748">
                  <c:v>0.440425550418733</c:v>
                </c:pt>
                <c:pt idx="749">
                  <c:v>0.429378941744925</c:v>
                </c:pt>
                <c:pt idx="750">
                  <c:v>0.430576138964541</c:v>
                </c:pt>
                <c:pt idx="751">
                  <c:v>0.412830255158394</c:v>
                </c:pt>
                <c:pt idx="752">
                  <c:v>0.402613697386247</c:v>
                </c:pt>
                <c:pt idx="753">
                  <c:v>0.41617757331888</c:v>
                </c:pt>
                <c:pt idx="754">
                  <c:v>0.434592902190166</c:v>
                </c:pt>
                <c:pt idx="755">
                  <c:v>0.427116984891318</c:v>
                </c:pt>
                <c:pt idx="756">
                  <c:v>0.418473711538119</c:v>
                </c:pt>
                <c:pt idx="757">
                  <c:v>0.416013244082219</c:v>
                </c:pt>
                <c:pt idx="758">
                  <c:v>0.410709483073989</c:v>
                </c:pt>
                <c:pt idx="759">
                  <c:v>0.400612166751954</c:v>
                </c:pt>
                <c:pt idx="760">
                  <c:v>0.415459313222869</c:v>
                </c:pt>
                <c:pt idx="761">
                  <c:v>0.418712512842257</c:v>
                </c:pt>
                <c:pt idx="762">
                  <c:v>0.42507110756399</c:v>
                </c:pt>
                <c:pt idx="763">
                  <c:v>0.441209969952914</c:v>
                </c:pt>
                <c:pt idx="764">
                  <c:v>0.436338162198499</c:v>
                </c:pt>
                <c:pt idx="765">
                  <c:v>0.440808462023541</c:v>
                </c:pt>
                <c:pt idx="766">
                  <c:v>0.427429406949049</c:v>
                </c:pt>
                <c:pt idx="767">
                  <c:v>0.411299618188061</c:v>
                </c:pt>
                <c:pt idx="768">
                  <c:v>0.422548602897724</c:v>
                </c:pt>
                <c:pt idx="769">
                  <c:v>0.407463245222967</c:v>
                </c:pt>
                <c:pt idx="770">
                  <c:v>0.423427225453236</c:v>
                </c:pt>
                <c:pt idx="771">
                  <c:v>0.439420724761191</c:v>
                </c:pt>
                <c:pt idx="772">
                  <c:v>0.435268907566457</c:v>
                </c:pt>
                <c:pt idx="773">
                  <c:v>0.445602178050567</c:v>
                </c:pt>
                <c:pt idx="774">
                  <c:v>0.442626554854708</c:v>
                </c:pt>
                <c:pt idx="775">
                  <c:v>0.439413656514286</c:v>
                </c:pt>
                <c:pt idx="776">
                  <c:v>0.450332762912601</c:v>
                </c:pt>
                <c:pt idx="777">
                  <c:v>0.450711630081202</c:v>
                </c:pt>
                <c:pt idx="778">
                  <c:v>0.45970740918265</c:v>
                </c:pt>
                <c:pt idx="779">
                  <c:v>0.462923005604219</c:v>
                </c:pt>
                <c:pt idx="780">
                  <c:v>0.465542451777118</c:v>
                </c:pt>
                <c:pt idx="781">
                  <c:v>0.466136493962197</c:v>
                </c:pt>
                <c:pt idx="782">
                  <c:v>0.466026176645662</c:v>
                </c:pt>
                <c:pt idx="783">
                  <c:v>0.470124902857473</c:v>
                </c:pt>
                <c:pt idx="784">
                  <c:v>0.47157278702084</c:v>
                </c:pt>
                <c:pt idx="785">
                  <c:v>0.473369228469477</c:v>
                </c:pt>
                <c:pt idx="786">
                  <c:v>0.473633761659023</c:v>
                </c:pt>
                <c:pt idx="787">
                  <c:v>0.473621685652433</c:v>
                </c:pt>
                <c:pt idx="788">
                  <c:v>0.473277021678456</c:v>
                </c:pt>
                <c:pt idx="789">
                  <c:v>0.476154067640889</c:v>
                </c:pt>
                <c:pt idx="790">
                  <c:v>0.475996059458585</c:v>
                </c:pt>
                <c:pt idx="791">
                  <c:v>0.475905163617722</c:v>
                </c:pt>
                <c:pt idx="792">
                  <c:v>0.476686972984849</c:v>
                </c:pt>
                <c:pt idx="793">
                  <c:v>0.462360177343876</c:v>
                </c:pt>
                <c:pt idx="794">
                  <c:v>0.466686415817753</c:v>
                </c:pt>
                <c:pt idx="795">
                  <c:v>0.449099903721288</c:v>
                </c:pt>
                <c:pt idx="796">
                  <c:v>0.446412975269942</c:v>
                </c:pt>
                <c:pt idx="797">
                  <c:v>0.460466474525143</c:v>
                </c:pt>
                <c:pt idx="798">
                  <c:v>0.453794394710914</c:v>
                </c:pt>
                <c:pt idx="799">
                  <c:v>0.467948480346121</c:v>
                </c:pt>
                <c:pt idx="800">
                  <c:v>0.465260745892332</c:v>
                </c:pt>
                <c:pt idx="801">
                  <c:v>0.478125168030867</c:v>
                </c:pt>
                <c:pt idx="802">
                  <c:v>0.473926247186231</c:v>
                </c:pt>
                <c:pt idx="803">
                  <c:v>0.482208582404731</c:v>
                </c:pt>
                <c:pt idx="804">
                  <c:v>0.48155851306329</c:v>
                </c:pt>
                <c:pt idx="805">
                  <c:v>0.476660384581093</c:v>
                </c:pt>
                <c:pt idx="806">
                  <c:v>0.461478703630129</c:v>
                </c:pt>
                <c:pt idx="807">
                  <c:v>0.459243617513355</c:v>
                </c:pt>
                <c:pt idx="808">
                  <c:v>0.462314808694121</c:v>
                </c:pt>
                <c:pt idx="809">
                  <c:v>0.475345729015986</c:v>
                </c:pt>
                <c:pt idx="810">
                  <c:v>0.466537908166783</c:v>
                </c:pt>
                <c:pt idx="811">
                  <c:v>0.463417067116886</c:v>
                </c:pt>
                <c:pt idx="812">
                  <c:v>0.467354922461296</c:v>
                </c:pt>
                <c:pt idx="813">
                  <c:v>0.474988095004008</c:v>
                </c:pt>
                <c:pt idx="814">
                  <c:v>0.473658168160562</c:v>
                </c:pt>
                <c:pt idx="815">
                  <c:v>0.477226987566696</c:v>
                </c:pt>
                <c:pt idx="816">
                  <c:v>0.482769276866608</c:v>
                </c:pt>
                <c:pt idx="817">
                  <c:v>0.488241548538899</c:v>
                </c:pt>
                <c:pt idx="818">
                  <c:v>0.483802223508433</c:v>
                </c:pt>
                <c:pt idx="819">
                  <c:v>0.486199701907359</c:v>
                </c:pt>
                <c:pt idx="820">
                  <c:v>0.491396663674926</c:v>
                </c:pt>
                <c:pt idx="821">
                  <c:v>0.491278563870241</c:v>
                </c:pt>
                <c:pt idx="822">
                  <c:v>0.480936536491868</c:v>
                </c:pt>
                <c:pt idx="823">
                  <c:v>0.490554746296203</c:v>
                </c:pt>
                <c:pt idx="824">
                  <c:v>0.489818832982575</c:v>
                </c:pt>
                <c:pt idx="825">
                  <c:v>0.494659380008729</c:v>
                </c:pt>
                <c:pt idx="826">
                  <c:v>0.496865579640877</c:v>
                </c:pt>
                <c:pt idx="827">
                  <c:v>0.498584797413634</c:v>
                </c:pt>
                <c:pt idx="828">
                  <c:v>0.495876349127748</c:v>
                </c:pt>
                <c:pt idx="829">
                  <c:v>0.498931098733878</c:v>
                </c:pt>
                <c:pt idx="830">
                  <c:v>0.4959236875495</c:v>
                </c:pt>
                <c:pt idx="831">
                  <c:v>0.487009532014511</c:v>
                </c:pt>
                <c:pt idx="832">
                  <c:v>0.497586785175722</c:v>
                </c:pt>
                <c:pt idx="833">
                  <c:v>0.500816726700175</c:v>
                </c:pt>
                <c:pt idx="834">
                  <c:v>0.49062464943984</c:v>
                </c:pt>
                <c:pt idx="835">
                  <c:v>0.486695353780714</c:v>
                </c:pt>
                <c:pt idx="836">
                  <c:v>0.49044170003971</c:v>
                </c:pt>
                <c:pt idx="837">
                  <c:v>0.502797777885097</c:v>
                </c:pt>
                <c:pt idx="838">
                  <c:v>0.499910865455694</c:v>
                </c:pt>
                <c:pt idx="839">
                  <c:v>0.498082381975939</c:v>
                </c:pt>
                <c:pt idx="840">
                  <c:v>0.498560587520959</c:v>
                </c:pt>
                <c:pt idx="841">
                  <c:v>0.507329465095719</c:v>
                </c:pt>
                <c:pt idx="842">
                  <c:v>0.508481137974238</c:v>
                </c:pt>
                <c:pt idx="843">
                  <c:v>0.511531940191873</c:v>
                </c:pt>
                <c:pt idx="844">
                  <c:v>0.51181241615023</c:v>
                </c:pt>
                <c:pt idx="845">
                  <c:v>0.511849604130866</c:v>
                </c:pt>
                <c:pt idx="846">
                  <c:v>0.513883611407094</c:v>
                </c:pt>
                <c:pt idx="847">
                  <c:v>0.51324483726567</c:v>
                </c:pt>
                <c:pt idx="848">
                  <c:v>0.508732209570724</c:v>
                </c:pt>
                <c:pt idx="849">
                  <c:v>0.515243584504985</c:v>
                </c:pt>
                <c:pt idx="850">
                  <c:v>0.51531018830034</c:v>
                </c:pt>
                <c:pt idx="851">
                  <c:v>0.512345351036164</c:v>
                </c:pt>
                <c:pt idx="852">
                  <c:v>0.516380981805621</c:v>
                </c:pt>
                <c:pt idx="853">
                  <c:v>0.517027659108181</c:v>
                </c:pt>
                <c:pt idx="854">
                  <c:v>0.519327465533016</c:v>
                </c:pt>
                <c:pt idx="855">
                  <c:v>0.516671595678528</c:v>
                </c:pt>
                <c:pt idx="856">
                  <c:v>0.515654497849685</c:v>
                </c:pt>
                <c:pt idx="857">
                  <c:v>0.50934149255018</c:v>
                </c:pt>
                <c:pt idx="858">
                  <c:v>0.510734793555777</c:v>
                </c:pt>
                <c:pt idx="859">
                  <c:v>0.523403977556938</c:v>
                </c:pt>
                <c:pt idx="860">
                  <c:v>0.526009640378073</c:v>
                </c:pt>
                <c:pt idx="861">
                  <c:v>0.519282403096392</c:v>
                </c:pt>
                <c:pt idx="862">
                  <c:v>0.514249530396031</c:v>
                </c:pt>
                <c:pt idx="863">
                  <c:v>0.520645536489718</c:v>
                </c:pt>
                <c:pt idx="864">
                  <c:v>0.522283014799878</c:v>
                </c:pt>
                <c:pt idx="865">
                  <c:v>0.531659685234812</c:v>
                </c:pt>
                <c:pt idx="866">
                  <c:v>0.526904159435971</c:v>
                </c:pt>
                <c:pt idx="867">
                  <c:v>0.533816752912034</c:v>
                </c:pt>
                <c:pt idx="868">
                  <c:v>0.535746164071391</c:v>
                </c:pt>
                <c:pt idx="869">
                  <c:v>0.529250768888373</c:v>
                </c:pt>
                <c:pt idx="870">
                  <c:v>0.526628206085885</c:v>
                </c:pt>
                <c:pt idx="871">
                  <c:v>0.526784322085581</c:v>
                </c:pt>
                <c:pt idx="872">
                  <c:v>0.503527641107387</c:v>
                </c:pt>
                <c:pt idx="873">
                  <c:v>0.507116403732693</c:v>
                </c:pt>
                <c:pt idx="874">
                  <c:v>0.516067369164043</c:v>
                </c:pt>
                <c:pt idx="875">
                  <c:v>0.514991886624011</c:v>
                </c:pt>
                <c:pt idx="876">
                  <c:v>0.511756624772387</c:v>
                </c:pt>
                <c:pt idx="877">
                  <c:v>0.518782279083593</c:v>
                </c:pt>
                <c:pt idx="878">
                  <c:v>0.499829863554121</c:v>
                </c:pt>
                <c:pt idx="879">
                  <c:v>0.502074386506448</c:v>
                </c:pt>
                <c:pt idx="880">
                  <c:v>0.517207268057709</c:v>
                </c:pt>
                <c:pt idx="881">
                  <c:v>0.531140952475069</c:v>
                </c:pt>
                <c:pt idx="882">
                  <c:v>0.53532681661497</c:v>
                </c:pt>
                <c:pt idx="883">
                  <c:v>0.5353734493853</c:v>
                </c:pt>
                <c:pt idx="884">
                  <c:v>0.542667886153293</c:v>
                </c:pt>
                <c:pt idx="885">
                  <c:v>0.543814162947825</c:v>
                </c:pt>
                <c:pt idx="886">
                  <c:v>0.545164096010358</c:v>
                </c:pt>
                <c:pt idx="887">
                  <c:v>0.542884943592947</c:v>
                </c:pt>
                <c:pt idx="888">
                  <c:v>0.541566213956807</c:v>
                </c:pt>
                <c:pt idx="889">
                  <c:v>0.537138411473792</c:v>
                </c:pt>
                <c:pt idx="890">
                  <c:v>0.527416136123799</c:v>
                </c:pt>
                <c:pt idx="891">
                  <c:v>0.521161518911165</c:v>
                </c:pt>
                <c:pt idx="892">
                  <c:v>0.534868776104014</c:v>
                </c:pt>
                <c:pt idx="893">
                  <c:v>0.541604649964568</c:v>
                </c:pt>
                <c:pt idx="894">
                  <c:v>0.542144122472192</c:v>
                </c:pt>
                <c:pt idx="895">
                  <c:v>0.540774357773304</c:v>
                </c:pt>
                <c:pt idx="896">
                  <c:v>0.539614470236992</c:v>
                </c:pt>
                <c:pt idx="897">
                  <c:v>0.538029579002409</c:v>
                </c:pt>
                <c:pt idx="898">
                  <c:v>0.54098835660461</c:v>
                </c:pt>
                <c:pt idx="899">
                  <c:v>0.534150494557742</c:v>
                </c:pt>
                <c:pt idx="900">
                  <c:v>0.532010519012332</c:v>
                </c:pt>
                <c:pt idx="901">
                  <c:v>0.544889297844075</c:v>
                </c:pt>
                <c:pt idx="902">
                  <c:v>0.536360431932024</c:v>
                </c:pt>
                <c:pt idx="903">
                  <c:v>0.537747648548353</c:v>
                </c:pt>
                <c:pt idx="904">
                  <c:v>0.537318282893124</c:v>
                </c:pt>
                <c:pt idx="905">
                  <c:v>0.541452799239238</c:v>
                </c:pt>
                <c:pt idx="906">
                  <c:v>0.547618522090141</c:v>
                </c:pt>
                <c:pt idx="907">
                  <c:v>0.545858991251693</c:v>
                </c:pt>
                <c:pt idx="908">
                  <c:v>0.53864052910442</c:v>
                </c:pt>
                <c:pt idx="909">
                  <c:v>0.514145637757588</c:v>
                </c:pt>
                <c:pt idx="910">
                  <c:v>0.470558101402969</c:v>
                </c:pt>
                <c:pt idx="911">
                  <c:v>0.415485130022842</c:v>
                </c:pt>
                <c:pt idx="912">
                  <c:v>0.397206659441441</c:v>
                </c:pt>
                <c:pt idx="913">
                  <c:v>0.449975068323238</c:v>
                </c:pt>
                <c:pt idx="914">
                  <c:v>0.483913998907408</c:v>
                </c:pt>
                <c:pt idx="915">
                  <c:v>0.484999567988525</c:v>
                </c:pt>
                <c:pt idx="916">
                  <c:v>0.473422687142794</c:v>
                </c:pt>
                <c:pt idx="917">
                  <c:v>0.431365843337268</c:v>
                </c:pt>
                <c:pt idx="918">
                  <c:v>0.456797929846935</c:v>
                </c:pt>
                <c:pt idx="919">
                  <c:v>0.458538023321758</c:v>
                </c:pt>
                <c:pt idx="920">
                  <c:v>0.44361355722947</c:v>
                </c:pt>
                <c:pt idx="921">
                  <c:v>0.468893315656861</c:v>
                </c:pt>
                <c:pt idx="922">
                  <c:v>0.457563831137425</c:v>
                </c:pt>
                <c:pt idx="923">
                  <c:v>0.463862296176356</c:v>
                </c:pt>
                <c:pt idx="924">
                  <c:v>0.469019528697769</c:v>
                </c:pt>
                <c:pt idx="925">
                  <c:v>0.466200343168389</c:v>
                </c:pt>
                <c:pt idx="926">
                  <c:v>0.479504786176825</c:v>
                </c:pt>
                <c:pt idx="927">
                  <c:v>0.48866596627005</c:v>
                </c:pt>
                <c:pt idx="928">
                  <c:v>0.486716319873587</c:v>
                </c:pt>
                <c:pt idx="929">
                  <c:v>0.473513751729527</c:v>
                </c:pt>
                <c:pt idx="930">
                  <c:v>0.480835030996268</c:v>
                </c:pt>
                <c:pt idx="931">
                  <c:v>0.468713605085456</c:v>
                </c:pt>
                <c:pt idx="932">
                  <c:v>0.468636771213363</c:v>
                </c:pt>
                <c:pt idx="933">
                  <c:v>0.464408498359807</c:v>
                </c:pt>
                <c:pt idx="934">
                  <c:v>0.464104327204574</c:v>
                </c:pt>
                <c:pt idx="935">
                  <c:v>0.438222407904825</c:v>
                </c:pt>
                <c:pt idx="936">
                  <c:v>0.440566870737741</c:v>
                </c:pt>
                <c:pt idx="937">
                  <c:v>0.460316007118291</c:v>
                </c:pt>
                <c:pt idx="938">
                  <c:v>0.463984085097165</c:v>
                </c:pt>
                <c:pt idx="939">
                  <c:v>0.477552893856245</c:v>
                </c:pt>
                <c:pt idx="940">
                  <c:v>0.493470935310306</c:v>
                </c:pt>
                <c:pt idx="941">
                  <c:v>0.491996403810362</c:v>
                </c:pt>
                <c:pt idx="942">
                  <c:v>0.498397526739265</c:v>
                </c:pt>
                <c:pt idx="943">
                  <c:v>0.504937260246286</c:v>
                </c:pt>
                <c:pt idx="944">
                  <c:v>0.505813895415596</c:v>
                </c:pt>
                <c:pt idx="945">
                  <c:v>0.50866745891411</c:v>
                </c:pt>
                <c:pt idx="946">
                  <c:v>0.503944998179083</c:v>
                </c:pt>
                <c:pt idx="947">
                  <c:v>0.501196979889337</c:v>
                </c:pt>
                <c:pt idx="948">
                  <c:v>0.511216462659153</c:v>
                </c:pt>
                <c:pt idx="949">
                  <c:v>0.513712504398689</c:v>
                </c:pt>
                <c:pt idx="950">
                  <c:v>0.515434456976671</c:v>
                </c:pt>
                <c:pt idx="951">
                  <c:v>0.514648498550155</c:v>
                </c:pt>
                <c:pt idx="952">
                  <c:v>0.511350551083639</c:v>
                </c:pt>
                <c:pt idx="953">
                  <c:v>0.519263390109553</c:v>
                </c:pt>
                <c:pt idx="954">
                  <c:v>0.521436852295201</c:v>
                </c:pt>
                <c:pt idx="955">
                  <c:v>0.521030202061449</c:v>
                </c:pt>
                <c:pt idx="956">
                  <c:v>0.52094686280217</c:v>
                </c:pt>
                <c:pt idx="957">
                  <c:v>0.523035628167009</c:v>
                </c:pt>
                <c:pt idx="958">
                  <c:v>0.523065316388841</c:v>
                </c:pt>
                <c:pt idx="959">
                  <c:v>0.522522049749606</c:v>
                </c:pt>
                <c:pt idx="960">
                  <c:v>0.524249100690302</c:v>
                </c:pt>
                <c:pt idx="961">
                  <c:v>0.526245114250627</c:v>
                </c:pt>
                <c:pt idx="962">
                  <c:v>0.52187964129486</c:v>
                </c:pt>
                <c:pt idx="963">
                  <c:v>0.52150036668668</c:v>
                </c:pt>
                <c:pt idx="964">
                  <c:v>0.522331534802383</c:v>
                </c:pt>
                <c:pt idx="965">
                  <c:v>0.511952886409368</c:v>
                </c:pt>
                <c:pt idx="966">
                  <c:v>0.514920982721387</c:v>
                </c:pt>
                <c:pt idx="967">
                  <c:v>0.511051291543211</c:v>
                </c:pt>
                <c:pt idx="968">
                  <c:v>0.494430016408073</c:v>
                </c:pt>
                <c:pt idx="969">
                  <c:v>0.481018806117605</c:v>
                </c:pt>
                <c:pt idx="970">
                  <c:v>0.499708912508836</c:v>
                </c:pt>
                <c:pt idx="971">
                  <c:v>0.498116341757771</c:v>
                </c:pt>
                <c:pt idx="972">
                  <c:v>0.516028569389539</c:v>
                </c:pt>
                <c:pt idx="973">
                  <c:v>0.514848908315868</c:v>
                </c:pt>
                <c:pt idx="974">
                  <c:v>0.520078206432582</c:v>
                </c:pt>
                <c:pt idx="975">
                  <c:v>0.520272749962765</c:v>
                </c:pt>
                <c:pt idx="976">
                  <c:v>0.52170360145836</c:v>
                </c:pt>
                <c:pt idx="977">
                  <c:v>0.52234896156424</c:v>
                </c:pt>
                <c:pt idx="978">
                  <c:v>0.523044807793683</c:v>
                </c:pt>
                <c:pt idx="979">
                  <c:v>0.519498064501603</c:v>
                </c:pt>
                <c:pt idx="980">
                  <c:v>0.531164206756107</c:v>
                </c:pt>
                <c:pt idx="981">
                  <c:v>0.520264384499843</c:v>
                </c:pt>
                <c:pt idx="982">
                  <c:v>0.504210972454069</c:v>
                </c:pt>
                <c:pt idx="983">
                  <c:v>0.527067515300113</c:v>
                </c:pt>
                <c:pt idx="984">
                  <c:v>0.52086173484314</c:v>
                </c:pt>
                <c:pt idx="985">
                  <c:v>0.513245925067414</c:v>
                </c:pt>
                <c:pt idx="986">
                  <c:v>0.504556166109446</c:v>
                </c:pt>
                <c:pt idx="987">
                  <c:v>0.506104895704752</c:v>
                </c:pt>
                <c:pt idx="988">
                  <c:v>0.482975868993931</c:v>
                </c:pt>
                <c:pt idx="989">
                  <c:v>0.490414330120312</c:v>
                </c:pt>
                <c:pt idx="990">
                  <c:v>0.503588913373381</c:v>
                </c:pt>
                <c:pt idx="991">
                  <c:v>0.5208112637004</c:v>
                </c:pt>
                <c:pt idx="992">
                  <c:v>0.504633561901922</c:v>
                </c:pt>
                <c:pt idx="993">
                  <c:v>0.483483743810544</c:v>
                </c:pt>
                <c:pt idx="994">
                  <c:v>0.494730897102053</c:v>
                </c:pt>
                <c:pt idx="995">
                  <c:v>0.506351255048294</c:v>
                </c:pt>
                <c:pt idx="996">
                  <c:v>0.520464656120866</c:v>
                </c:pt>
                <c:pt idx="997">
                  <c:v>0.519236014472535</c:v>
                </c:pt>
                <c:pt idx="998">
                  <c:v>0.518290159071383</c:v>
                </c:pt>
                <c:pt idx="999">
                  <c:v>0.530394547819422</c:v>
                </c:pt>
                <c:pt idx="1000">
                  <c:v>0.522947670242472</c:v>
                </c:pt>
                <c:pt idx="1001">
                  <c:v>0.512748407463944</c:v>
                </c:pt>
                <c:pt idx="1002">
                  <c:v>0.494836311335407</c:v>
                </c:pt>
                <c:pt idx="1003">
                  <c:v>0.498290422370251</c:v>
                </c:pt>
                <c:pt idx="1004">
                  <c:v>0.481595576223135</c:v>
                </c:pt>
                <c:pt idx="1005">
                  <c:v>0.449557505469145</c:v>
                </c:pt>
                <c:pt idx="1006">
                  <c:v>0.435037931557693</c:v>
                </c:pt>
                <c:pt idx="1007">
                  <c:v>0.437158347066364</c:v>
                </c:pt>
                <c:pt idx="1008">
                  <c:v>0.44817220596576</c:v>
                </c:pt>
                <c:pt idx="1009">
                  <c:v>0.413719460006278</c:v>
                </c:pt>
                <c:pt idx="1010">
                  <c:v>0.436480340800246</c:v>
                </c:pt>
                <c:pt idx="1011">
                  <c:v>0.406797878831098</c:v>
                </c:pt>
                <c:pt idx="1012">
                  <c:v>0.407922114548054</c:v>
                </c:pt>
                <c:pt idx="1013">
                  <c:v>0.39217934367971</c:v>
                </c:pt>
                <c:pt idx="1014">
                  <c:v>0.399267733573047</c:v>
                </c:pt>
                <c:pt idx="1015">
                  <c:v>0.426819643297197</c:v>
                </c:pt>
                <c:pt idx="1016">
                  <c:v>0.405455293249415</c:v>
                </c:pt>
                <c:pt idx="1017">
                  <c:v>0.424831711605215</c:v>
                </c:pt>
                <c:pt idx="1018">
                  <c:v>0.409942507500988</c:v>
                </c:pt>
                <c:pt idx="1019">
                  <c:v>0.417572460504817</c:v>
                </c:pt>
                <c:pt idx="1020">
                  <c:v>0.451624509512428</c:v>
                </c:pt>
                <c:pt idx="1021">
                  <c:v>0.451225030336281</c:v>
                </c:pt>
                <c:pt idx="1022">
                  <c:v>0.432945713344763</c:v>
                </c:pt>
                <c:pt idx="1023">
                  <c:v>0.438042681651657</c:v>
                </c:pt>
                <c:pt idx="1024">
                  <c:v>0.438871123624323</c:v>
                </c:pt>
                <c:pt idx="1025">
                  <c:v>0.420441715612837</c:v>
                </c:pt>
                <c:pt idx="1026">
                  <c:v>0.405560419033963</c:v>
                </c:pt>
                <c:pt idx="1027">
                  <c:v>0.404706559500091</c:v>
                </c:pt>
                <c:pt idx="1028">
                  <c:v>0.404985714480302</c:v>
                </c:pt>
                <c:pt idx="1029">
                  <c:v>0.391339071182273</c:v>
                </c:pt>
                <c:pt idx="1030">
                  <c:v>0.412578790652294</c:v>
                </c:pt>
                <c:pt idx="1031">
                  <c:v>0.431620882108189</c:v>
                </c:pt>
                <c:pt idx="1032">
                  <c:v>0.448328235907396</c:v>
                </c:pt>
                <c:pt idx="1033">
                  <c:v>0.445795500261004</c:v>
                </c:pt>
                <c:pt idx="1034">
                  <c:v>0.447593707817845</c:v>
                </c:pt>
                <c:pt idx="1035">
                  <c:v>0.46253913246165</c:v>
                </c:pt>
                <c:pt idx="1036">
                  <c:v>0.451169148955141</c:v>
                </c:pt>
                <c:pt idx="1037">
                  <c:v>0.455429683994107</c:v>
                </c:pt>
                <c:pt idx="1038">
                  <c:v>0.466696149055377</c:v>
                </c:pt>
                <c:pt idx="1039">
                  <c:v>0.464760785303805</c:v>
                </c:pt>
                <c:pt idx="1040">
                  <c:v>0.458895014229567</c:v>
                </c:pt>
                <c:pt idx="1041">
                  <c:v>0.479906464027728</c:v>
                </c:pt>
                <c:pt idx="1042">
                  <c:v>0.483289397428321</c:v>
                </c:pt>
                <c:pt idx="1043">
                  <c:v>0.486131736469083</c:v>
                </c:pt>
                <c:pt idx="1044">
                  <c:v>0.488080240122305</c:v>
                </c:pt>
                <c:pt idx="1045">
                  <c:v>0.488962392541137</c:v>
                </c:pt>
                <c:pt idx="1046">
                  <c:v>0.481243757688664</c:v>
                </c:pt>
                <c:pt idx="1047">
                  <c:v>0.485209986038407</c:v>
                </c:pt>
                <c:pt idx="1048">
                  <c:v>0.485632202578625</c:v>
                </c:pt>
                <c:pt idx="1049">
                  <c:v>0.495507638432505</c:v>
                </c:pt>
                <c:pt idx="1050">
                  <c:v>0.496039384975171</c:v>
                </c:pt>
                <c:pt idx="1051">
                  <c:v>0.495629049667329</c:v>
                </c:pt>
                <c:pt idx="1052">
                  <c:v>0.499054165393677</c:v>
                </c:pt>
                <c:pt idx="1053">
                  <c:v>0.5019951912266</c:v>
                </c:pt>
                <c:pt idx="1054">
                  <c:v>0.503551705831243</c:v>
                </c:pt>
                <c:pt idx="1055">
                  <c:v>0.504662100657138</c:v>
                </c:pt>
                <c:pt idx="1056">
                  <c:v>0.504651858068197</c:v>
                </c:pt>
                <c:pt idx="1057">
                  <c:v>0.50272486496644</c:v>
                </c:pt>
                <c:pt idx="1058">
                  <c:v>0.502845356063955</c:v>
                </c:pt>
                <c:pt idx="1059">
                  <c:v>0.503924920983444</c:v>
                </c:pt>
                <c:pt idx="1060">
                  <c:v>0.506690885242652</c:v>
                </c:pt>
                <c:pt idx="1061">
                  <c:v>0.507711435395048</c:v>
                </c:pt>
                <c:pt idx="1062">
                  <c:v>0.507491335086207</c:v>
                </c:pt>
                <c:pt idx="1063">
                  <c:v>0.508535171573011</c:v>
                </c:pt>
                <c:pt idx="1064">
                  <c:v>0.504777649054695</c:v>
                </c:pt>
                <c:pt idx="1065">
                  <c:v>0.493773901183844</c:v>
                </c:pt>
                <c:pt idx="1066">
                  <c:v>0.505495017330874</c:v>
                </c:pt>
                <c:pt idx="1067">
                  <c:v>0.491730859449352</c:v>
                </c:pt>
                <c:pt idx="1068">
                  <c:v>0.495872864566258</c:v>
                </c:pt>
                <c:pt idx="1069">
                  <c:v>0.493114301545483</c:v>
                </c:pt>
                <c:pt idx="1070">
                  <c:v>0.503901777151933</c:v>
                </c:pt>
                <c:pt idx="1071">
                  <c:v>0.51402369799545</c:v>
                </c:pt>
                <c:pt idx="1072">
                  <c:v>0.514685366967839</c:v>
                </c:pt>
                <c:pt idx="1073">
                  <c:v>0.514800640798681</c:v>
                </c:pt>
                <c:pt idx="1074">
                  <c:v>0.521434299584118</c:v>
                </c:pt>
                <c:pt idx="1075">
                  <c:v>0.524074376717861</c:v>
                </c:pt>
                <c:pt idx="1076">
                  <c:v>0.524468791174128</c:v>
                </c:pt>
                <c:pt idx="1077">
                  <c:v>0.520027664869383</c:v>
                </c:pt>
                <c:pt idx="1078">
                  <c:v>0.521222052028297</c:v>
                </c:pt>
                <c:pt idx="1079">
                  <c:v>0.519775222185897</c:v>
                </c:pt>
                <c:pt idx="1080">
                  <c:v>0.52195965283464</c:v>
                </c:pt>
                <c:pt idx="1081">
                  <c:v>0.523780478924371</c:v>
                </c:pt>
                <c:pt idx="1082">
                  <c:v>0.515287834175123</c:v>
                </c:pt>
                <c:pt idx="1083">
                  <c:v>0.510425919030556</c:v>
                </c:pt>
                <c:pt idx="1084">
                  <c:v>0.519045908566162</c:v>
                </c:pt>
                <c:pt idx="1085">
                  <c:v>0.510851699698729</c:v>
                </c:pt>
                <c:pt idx="1086">
                  <c:v>0.505132448836745</c:v>
                </c:pt>
                <c:pt idx="1087">
                  <c:v>0.505151141320178</c:v>
                </c:pt>
                <c:pt idx="1088">
                  <c:v>0.509433415148752</c:v>
                </c:pt>
                <c:pt idx="1089">
                  <c:v>0.511684939230062</c:v>
                </c:pt>
                <c:pt idx="1090">
                  <c:v>0.523459081651719</c:v>
                </c:pt>
                <c:pt idx="1091">
                  <c:v>0.514622893388879</c:v>
                </c:pt>
                <c:pt idx="1092">
                  <c:v>0.515267275704683</c:v>
                </c:pt>
                <c:pt idx="1093">
                  <c:v>0.507314840347661</c:v>
                </c:pt>
                <c:pt idx="1094">
                  <c:v>0.517832917788981</c:v>
                </c:pt>
                <c:pt idx="1095">
                  <c:v>0.509023723105131</c:v>
                </c:pt>
                <c:pt idx="1096">
                  <c:v>0.509388522744349</c:v>
                </c:pt>
                <c:pt idx="1097">
                  <c:v>0.505887363128234</c:v>
                </c:pt>
                <c:pt idx="1098">
                  <c:v>0.513053745853888</c:v>
                </c:pt>
                <c:pt idx="1099">
                  <c:v>0.512177692436</c:v>
                </c:pt>
                <c:pt idx="1100">
                  <c:v>0.526164888096438</c:v>
                </c:pt>
                <c:pt idx="1101">
                  <c:v>0.532153705102565</c:v>
                </c:pt>
                <c:pt idx="1102">
                  <c:v>0.532745214065667</c:v>
                </c:pt>
                <c:pt idx="1103">
                  <c:v>0.53645427732488</c:v>
                </c:pt>
                <c:pt idx="1104">
                  <c:v>0.536573470278956</c:v>
                </c:pt>
                <c:pt idx="1105">
                  <c:v>0.537861750018745</c:v>
                </c:pt>
                <c:pt idx="1106">
                  <c:v>0.540186326443179</c:v>
                </c:pt>
                <c:pt idx="1107">
                  <c:v>0.539012929416156</c:v>
                </c:pt>
                <c:pt idx="1108">
                  <c:v>0.542786481746046</c:v>
                </c:pt>
                <c:pt idx="1109">
                  <c:v>0.543759951934925</c:v>
                </c:pt>
                <c:pt idx="1110">
                  <c:v>0.545630113002273</c:v>
                </c:pt>
                <c:pt idx="1111">
                  <c:v>0.544800267953758</c:v>
                </c:pt>
                <c:pt idx="1112">
                  <c:v>0.538808314399578</c:v>
                </c:pt>
                <c:pt idx="1113">
                  <c:v>0.532587400450681</c:v>
                </c:pt>
                <c:pt idx="1114">
                  <c:v>0.532087731059792</c:v>
                </c:pt>
                <c:pt idx="1115">
                  <c:v>0.531612743994596</c:v>
                </c:pt>
                <c:pt idx="1116">
                  <c:v>0.535397204934112</c:v>
                </c:pt>
                <c:pt idx="1117">
                  <c:v>0.53325495225692</c:v>
                </c:pt>
                <c:pt idx="1118">
                  <c:v>0.540824853017473</c:v>
                </c:pt>
                <c:pt idx="1119">
                  <c:v>0.543320495282201</c:v>
                </c:pt>
                <c:pt idx="1120">
                  <c:v>0.542284896169184</c:v>
                </c:pt>
                <c:pt idx="1121">
                  <c:v>0.550728858359907</c:v>
                </c:pt>
                <c:pt idx="1122">
                  <c:v>0.522028786508623</c:v>
                </c:pt>
                <c:pt idx="1123">
                  <c:v>0.500696112865793</c:v>
                </c:pt>
                <c:pt idx="1124">
                  <c:v>0.525934753988195</c:v>
                </c:pt>
                <c:pt idx="1125">
                  <c:v>0.546498239435121</c:v>
                </c:pt>
                <c:pt idx="1126">
                  <c:v>0.553860992433084</c:v>
                </c:pt>
                <c:pt idx="1127">
                  <c:v>0.556369607261341</c:v>
                </c:pt>
                <c:pt idx="1128">
                  <c:v>0.550100604328056</c:v>
                </c:pt>
                <c:pt idx="1129">
                  <c:v>0.55551382753216</c:v>
                </c:pt>
                <c:pt idx="1130">
                  <c:v>0.555995953082923</c:v>
                </c:pt>
                <c:pt idx="1131">
                  <c:v>0.570914746487286</c:v>
                </c:pt>
                <c:pt idx="1132">
                  <c:v>0.573703001011446</c:v>
                </c:pt>
                <c:pt idx="1133">
                  <c:v>0.579294799453704</c:v>
                </c:pt>
                <c:pt idx="1134">
                  <c:v>0.580260305388652</c:v>
                </c:pt>
                <c:pt idx="1135">
                  <c:v>0.583323504173159</c:v>
                </c:pt>
                <c:pt idx="1136">
                  <c:v>0.583042206073712</c:v>
                </c:pt>
                <c:pt idx="1137">
                  <c:v>0.585316436118762</c:v>
                </c:pt>
                <c:pt idx="1138">
                  <c:v>0.585164174528967</c:v>
                </c:pt>
                <c:pt idx="1139">
                  <c:v>0.587412363031589</c:v>
                </c:pt>
                <c:pt idx="1140">
                  <c:v>0.584752234699559</c:v>
                </c:pt>
                <c:pt idx="1141">
                  <c:v>0.587620774641337</c:v>
                </c:pt>
                <c:pt idx="1142">
                  <c:v>0.586081307124201</c:v>
                </c:pt>
                <c:pt idx="1143">
                  <c:v>0.586696437246796</c:v>
                </c:pt>
                <c:pt idx="1144">
                  <c:v>0.586613475517262</c:v>
                </c:pt>
                <c:pt idx="1145">
                  <c:v>0.587545251664291</c:v>
                </c:pt>
                <c:pt idx="1146">
                  <c:v>0.589619464839061</c:v>
                </c:pt>
                <c:pt idx="1147">
                  <c:v>0.589384207231315</c:v>
                </c:pt>
                <c:pt idx="1148">
                  <c:v>0.585342624229217</c:v>
                </c:pt>
                <c:pt idx="1149">
                  <c:v>0.587905207575203</c:v>
                </c:pt>
                <c:pt idx="1150">
                  <c:v>0.588669997182083</c:v>
                </c:pt>
                <c:pt idx="1151">
                  <c:v>0.593366093208811</c:v>
                </c:pt>
                <c:pt idx="1152">
                  <c:v>0.593609591034139</c:v>
                </c:pt>
                <c:pt idx="1153">
                  <c:v>0.594110805366405</c:v>
                </c:pt>
                <c:pt idx="1154">
                  <c:v>0.592743162039413</c:v>
                </c:pt>
                <c:pt idx="1155">
                  <c:v>0.594641284085137</c:v>
                </c:pt>
                <c:pt idx="1156">
                  <c:v>0.59470876961615</c:v>
                </c:pt>
                <c:pt idx="1157">
                  <c:v>0.595927205412651</c:v>
                </c:pt>
                <c:pt idx="1158">
                  <c:v>0.593917186801439</c:v>
                </c:pt>
                <c:pt idx="1159">
                  <c:v>0.595066481601702</c:v>
                </c:pt>
                <c:pt idx="1160">
                  <c:v>0.59633751921501</c:v>
                </c:pt>
                <c:pt idx="1161">
                  <c:v>0.596340658324794</c:v>
                </c:pt>
                <c:pt idx="1162">
                  <c:v>0.596545231808331</c:v>
                </c:pt>
                <c:pt idx="1163">
                  <c:v>0.597438715428997</c:v>
                </c:pt>
                <c:pt idx="1164">
                  <c:v>0.595566941116295</c:v>
                </c:pt>
                <c:pt idx="1165">
                  <c:v>0.5954158527646</c:v>
                </c:pt>
                <c:pt idx="1166">
                  <c:v>0.594943318159188</c:v>
                </c:pt>
                <c:pt idx="1167">
                  <c:v>0.597688362403222</c:v>
                </c:pt>
                <c:pt idx="1168">
                  <c:v>0.597357660969116</c:v>
                </c:pt>
                <c:pt idx="1169">
                  <c:v>0.596679893283574</c:v>
                </c:pt>
                <c:pt idx="1170">
                  <c:v>0.596865130479049</c:v>
                </c:pt>
                <c:pt idx="1171">
                  <c:v>0.598836152105234</c:v>
                </c:pt>
                <c:pt idx="1172">
                  <c:v>0.600328928275502</c:v>
                </c:pt>
                <c:pt idx="1173">
                  <c:v>0.600644103402345</c:v>
                </c:pt>
                <c:pt idx="1174">
                  <c:v>0.600363308715246</c:v>
                </c:pt>
                <c:pt idx="1175">
                  <c:v>0.589077841186031</c:v>
                </c:pt>
                <c:pt idx="1176">
                  <c:v>0.598116225337005</c:v>
                </c:pt>
                <c:pt idx="1177">
                  <c:v>0.590678778187456</c:v>
                </c:pt>
                <c:pt idx="1178">
                  <c:v>0.590880557814764</c:v>
                </c:pt>
                <c:pt idx="1179">
                  <c:v>0.596893247679279</c:v>
                </c:pt>
                <c:pt idx="1180">
                  <c:v>0.596323698936851</c:v>
                </c:pt>
                <c:pt idx="1181">
                  <c:v>0.598036501608263</c:v>
                </c:pt>
                <c:pt idx="1182">
                  <c:v>0.598669076599673</c:v>
                </c:pt>
                <c:pt idx="1183">
                  <c:v>0.602005346697945</c:v>
                </c:pt>
                <c:pt idx="1184">
                  <c:v>0.602772172994401</c:v>
                </c:pt>
                <c:pt idx="1185">
                  <c:v>0.597622159048913</c:v>
                </c:pt>
                <c:pt idx="1186">
                  <c:v>0.587003865469913</c:v>
                </c:pt>
                <c:pt idx="1187">
                  <c:v>0.595615238304375</c:v>
                </c:pt>
                <c:pt idx="1188">
                  <c:v>0.601948366083494</c:v>
                </c:pt>
                <c:pt idx="1189">
                  <c:v>0.590936598230244</c:v>
                </c:pt>
                <c:pt idx="1190">
                  <c:v>0.600911586051741</c:v>
                </c:pt>
                <c:pt idx="1191">
                  <c:v>0.598252622282997</c:v>
                </c:pt>
                <c:pt idx="1192">
                  <c:v>0.593437930554028</c:v>
                </c:pt>
                <c:pt idx="1193">
                  <c:v>0.598542437309117</c:v>
                </c:pt>
                <c:pt idx="1194">
                  <c:v>0.599731948929038</c:v>
                </c:pt>
                <c:pt idx="1195">
                  <c:v>0.59621426031071</c:v>
                </c:pt>
                <c:pt idx="1196">
                  <c:v>0.602583181679604</c:v>
                </c:pt>
                <c:pt idx="1197">
                  <c:v>0.588305141409647</c:v>
                </c:pt>
                <c:pt idx="1198">
                  <c:v>0.589657536460494</c:v>
                </c:pt>
                <c:pt idx="1199">
                  <c:v>0.585501521254971</c:v>
                </c:pt>
                <c:pt idx="1200">
                  <c:v>0.586258933952572</c:v>
                </c:pt>
                <c:pt idx="1201">
                  <c:v>0.583884042100265</c:v>
                </c:pt>
                <c:pt idx="1202">
                  <c:v>0.591968124907089</c:v>
                </c:pt>
                <c:pt idx="1203">
                  <c:v>0.595411004451246</c:v>
                </c:pt>
                <c:pt idx="1204">
                  <c:v>0.594994182044663</c:v>
                </c:pt>
                <c:pt idx="1205">
                  <c:v>0.595772712069684</c:v>
                </c:pt>
                <c:pt idx="1206">
                  <c:v>0.602012295559204</c:v>
                </c:pt>
                <c:pt idx="1207">
                  <c:v>0.598466968079739</c:v>
                </c:pt>
                <c:pt idx="1208">
                  <c:v>0.596185136692727</c:v>
                </c:pt>
                <c:pt idx="1209">
                  <c:v>0.592223330920893</c:v>
                </c:pt>
                <c:pt idx="1210">
                  <c:v>0.588308767449099</c:v>
                </c:pt>
                <c:pt idx="1211">
                  <c:v>0.588570378230112</c:v>
                </c:pt>
                <c:pt idx="1212">
                  <c:v>0.580104781726313</c:v>
                </c:pt>
                <c:pt idx="1213">
                  <c:v>0.572206405554014</c:v>
                </c:pt>
                <c:pt idx="1214">
                  <c:v>0.566269406706774</c:v>
                </c:pt>
                <c:pt idx="1215">
                  <c:v>0.564134770028947</c:v>
                </c:pt>
                <c:pt idx="1216">
                  <c:v>0.594292142343398</c:v>
                </c:pt>
                <c:pt idx="1217">
                  <c:v>0.598660578867694</c:v>
                </c:pt>
                <c:pt idx="1218">
                  <c:v>0.612560917034637</c:v>
                </c:pt>
                <c:pt idx="1219">
                  <c:v>0.613607415883667</c:v>
                </c:pt>
                <c:pt idx="1220">
                  <c:v>0.61259217274097</c:v>
                </c:pt>
                <c:pt idx="1221">
                  <c:v>0.613346197339992</c:v>
                </c:pt>
                <c:pt idx="1222">
                  <c:v>0.621800494628027</c:v>
                </c:pt>
                <c:pt idx="1223">
                  <c:v>0.620390419809382</c:v>
                </c:pt>
                <c:pt idx="1224">
                  <c:v>0.624900688334042</c:v>
                </c:pt>
                <c:pt idx="1225">
                  <c:v>0.623699744443866</c:v>
                </c:pt>
                <c:pt idx="1226">
                  <c:v>0.630886769449362</c:v>
                </c:pt>
                <c:pt idx="1227">
                  <c:v>0.632735485241922</c:v>
                </c:pt>
                <c:pt idx="1228">
                  <c:v>0.633562600391628</c:v>
                </c:pt>
                <c:pt idx="1229">
                  <c:v>0.636649993600446</c:v>
                </c:pt>
                <c:pt idx="1230">
                  <c:v>0.634335211525591</c:v>
                </c:pt>
                <c:pt idx="1231">
                  <c:v>0.635790033285444</c:v>
                </c:pt>
                <c:pt idx="1232">
                  <c:v>0.634289300222006</c:v>
                </c:pt>
                <c:pt idx="1233">
                  <c:v>0.631873675756354</c:v>
                </c:pt>
                <c:pt idx="1234">
                  <c:v>0.632653217522129</c:v>
                </c:pt>
                <c:pt idx="1235">
                  <c:v>0.638455982106108</c:v>
                </c:pt>
                <c:pt idx="1236">
                  <c:v>0.640941523559679</c:v>
                </c:pt>
                <c:pt idx="1237">
                  <c:v>0.645522703489049</c:v>
                </c:pt>
                <c:pt idx="1238">
                  <c:v>0.645968629405704</c:v>
                </c:pt>
                <c:pt idx="1239">
                  <c:v>0.647133719652945</c:v>
                </c:pt>
                <c:pt idx="1240">
                  <c:v>0.647421054917142</c:v>
                </c:pt>
                <c:pt idx="1241">
                  <c:v>0.652638550190108</c:v>
                </c:pt>
                <c:pt idx="1242">
                  <c:v>0.646441094659668</c:v>
                </c:pt>
                <c:pt idx="1243">
                  <c:v>0.651080870174664</c:v>
                </c:pt>
                <c:pt idx="1244">
                  <c:v>0.650611445400285</c:v>
                </c:pt>
                <c:pt idx="1245">
                  <c:v>0.653231572575494</c:v>
                </c:pt>
                <c:pt idx="1246">
                  <c:v>0.656703372822319</c:v>
                </c:pt>
                <c:pt idx="1247">
                  <c:v>0.654786759647407</c:v>
                </c:pt>
                <c:pt idx="1248">
                  <c:v>0.6532913458794</c:v>
                </c:pt>
                <c:pt idx="1249">
                  <c:v>0.654666269287463</c:v>
                </c:pt>
                <c:pt idx="1250">
                  <c:v>0.65701552570948</c:v>
                </c:pt>
                <c:pt idx="1251">
                  <c:v>0.648884570026166</c:v>
                </c:pt>
                <c:pt idx="1252">
                  <c:v>0.648240281699623</c:v>
                </c:pt>
                <c:pt idx="1253">
                  <c:v>0.643392293129997</c:v>
                </c:pt>
                <c:pt idx="1254">
                  <c:v>0.654176348046729</c:v>
                </c:pt>
                <c:pt idx="1255">
                  <c:v>0.660977833675403</c:v>
                </c:pt>
                <c:pt idx="1256">
                  <c:v>0.661120762581315</c:v>
                </c:pt>
                <c:pt idx="1257">
                  <c:v>0.664426796957537</c:v>
                </c:pt>
                <c:pt idx="1258">
                  <c:v>0.662045869908481</c:v>
                </c:pt>
                <c:pt idx="1259">
                  <c:v>0.662351503978183</c:v>
                </c:pt>
                <c:pt idx="1260">
                  <c:v>0.665196160057121</c:v>
                </c:pt>
                <c:pt idx="1261">
                  <c:v>0.663833090693016</c:v>
                </c:pt>
                <c:pt idx="1262">
                  <c:v>0.666167922252576</c:v>
                </c:pt>
                <c:pt idx="1263">
                  <c:v>0.664789914969845</c:v>
                </c:pt>
                <c:pt idx="1264">
                  <c:v>0.666810443047902</c:v>
                </c:pt>
                <c:pt idx="1265">
                  <c:v>0.664032993286455</c:v>
                </c:pt>
                <c:pt idx="1266">
                  <c:v>0.668019728596113</c:v>
                </c:pt>
                <c:pt idx="1267">
                  <c:v>0.666504334322994</c:v>
                </c:pt>
                <c:pt idx="1268">
                  <c:v>0.67285217411207</c:v>
                </c:pt>
                <c:pt idx="1269">
                  <c:v>0.678264305564658</c:v>
                </c:pt>
                <c:pt idx="1270">
                  <c:v>0.678143010520156</c:v>
                </c:pt>
                <c:pt idx="1271">
                  <c:v>0.677883552191014</c:v>
                </c:pt>
                <c:pt idx="1272">
                  <c:v>0.673753254907508</c:v>
                </c:pt>
                <c:pt idx="1273">
                  <c:v>0.673580250269139</c:v>
                </c:pt>
                <c:pt idx="1274">
                  <c:v>0.674340947635802</c:v>
                </c:pt>
                <c:pt idx="1275">
                  <c:v>0.674756373876408</c:v>
                </c:pt>
                <c:pt idx="1276">
                  <c:v>0.68026972515855</c:v>
                </c:pt>
                <c:pt idx="1277">
                  <c:v>0.67958925302634</c:v>
                </c:pt>
                <c:pt idx="1278">
                  <c:v>0.680062662216893</c:v>
                </c:pt>
                <c:pt idx="1279">
                  <c:v>0.680485656289995</c:v>
                </c:pt>
                <c:pt idx="1280">
                  <c:v>0.683915158904909</c:v>
                </c:pt>
                <c:pt idx="1281">
                  <c:v>0.685980775693639</c:v>
                </c:pt>
                <c:pt idx="1282">
                  <c:v>0.688719878134138</c:v>
                </c:pt>
                <c:pt idx="1283">
                  <c:v>0.690345591257256</c:v>
                </c:pt>
                <c:pt idx="1284">
                  <c:v>0.691157756639177</c:v>
                </c:pt>
                <c:pt idx="1285">
                  <c:v>0.691057316785846</c:v>
                </c:pt>
                <c:pt idx="1286">
                  <c:v>0.691410662913016</c:v>
                </c:pt>
                <c:pt idx="1287">
                  <c:v>0.692318967978554</c:v>
                </c:pt>
                <c:pt idx="1288">
                  <c:v>0.690692699074093</c:v>
                </c:pt>
                <c:pt idx="1289">
                  <c:v>0.690260326858698</c:v>
                </c:pt>
                <c:pt idx="1290">
                  <c:v>0.691482762685432</c:v>
                </c:pt>
                <c:pt idx="1291">
                  <c:v>0.692295305377335</c:v>
                </c:pt>
                <c:pt idx="1292">
                  <c:v>0.689272019387712</c:v>
                </c:pt>
                <c:pt idx="1293">
                  <c:v>0.701511198644699</c:v>
                </c:pt>
                <c:pt idx="1294">
                  <c:v>0.69730664513351</c:v>
                </c:pt>
                <c:pt idx="1295">
                  <c:v>0.699462461808885</c:v>
                </c:pt>
                <c:pt idx="1296">
                  <c:v>0.697369802448082</c:v>
                </c:pt>
                <c:pt idx="1297">
                  <c:v>0.695481773518242</c:v>
                </c:pt>
                <c:pt idx="1298">
                  <c:v>0.693508896689975</c:v>
                </c:pt>
                <c:pt idx="1299">
                  <c:v>0.69378376385698</c:v>
                </c:pt>
                <c:pt idx="1300">
                  <c:v>0.698051793552918</c:v>
                </c:pt>
                <c:pt idx="1301">
                  <c:v>0.699089399857232</c:v>
                </c:pt>
                <c:pt idx="1302">
                  <c:v>0.69591922821501</c:v>
                </c:pt>
                <c:pt idx="1303">
                  <c:v>0.70420046641012</c:v>
                </c:pt>
                <c:pt idx="1304">
                  <c:v>0.704540615057314</c:v>
                </c:pt>
                <c:pt idx="1305">
                  <c:v>0.703688960985594</c:v>
                </c:pt>
                <c:pt idx="1306">
                  <c:v>0.702940953237475</c:v>
                </c:pt>
                <c:pt idx="1307">
                  <c:v>0.690096966134763</c:v>
                </c:pt>
                <c:pt idx="1308">
                  <c:v>0.692147645586968</c:v>
                </c:pt>
                <c:pt idx="1309">
                  <c:v>0.690809016334394</c:v>
                </c:pt>
                <c:pt idx="1310">
                  <c:v>0.690790977116238</c:v>
                </c:pt>
                <c:pt idx="1311">
                  <c:v>0.691389013125875</c:v>
                </c:pt>
                <c:pt idx="1312">
                  <c:v>0.700102663207586</c:v>
                </c:pt>
                <c:pt idx="1313">
                  <c:v>0.701747599117882</c:v>
                </c:pt>
                <c:pt idx="1314">
                  <c:v>0.704805669813852</c:v>
                </c:pt>
                <c:pt idx="1315">
                  <c:v>0.702856269400159</c:v>
                </c:pt>
                <c:pt idx="1316">
                  <c:v>0.702054195106493</c:v>
                </c:pt>
                <c:pt idx="1317">
                  <c:v>0.703487344618005</c:v>
                </c:pt>
                <c:pt idx="1318">
                  <c:v>0.69989160277764</c:v>
                </c:pt>
                <c:pt idx="1319">
                  <c:v>0.702747632248365</c:v>
                </c:pt>
                <c:pt idx="1320">
                  <c:v>0.70174764167115</c:v>
                </c:pt>
                <c:pt idx="1321">
                  <c:v>0.702327191052816</c:v>
                </c:pt>
                <c:pt idx="1322">
                  <c:v>0.700695355396203</c:v>
                </c:pt>
                <c:pt idx="1323">
                  <c:v>0.697212808297045</c:v>
                </c:pt>
                <c:pt idx="1324">
                  <c:v>0.689625565810728</c:v>
                </c:pt>
                <c:pt idx="1325">
                  <c:v>0.701433143955636</c:v>
                </c:pt>
                <c:pt idx="1326">
                  <c:v>0.699024610425261</c:v>
                </c:pt>
                <c:pt idx="1327">
                  <c:v>0.697134708697951</c:v>
                </c:pt>
                <c:pt idx="1328">
                  <c:v>0.706286525545067</c:v>
                </c:pt>
                <c:pt idx="1329">
                  <c:v>0.703503497600367</c:v>
                </c:pt>
                <c:pt idx="1330">
                  <c:v>0.717030122511473</c:v>
                </c:pt>
                <c:pt idx="1331">
                  <c:v>0.721883114752068</c:v>
                </c:pt>
                <c:pt idx="1332">
                  <c:v>0.721556996252022</c:v>
                </c:pt>
                <c:pt idx="1333">
                  <c:v>0.722410257606871</c:v>
                </c:pt>
                <c:pt idx="1334">
                  <c:v>0.721506962394652</c:v>
                </c:pt>
                <c:pt idx="1335">
                  <c:v>0.723879892574164</c:v>
                </c:pt>
                <c:pt idx="1336">
                  <c:v>0.724900581482134</c:v>
                </c:pt>
                <c:pt idx="1337">
                  <c:v>0.724208362360149</c:v>
                </c:pt>
                <c:pt idx="1338">
                  <c:v>0.725206962627662</c:v>
                </c:pt>
                <c:pt idx="1339">
                  <c:v>0.727852942461386</c:v>
                </c:pt>
                <c:pt idx="1340">
                  <c:v>0.729141691481959</c:v>
                </c:pt>
                <c:pt idx="1341">
                  <c:v>0.72904412058493</c:v>
                </c:pt>
                <c:pt idx="1342">
                  <c:v>0.729756936542594</c:v>
                </c:pt>
                <c:pt idx="1343">
                  <c:v>0.729107715410979</c:v>
                </c:pt>
                <c:pt idx="1344">
                  <c:v>0.728975661600814</c:v>
                </c:pt>
                <c:pt idx="1345">
                  <c:v>0.732199974470446</c:v>
                </c:pt>
                <c:pt idx="1346">
                  <c:v>0.732559011347522</c:v>
                </c:pt>
                <c:pt idx="1347">
                  <c:v>0.720467935970802</c:v>
                </c:pt>
                <c:pt idx="1348">
                  <c:v>0.725091846123856</c:v>
                </c:pt>
                <c:pt idx="1349">
                  <c:v>0.731155278555989</c:v>
                </c:pt>
                <c:pt idx="1350">
                  <c:v>0.734369094952817</c:v>
                </c:pt>
                <c:pt idx="1351">
                  <c:v>0.736650068037009</c:v>
                </c:pt>
                <c:pt idx="1352">
                  <c:v>0.739758589841187</c:v>
                </c:pt>
                <c:pt idx="1353">
                  <c:v>0.744319231268021</c:v>
                </c:pt>
                <c:pt idx="1354">
                  <c:v>0.744845961047385</c:v>
                </c:pt>
                <c:pt idx="1355">
                  <c:v>0.743765865072568</c:v>
                </c:pt>
                <c:pt idx="1356">
                  <c:v>0.744090272225825</c:v>
                </c:pt>
                <c:pt idx="1357">
                  <c:v>0.750634563979427</c:v>
                </c:pt>
                <c:pt idx="1358">
                  <c:v>0.753368654577635</c:v>
                </c:pt>
                <c:pt idx="1359">
                  <c:v>0.752425211481251</c:v>
                </c:pt>
                <c:pt idx="1360">
                  <c:v>0.750042012628289</c:v>
                </c:pt>
                <c:pt idx="1361">
                  <c:v>0.751266649818092</c:v>
                </c:pt>
                <c:pt idx="1362">
                  <c:v>0.752237647489554</c:v>
                </c:pt>
                <c:pt idx="1363">
                  <c:v>0.752066966167049</c:v>
                </c:pt>
                <c:pt idx="1364">
                  <c:v>0.751398463672043</c:v>
                </c:pt>
                <c:pt idx="1365">
                  <c:v>0.755632904421461</c:v>
                </c:pt>
                <c:pt idx="1366">
                  <c:v>0.755096872218699</c:v>
                </c:pt>
                <c:pt idx="1367">
                  <c:v>0.753546193485961</c:v>
                </c:pt>
                <c:pt idx="1368">
                  <c:v>0.754605754304241</c:v>
                </c:pt>
                <c:pt idx="1369">
                  <c:v>0.760456357332426</c:v>
                </c:pt>
                <c:pt idx="1370">
                  <c:v>0.756269102369089</c:v>
                </c:pt>
                <c:pt idx="1371">
                  <c:v>0.75601649693533</c:v>
                </c:pt>
                <c:pt idx="1372">
                  <c:v>0.756172505649938</c:v>
                </c:pt>
                <c:pt idx="1373">
                  <c:v>0.757777302858562</c:v>
                </c:pt>
                <c:pt idx="1374">
                  <c:v>0.758943849355853</c:v>
                </c:pt>
                <c:pt idx="1375">
                  <c:v>0.752294775392519</c:v>
                </c:pt>
                <c:pt idx="1376">
                  <c:v>0.759438981606492</c:v>
                </c:pt>
                <c:pt idx="1377">
                  <c:v>0.752279624848886</c:v>
                </c:pt>
                <c:pt idx="1378">
                  <c:v>0.75392433798824</c:v>
                </c:pt>
                <c:pt idx="1379">
                  <c:v>0.755931908152127</c:v>
                </c:pt>
                <c:pt idx="1380">
                  <c:v>0.757716834111832</c:v>
                </c:pt>
                <c:pt idx="1381">
                  <c:v>0.749806627685457</c:v>
                </c:pt>
                <c:pt idx="1382">
                  <c:v>0.756115457911689</c:v>
                </c:pt>
                <c:pt idx="1383">
                  <c:v>0.757877029422495</c:v>
                </c:pt>
                <c:pt idx="1384">
                  <c:v>0.757987753412931</c:v>
                </c:pt>
                <c:pt idx="1385">
                  <c:v>0.763235260883678</c:v>
                </c:pt>
                <c:pt idx="1386">
                  <c:v>0.764796416884821</c:v>
                </c:pt>
                <c:pt idx="1387">
                  <c:v>0.767227993535289</c:v>
                </c:pt>
                <c:pt idx="1388">
                  <c:v>0.767826772702642</c:v>
                </c:pt>
                <c:pt idx="1389">
                  <c:v>0.768416025309384</c:v>
                </c:pt>
                <c:pt idx="1390">
                  <c:v>0.770355105654005</c:v>
                </c:pt>
                <c:pt idx="1391">
                  <c:v>0.770536213815151</c:v>
                </c:pt>
                <c:pt idx="1392">
                  <c:v>0.770700993644486</c:v>
                </c:pt>
                <c:pt idx="1393">
                  <c:v>0.770952349151708</c:v>
                </c:pt>
                <c:pt idx="1394">
                  <c:v>0.771794506667904</c:v>
                </c:pt>
                <c:pt idx="1395">
                  <c:v>0.772005500055404</c:v>
                </c:pt>
                <c:pt idx="1396">
                  <c:v>0.771919131025907</c:v>
                </c:pt>
                <c:pt idx="1397">
                  <c:v>0.771727449481626</c:v>
                </c:pt>
                <c:pt idx="1398">
                  <c:v>0.772065221034506</c:v>
                </c:pt>
                <c:pt idx="1399">
                  <c:v>0.772749218572927</c:v>
                </c:pt>
                <c:pt idx="1400">
                  <c:v>0.772857614569622</c:v>
                </c:pt>
                <c:pt idx="1401">
                  <c:v>0.77263137794334</c:v>
                </c:pt>
                <c:pt idx="1402">
                  <c:v>0.773006912164751</c:v>
                </c:pt>
                <c:pt idx="1403">
                  <c:v>0.773462857697943</c:v>
                </c:pt>
                <c:pt idx="1404">
                  <c:v>0.769697331839458</c:v>
                </c:pt>
                <c:pt idx="1405">
                  <c:v>0.768601886968421</c:v>
                </c:pt>
                <c:pt idx="1406">
                  <c:v>0.746834410410313</c:v>
                </c:pt>
                <c:pt idx="1407">
                  <c:v>0.748685085491118</c:v>
                </c:pt>
                <c:pt idx="1408">
                  <c:v>0.765822341729187</c:v>
                </c:pt>
                <c:pt idx="1409">
                  <c:v>0.76615344591134</c:v>
                </c:pt>
                <c:pt idx="1410">
                  <c:v>0.768396166408001</c:v>
                </c:pt>
                <c:pt idx="1411">
                  <c:v>0.745813348746103</c:v>
                </c:pt>
                <c:pt idx="1412">
                  <c:v>0.744122158372536</c:v>
                </c:pt>
                <c:pt idx="1413">
                  <c:v>0.747536025701007</c:v>
                </c:pt>
                <c:pt idx="1414">
                  <c:v>0.762437060517976</c:v>
                </c:pt>
                <c:pt idx="1415">
                  <c:v>0.757017348864135</c:v>
                </c:pt>
                <c:pt idx="1416">
                  <c:v>0.75457587158843</c:v>
                </c:pt>
                <c:pt idx="1417">
                  <c:v>0.757746757237179</c:v>
                </c:pt>
                <c:pt idx="1418">
                  <c:v>0.759062539432032</c:v>
                </c:pt>
                <c:pt idx="1419">
                  <c:v>0.760368744499372</c:v>
                </c:pt>
                <c:pt idx="1420">
                  <c:v>0.765579531061314</c:v>
                </c:pt>
                <c:pt idx="1421">
                  <c:v>0.772697063013396</c:v>
                </c:pt>
                <c:pt idx="1422">
                  <c:v>0.775445688648958</c:v>
                </c:pt>
                <c:pt idx="1423">
                  <c:v>0.76600291390798</c:v>
                </c:pt>
                <c:pt idx="1424">
                  <c:v>0.770345521323189</c:v>
                </c:pt>
                <c:pt idx="1425">
                  <c:v>0.770529196662204</c:v>
                </c:pt>
                <c:pt idx="1426">
                  <c:v>0.768310279540536</c:v>
                </c:pt>
                <c:pt idx="1427">
                  <c:v>0.781552289678895</c:v>
                </c:pt>
                <c:pt idx="1428">
                  <c:v>0.785565170879366</c:v>
                </c:pt>
                <c:pt idx="1429">
                  <c:v>0.786996368874085</c:v>
                </c:pt>
                <c:pt idx="1430">
                  <c:v>0.786676112881568</c:v>
                </c:pt>
                <c:pt idx="1431">
                  <c:v>0.78896978556326</c:v>
                </c:pt>
                <c:pt idx="1432">
                  <c:v>0.791320127904144</c:v>
                </c:pt>
                <c:pt idx="1433">
                  <c:v>0.792657709141995</c:v>
                </c:pt>
                <c:pt idx="1434">
                  <c:v>0.793543494966019</c:v>
                </c:pt>
                <c:pt idx="1435">
                  <c:v>0.791598416992596</c:v>
                </c:pt>
                <c:pt idx="1436">
                  <c:v>0.792012271147812</c:v>
                </c:pt>
                <c:pt idx="1437">
                  <c:v>0.790534735359136</c:v>
                </c:pt>
                <c:pt idx="1438">
                  <c:v>0.790967541160769</c:v>
                </c:pt>
                <c:pt idx="1439">
                  <c:v>0.794484263585392</c:v>
                </c:pt>
                <c:pt idx="1440">
                  <c:v>0.795994892267034</c:v>
                </c:pt>
                <c:pt idx="1441">
                  <c:v>0.798933218738065</c:v>
                </c:pt>
                <c:pt idx="1442">
                  <c:v>0.802110799338466</c:v>
                </c:pt>
                <c:pt idx="1443">
                  <c:v>0.803487309390144</c:v>
                </c:pt>
                <c:pt idx="1444">
                  <c:v>0.804316870152705</c:v>
                </c:pt>
                <c:pt idx="1445">
                  <c:v>0.806688570639642</c:v>
                </c:pt>
                <c:pt idx="1446">
                  <c:v>0.806286365509634</c:v>
                </c:pt>
                <c:pt idx="1447">
                  <c:v>0.806199003969947</c:v>
                </c:pt>
                <c:pt idx="1448">
                  <c:v>0.807398603360632</c:v>
                </c:pt>
                <c:pt idx="1449">
                  <c:v>0.808176528279437</c:v>
                </c:pt>
                <c:pt idx="1450">
                  <c:v>0.807963163287171</c:v>
                </c:pt>
                <c:pt idx="1451">
                  <c:v>0.808529675455842</c:v>
                </c:pt>
                <c:pt idx="1452">
                  <c:v>0.809314259416446</c:v>
                </c:pt>
                <c:pt idx="1453">
                  <c:v>0.809579267386253</c:v>
                </c:pt>
                <c:pt idx="1454">
                  <c:v>0.809854760049508</c:v>
                </c:pt>
                <c:pt idx="1455">
                  <c:v>0.810010226482457</c:v>
                </c:pt>
                <c:pt idx="1456">
                  <c:v>0.815387222267505</c:v>
                </c:pt>
                <c:pt idx="1457">
                  <c:v>0.810491706626367</c:v>
                </c:pt>
                <c:pt idx="1458">
                  <c:v>0.812296819726426</c:v>
                </c:pt>
                <c:pt idx="1459">
                  <c:v>0.806906576863423</c:v>
                </c:pt>
                <c:pt idx="1460">
                  <c:v>0.808469426279981</c:v>
                </c:pt>
                <c:pt idx="1461">
                  <c:v>0.817643218507551</c:v>
                </c:pt>
                <c:pt idx="1462">
                  <c:v>0.814265545673387</c:v>
                </c:pt>
                <c:pt idx="1463">
                  <c:v>0.815800640390381</c:v>
                </c:pt>
                <c:pt idx="1464">
                  <c:v>0.81643349183731</c:v>
                </c:pt>
                <c:pt idx="1465">
                  <c:v>0.816290220114012</c:v>
                </c:pt>
                <c:pt idx="1466">
                  <c:v>0.819648427398567</c:v>
                </c:pt>
                <c:pt idx="1467">
                  <c:v>0.820718953287759</c:v>
                </c:pt>
                <c:pt idx="1468">
                  <c:v>0.820137594354667</c:v>
                </c:pt>
                <c:pt idx="1469">
                  <c:v>0.821203092089853</c:v>
                </c:pt>
                <c:pt idx="1470">
                  <c:v>0.817674981755828</c:v>
                </c:pt>
                <c:pt idx="1471">
                  <c:v>0.815696396758653</c:v>
                </c:pt>
                <c:pt idx="1472">
                  <c:v>0.817031580042497</c:v>
                </c:pt>
                <c:pt idx="1473">
                  <c:v>0.815213954621108</c:v>
                </c:pt>
                <c:pt idx="1474">
                  <c:v>0.808937166116641</c:v>
                </c:pt>
                <c:pt idx="1475">
                  <c:v>0.818477074226035</c:v>
                </c:pt>
                <c:pt idx="1476">
                  <c:v>0.816823828240311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28912752"/>
        <c:axId val="-339153488"/>
      </c:lineChart>
      <c:dateAx>
        <c:axId val="-428912752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crossAx val="-339153488"/>
        <c:crosses val="autoZero"/>
        <c:auto val="1"/>
        <c:lblOffset val="100"/>
        <c:baseTimeUnit val="days"/>
      </c:dateAx>
      <c:valAx>
        <c:axId val="-339153488"/>
        <c:scaling>
          <c:orientation val="minMax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crossAx val="-42891275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20320</xdr:colOff>
      <xdr:row>8</xdr:row>
      <xdr:rowOff>86359</xdr:rowOff>
    </xdr:from>
    <xdr:to>
      <xdr:col>38</xdr:col>
      <xdr:colOff>246149</xdr:colOff>
      <xdr:row>29</xdr:row>
      <xdr:rowOff>25399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5080</xdr:colOff>
      <xdr:row>37</xdr:row>
      <xdr:rowOff>30480</xdr:rowOff>
    </xdr:from>
    <xdr:to>
      <xdr:col>38</xdr:col>
      <xdr:colOff>254000</xdr:colOff>
      <xdr:row>58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P1486"/>
  <sheetViews>
    <sheetView tabSelected="1" zoomScale="125" workbookViewId="0">
      <pane xSplit="1" ySplit="5" topLeftCell="AB52" activePane="bottomRight" state="frozen"/>
      <selection pane="topRight" activeCell="B1" sqref="B1"/>
      <selection pane="bottomLeft" activeCell="A6" sqref="A6"/>
      <selection pane="bottomRight" activeCell="AC1" sqref="AC1"/>
    </sheetView>
  </sheetViews>
  <sheetFormatPr baseColWidth="10" defaultColWidth="8.83203125" defaultRowHeight="14" x14ac:dyDescent="0.15"/>
  <cols>
    <col min="1" max="1" width="11.6640625" style="7" customWidth="1"/>
    <col min="2" max="2" width="12.5" style="1" bestFit="1" customWidth="1"/>
    <col min="3" max="3" width="9.5" style="1" hidden="1" customWidth="1"/>
    <col min="4" max="4" width="11" style="1" hidden="1" customWidth="1"/>
    <col min="5" max="5" width="0" style="1" hidden="1" customWidth="1"/>
    <col min="6" max="7" width="9.6640625" style="1" bestFit="1" customWidth="1"/>
    <col min="8" max="8" width="12.83203125" style="1" bestFit="1" customWidth="1"/>
    <col min="9" max="9" width="13.6640625" style="1" bestFit="1" customWidth="1"/>
    <col min="10" max="10" width="17.5" style="1" bestFit="1" customWidth="1"/>
    <col min="11" max="11" width="15.5" style="1" bestFit="1" customWidth="1"/>
    <col min="12" max="12" width="26.83203125" style="1" bestFit="1" customWidth="1"/>
    <col min="13" max="14" width="15.5" style="1" bestFit="1" customWidth="1"/>
    <col min="15" max="15" width="16.5" style="1" bestFit="1" customWidth="1"/>
    <col min="16" max="16" width="13.6640625" style="1" bestFit="1" customWidth="1"/>
    <col min="17" max="17" width="24.5" style="1" bestFit="1" customWidth="1"/>
    <col min="18" max="19" width="12.83203125" style="1" bestFit="1" customWidth="1"/>
    <col min="20" max="20" width="14.33203125" style="1" bestFit="1" customWidth="1"/>
    <col min="21" max="21" width="16.1640625" style="1" customWidth="1"/>
    <col min="22" max="22" width="15.1640625" style="1" customWidth="1"/>
    <col min="23" max="23" width="18.1640625" style="1" bestFit="1" customWidth="1"/>
    <col min="24" max="24" width="9" style="1" bestFit="1" customWidth="1"/>
    <col min="25" max="25" width="12.6640625" style="1" customWidth="1"/>
    <col min="26" max="26" width="12.5" style="1" bestFit="1" customWidth="1"/>
    <col min="27" max="27" width="19.83203125" style="1" bestFit="1" customWidth="1"/>
    <col min="28" max="29" width="19.83203125" style="1" customWidth="1"/>
    <col min="30" max="39" width="8.83203125" style="1"/>
    <col min="40" max="40" width="15.1640625" style="1" bestFit="1" customWidth="1"/>
    <col min="41" max="41" width="16.1640625" style="1" bestFit="1" customWidth="1"/>
    <col min="42" max="42" width="12.5" style="1" bestFit="1" customWidth="1"/>
    <col min="43" max="16384" width="8.83203125" style="1"/>
  </cols>
  <sheetData>
    <row r="1" spans="1:42" x14ac:dyDescent="0.15">
      <c r="B1" s="1" t="s">
        <v>31</v>
      </c>
      <c r="Z1" s="20"/>
    </row>
    <row r="2" spans="1:42" ht="15" thickBot="1" x14ac:dyDescent="0.2">
      <c r="B2" s="13" t="s">
        <v>5</v>
      </c>
      <c r="C2" s="14"/>
      <c r="D2" s="14"/>
      <c r="E2" s="14"/>
      <c r="F2" s="31" t="s">
        <v>6</v>
      </c>
      <c r="G2" s="31"/>
      <c r="H2" s="14" t="s">
        <v>24</v>
      </c>
      <c r="I2" s="15" t="s">
        <v>25</v>
      </c>
      <c r="Z2" s="20"/>
      <c r="AA2" s="21"/>
    </row>
    <row r="3" spans="1:42" ht="15" thickTop="1" x14ac:dyDescent="0.15">
      <c r="B3" s="10">
        <f>91/365</f>
        <v>0.24931506849315069</v>
      </c>
      <c r="C3" s="11"/>
      <c r="D3" s="11"/>
      <c r="E3" s="11"/>
      <c r="F3" s="11" t="s">
        <v>7</v>
      </c>
      <c r="G3" s="11" t="s">
        <v>8</v>
      </c>
      <c r="H3" s="11">
        <v>1000000</v>
      </c>
      <c r="I3" s="12">
        <v>0.05</v>
      </c>
    </row>
    <row r="5" spans="1:42" s="6" customFormat="1" x14ac:dyDescent="0.15">
      <c r="A5" s="2" t="s">
        <v>0</v>
      </c>
      <c r="B5" s="2" t="s">
        <v>2</v>
      </c>
      <c r="C5" s="2" t="s">
        <v>3</v>
      </c>
      <c r="D5" s="2" t="s">
        <v>4</v>
      </c>
      <c r="E5" s="2" t="s">
        <v>1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26</v>
      </c>
      <c r="K5" s="2" t="s">
        <v>18</v>
      </c>
      <c r="L5" s="2" t="s">
        <v>27</v>
      </c>
      <c r="M5" s="2" t="s">
        <v>28</v>
      </c>
      <c r="N5" s="2" t="s">
        <v>19</v>
      </c>
      <c r="O5" s="2" t="s">
        <v>14</v>
      </c>
      <c r="P5" s="2" t="s">
        <v>20</v>
      </c>
      <c r="Q5" s="2" t="s">
        <v>29</v>
      </c>
      <c r="R5" s="2" t="s">
        <v>30</v>
      </c>
      <c r="S5" s="2" t="s">
        <v>22</v>
      </c>
      <c r="T5" s="2" t="s">
        <v>21</v>
      </c>
      <c r="U5" s="2" t="s">
        <v>15</v>
      </c>
      <c r="V5" s="2" t="s">
        <v>9</v>
      </c>
      <c r="W5" s="2" t="s">
        <v>16</v>
      </c>
      <c r="X5" s="2" t="s">
        <v>17</v>
      </c>
      <c r="Y5" s="2" t="s">
        <v>23</v>
      </c>
      <c r="Z5" s="6" t="s">
        <v>32</v>
      </c>
      <c r="AA5" s="6" t="s">
        <v>33</v>
      </c>
      <c r="AB5" s="6" t="s">
        <v>37</v>
      </c>
      <c r="AC5" s="6" t="s">
        <v>38</v>
      </c>
    </row>
    <row r="6" spans="1:42" x14ac:dyDescent="0.15">
      <c r="A6" s="8">
        <v>40911</v>
      </c>
      <c r="B6" s="4">
        <v>1277.06</v>
      </c>
      <c r="C6" s="1">
        <v>21.931899999999999</v>
      </c>
      <c r="D6" s="1">
        <v>2.25</v>
      </c>
      <c r="E6" s="1">
        <v>0.58899999999999997</v>
      </c>
      <c r="F6" s="4">
        <f>C6/100</f>
        <v>0.21931899999999999</v>
      </c>
      <c r="G6" s="4">
        <f>D6/100</f>
        <v>2.2499999999999999E-2</v>
      </c>
      <c r="H6" s="4">
        <f>E6/100</f>
        <v>5.8899999999999994E-3</v>
      </c>
      <c r="I6" s="3">
        <f>BSM_Put(B6,B6,F6,H6,G6,$B$3,$F$3)</f>
        <v>58.241824275306762</v>
      </c>
      <c r="J6" s="3">
        <f>H3</f>
        <v>1000000</v>
      </c>
      <c r="K6" s="1">
        <f>B6</f>
        <v>1277.06</v>
      </c>
      <c r="L6" s="5">
        <f>B3</f>
        <v>0.24931506849315069</v>
      </c>
      <c r="M6" s="5">
        <f>BSM_Put(B6,K6,F6,H6,G6,L6,$G$3)</f>
        <v>-0.490483385771877</v>
      </c>
      <c r="N6" s="5">
        <f>BSM_Put(B6,K6,F6,H6,G6,L6,$F$3)</f>
        <v>58.241824275306762</v>
      </c>
      <c r="O6" s="1">
        <f>IF(OR(M6&gt;-0.05,L6&lt;=0.00001),1,0)</f>
        <v>0</v>
      </c>
      <c r="P6" s="1">
        <f>IF(O6,B6,K6)</f>
        <v>1277.06</v>
      </c>
      <c r="Q6" s="5">
        <f>IF(O6,$B$3,L6)</f>
        <v>0.24931506849315069</v>
      </c>
      <c r="R6" s="5">
        <f>IF(O6,BSM_Put(B6,P6,F6,H6,G6,Q6,$G$3),M6)</f>
        <v>-0.490483385771877</v>
      </c>
      <c r="S6" s="5">
        <f>BSM_Put(B6,P6,F6,H6,G6,Q6,$F$3)</f>
        <v>58.241824275306762</v>
      </c>
      <c r="T6" s="5">
        <f>-J6/P6</f>
        <v>-783.04856467198101</v>
      </c>
      <c r="U6" s="4">
        <f>J6-T6*N6</f>
        <v>1045606.1769026567</v>
      </c>
      <c r="V6" s="4">
        <f>U6*$H$6*1/365</f>
        <v>16.872932553305883</v>
      </c>
      <c r="W6" s="4">
        <f>N6*T6+U6</f>
        <v>1000000</v>
      </c>
      <c r="X6" s="4">
        <v>0</v>
      </c>
      <c r="Y6" s="9">
        <f>SUM($X$6:X6)</f>
        <v>0</v>
      </c>
      <c r="Z6" s="16">
        <f>Y6/$H$3</f>
        <v>0</v>
      </c>
      <c r="AA6" s="1">
        <v>0</v>
      </c>
      <c r="AB6" s="1">
        <f>X6/W6</f>
        <v>0</v>
      </c>
      <c r="AC6" s="1">
        <f>0</f>
        <v>0</v>
      </c>
    </row>
    <row r="7" spans="1:42" x14ac:dyDescent="0.15">
      <c r="A7" s="8">
        <v>40912</v>
      </c>
      <c r="B7" s="4">
        <v>1277.3</v>
      </c>
      <c r="C7" s="19">
        <v>21.3246</v>
      </c>
      <c r="D7" s="19">
        <v>2.25</v>
      </c>
      <c r="E7" s="19">
        <v>0.5887</v>
      </c>
      <c r="F7" s="4">
        <f t="shared" ref="F7:F70" si="0">C7/100</f>
        <v>0.21324599999999999</v>
      </c>
      <c r="G7" s="4">
        <f t="shared" ref="G7:G70" si="1">D7/100</f>
        <v>2.2499999999999999E-2</v>
      </c>
      <c r="H7" s="4">
        <f t="shared" ref="H7:H70" si="2">E7/100</f>
        <v>5.8869999999999999E-3</v>
      </c>
      <c r="I7" s="3">
        <f>BSM_Put(B7,B7,F7,H7,G7,$B$3,$F$3)</f>
        <v>56.716928725103621</v>
      </c>
      <c r="J7" s="3">
        <f>U6</f>
        <v>1045606.1769026567</v>
      </c>
      <c r="K7" s="1">
        <f>P6</f>
        <v>1277.06</v>
      </c>
      <c r="L7" s="5">
        <f>Q6-(A7-A6)/365</f>
        <v>0.24657534246575344</v>
      </c>
      <c r="M7" s="5">
        <f>BSM_Put(B7,K7,F7,H7,G7,L7,$G$3)</f>
        <v>-0.49087242873365583</v>
      </c>
      <c r="N7" s="5">
        <f>BSM_Put(B7,K7,F7,H7,G7,L7,$F$3)</f>
        <v>56.263527405631308</v>
      </c>
      <c r="O7" s="1">
        <f>IF(OR(M7&gt;-0.05,L7&lt;=0.00001),1,0)</f>
        <v>0</v>
      </c>
      <c r="P7" s="1">
        <f>IF(O7,B7,K7)</f>
        <v>1277.06</v>
      </c>
      <c r="Q7" s="5">
        <f>IF(O7,$B$3,L7)</f>
        <v>0.24657534246575344</v>
      </c>
      <c r="R7" s="5">
        <f>IF(O7,BSM_Put(B7,P7,F7,H7,G7,Q7,$G$3),M7)</f>
        <v>-0.49087242873365583</v>
      </c>
      <c r="S7" s="5">
        <f t="shared" ref="S7:S70" si="3">BSM_Put(B7,P7,F7,H7,G7,Q7,$F$3)</f>
        <v>56.263527405631308</v>
      </c>
      <c r="T7" s="5">
        <f>IF(O7,-(J7+IF(L7&lt;=0.00001, MAX(K7-B7,0),N7)*T6)/P7,T6)</f>
        <v>-783.04856467198101</v>
      </c>
      <c r="U7" s="4">
        <f>IF(O7,(J7+IF(L7&lt;=0.00001, MAX(K7-B7,0),N7)*T6)-(S7*T7),U6)+V6</f>
        <v>1045623.04983521</v>
      </c>
      <c r="V7" s="4">
        <f>U7*$H$6*(A7-A6)/365</f>
        <v>16.873204831587358</v>
      </c>
      <c r="W7" s="4">
        <f>S7*T7+U7</f>
        <v>1001565.9754568477</v>
      </c>
      <c r="X7" s="4">
        <f>W7-W6</f>
        <v>1565.9754568476928</v>
      </c>
      <c r="Y7" s="9">
        <f>SUM($X$6:X7)</f>
        <v>1565.9754568476928</v>
      </c>
      <c r="Z7" s="16">
        <f t="shared" ref="Z7:Z16" si="4">Y7/$H$3</f>
        <v>1.5659754568476928E-3</v>
      </c>
      <c r="AA7" s="16">
        <f>(B7-$B$6)/$B$6</f>
        <v>1.8793165552128256E-4</v>
      </c>
      <c r="AB7" s="16">
        <f>X7/W6</f>
        <v>1.5659754568476928E-3</v>
      </c>
      <c r="AC7" s="16">
        <f>(B7-B6)/B6</f>
        <v>1.8793165552128256E-4</v>
      </c>
      <c r="AE7" s="17" t="s">
        <v>51</v>
      </c>
    </row>
    <row r="8" spans="1:42" x14ac:dyDescent="0.15">
      <c r="A8" s="8">
        <v>40913</v>
      </c>
      <c r="B8" s="4">
        <v>1281.06</v>
      </c>
      <c r="C8" s="1">
        <v>20.757300000000001</v>
      </c>
      <c r="D8" s="1">
        <v>2.25</v>
      </c>
      <c r="E8" s="1">
        <v>0.58889999999999998</v>
      </c>
      <c r="F8" s="4">
        <f t="shared" si="0"/>
        <v>0.20757300000000001</v>
      </c>
      <c r="G8" s="4">
        <f t="shared" si="1"/>
        <v>2.2499999999999999E-2</v>
      </c>
      <c r="H8" s="4">
        <f t="shared" si="2"/>
        <v>5.8890000000000001E-3</v>
      </c>
      <c r="I8" s="3">
        <f t="shared" ref="I8:I70" si="5">BSM_Put(B8,B8,F8,H8,G8,$B$3,$F$3)</f>
        <v>55.444106615116354</v>
      </c>
      <c r="J8" s="4">
        <f>U7</f>
        <v>1045623.04983521</v>
      </c>
      <c r="K8" s="1">
        <f>P7</f>
        <v>1277.06</v>
      </c>
      <c r="L8" s="5">
        <f>Q7-(A8-A7)/365</f>
        <v>0.24383561643835619</v>
      </c>
      <c r="M8" s="5">
        <f>BSM_Put(B8,K8,F8,H8,G8,L8,$G$3)</f>
        <v>-0.48050864239469082</v>
      </c>
      <c r="N8" s="5">
        <f>BSM_Put(B8,K8,F8,H8,G8,L8,$F$3)</f>
        <v>52.689069444465666</v>
      </c>
      <c r="O8" s="1">
        <f>IF(OR(M8&gt;-0.05,L8&lt;=0.00001),1,0)</f>
        <v>0</v>
      </c>
      <c r="P8" s="1">
        <f>IF(O8,B8,K8)</f>
        <v>1277.06</v>
      </c>
      <c r="Q8" s="5">
        <f>IF(O8,$B$3,L8)</f>
        <v>0.24383561643835619</v>
      </c>
      <c r="R8" s="5">
        <f>IF(O8,BSM_Put(B8,P8,F8,H8,G8,Q8,$G$3),M8)</f>
        <v>-0.48050864239469082</v>
      </c>
      <c r="S8" s="5">
        <f t="shared" si="3"/>
        <v>52.689069444465666</v>
      </c>
      <c r="T8" s="5">
        <f t="shared" ref="T8:T71" si="6">IF(O8,-(J8+IF(L8&lt;=0.00001, MAX(K8-B8,0),N8)*T7)/P8,T7)</f>
        <v>-783.04856467198101</v>
      </c>
      <c r="U8" s="4">
        <f t="shared" ref="U8:U71" si="7">IF(O8,(J8+IF(L8&lt;=0.00001, MAX(K8-B8,0),N8)*T7)-(S8*T8),U7)+V7</f>
        <v>1045639.9230400416</v>
      </c>
      <c r="V8" s="4">
        <f>U8*$H$6*(A8-A7)/365</f>
        <v>16.873477114262588</v>
      </c>
      <c r="W8" s="4">
        <f t="shared" ref="W8:W71" si="8">S8*T8+U8</f>
        <v>1004381.8228376504</v>
      </c>
      <c r="X8" s="4">
        <f>W8-W7</f>
        <v>2815.8473808027338</v>
      </c>
      <c r="Y8" s="9">
        <f>SUM($X$6:X8)</f>
        <v>4381.8228376504267</v>
      </c>
      <c r="Z8" s="16">
        <f t="shared" si="4"/>
        <v>4.3818228376504269E-3</v>
      </c>
      <c r="AA8" s="16">
        <f t="shared" ref="AA8:AA71" si="9">(B8-$B$6)/$B$6</f>
        <v>3.132194258687924E-3</v>
      </c>
      <c r="AB8" s="16">
        <f t="shared" ref="AB8:AB71" si="10">X8/W7</f>
        <v>2.8114447273614022E-3</v>
      </c>
      <c r="AC8" s="16">
        <f t="shared" ref="AC8:AC71" si="11">(B8-B7)/B7</f>
        <v>2.9437093869881712E-3</v>
      </c>
      <c r="AE8" s="17" t="s">
        <v>41</v>
      </c>
    </row>
    <row r="9" spans="1:42" x14ac:dyDescent="0.15">
      <c r="A9" s="8">
        <v>40914</v>
      </c>
      <c r="B9" s="4">
        <v>1277.81</v>
      </c>
      <c r="C9" s="1">
        <v>20.330500000000001</v>
      </c>
      <c r="D9" s="1">
        <v>2.25</v>
      </c>
      <c r="E9" s="1">
        <v>0.58799999999999997</v>
      </c>
      <c r="F9" s="4">
        <f t="shared" si="0"/>
        <v>0.20330500000000001</v>
      </c>
      <c r="G9" s="4">
        <f t="shared" si="1"/>
        <v>2.2499999999999999E-2</v>
      </c>
      <c r="H9" s="4">
        <f t="shared" si="2"/>
        <v>5.8799999999999998E-3</v>
      </c>
      <c r="I9" s="3">
        <f t="shared" si="5"/>
        <v>54.224761340774094</v>
      </c>
      <c r="J9" s="4">
        <f t="shared" ref="J9:J20" si="12">U8</f>
        <v>1045639.9230400416</v>
      </c>
      <c r="K9" s="1">
        <f t="shared" ref="K9:K20" si="13">P8</f>
        <v>1277.06</v>
      </c>
      <c r="L9" s="5">
        <f t="shared" ref="L9:L20" si="14">Q8-(A9-A8)/365</f>
        <v>0.24109589041095894</v>
      </c>
      <c r="M9" s="5">
        <f t="shared" ref="M9:M20" si="15">BSM_Put(B9,K9,F9,H9,G9,L9,$G$3)</f>
        <v>-0.49108390957700365</v>
      </c>
      <c r="N9" s="5">
        <f t="shared" ref="N9:N20" si="16">BSM_Put(B9,K9,F9,H9,G9,L9,$F$3)</f>
        <v>52.885408512230192</v>
      </c>
      <c r="O9" s="1">
        <f t="shared" ref="O9:O20" si="17">IF(OR(M9&gt;-0.05,L9&lt;=0.00001),1,0)</f>
        <v>0</v>
      </c>
      <c r="P9" s="1">
        <f t="shared" ref="P9:P20" si="18">IF(O9,B9,K9)</f>
        <v>1277.06</v>
      </c>
      <c r="Q9" s="5">
        <f t="shared" ref="Q9:Q20" si="19">IF(O9,$B$3,L9)</f>
        <v>0.24109589041095894</v>
      </c>
      <c r="R9" s="5">
        <f t="shared" ref="R9:R20" si="20">IF(O9,BSM_Put(B9,P9,F9,H9,G9,Q9,$G$3),M9)</f>
        <v>-0.49108390957700365</v>
      </c>
      <c r="S9" s="5">
        <f t="shared" si="3"/>
        <v>52.885408512230192</v>
      </c>
      <c r="T9" s="5">
        <f t="shared" si="6"/>
        <v>-783.04856467198101</v>
      </c>
      <c r="U9" s="4">
        <f t="shared" si="7"/>
        <v>1045656.7965171558</v>
      </c>
      <c r="V9" s="4">
        <f t="shared" ref="V9:V20" si="21">U9*$H$6*(A9-A8)/365</f>
        <v>16.873749401331636</v>
      </c>
      <c r="W9" s="4">
        <f t="shared" si="8"/>
        <v>1004244.9532895626</v>
      </c>
      <c r="X9" s="4">
        <f t="shared" ref="X9:X72" si="22">W9-W8</f>
        <v>-136.8695480878232</v>
      </c>
      <c r="Y9" s="9">
        <f>SUM($X$6:X9)</f>
        <v>4244.9532895626035</v>
      </c>
      <c r="Z9" s="16">
        <f t="shared" si="4"/>
        <v>4.2449532895626032E-3</v>
      </c>
      <c r="AA9" s="16">
        <f t="shared" si="9"/>
        <v>5.8728642350398569E-4</v>
      </c>
      <c r="AB9" s="16">
        <f t="shared" si="10"/>
        <v>-1.3627242645743E-4</v>
      </c>
      <c r="AC9" s="16">
        <f t="shared" si="11"/>
        <v>-2.5369615786926454E-3</v>
      </c>
    </row>
    <row r="10" spans="1:42" x14ac:dyDescent="0.15">
      <c r="A10" s="8">
        <v>40917</v>
      </c>
      <c r="B10" s="4">
        <v>1280.7</v>
      </c>
      <c r="C10" s="1">
        <v>20.274899999999999</v>
      </c>
      <c r="D10" s="1">
        <v>2.25</v>
      </c>
      <c r="E10" s="1">
        <v>0.58699999999999997</v>
      </c>
      <c r="F10" s="4">
        <f t="shared" si="0"/>
        <v>0.20274899999999998</v>
      </c>
      <c r="G10" s="4">
        <f t="shared" si="1"/>
        <v>2.2499999999999999E-2</v>
      </c>
      <c r="H10" s="4">
        <f t="shared" si="2"/>
        <v>5.8699999999999994E-3</v>
      </c>
      <c r="I10" s="3">
        <f t="shared" si="5"/>
        <v>54.208068654572685</v>
      </c>
      <c r="J10" s="4">
        <f t="shared" si="12"/>
        <v>1045656.7965171558</v>
      </c>
      <c r="K10" s="1">
        <f t="shared" si="13"/>
        <v>1277.06</v>
      </c>
      <c r="L10" s="5">
        <f t="shared" si="14"/>
        <v>0.23287671232876717</v>
      </c>
      <c r="M10" s="5">
        <f t="shared" si="15"/>
        <v>-0.48213985535106196</v>
      </c>
      <c r="N10" s="5">
        <f t="shared" si="16"/>
        <v>50.390954344653267</v>
      </c>
      <c r="O10" s="1">
        <f t="shared" si="17"/>
        <v>0</v>
      </c>
      <c r="P10" s="1">
        <f t="shared" si="18"/>
        <v>1277.06</v>
      </c>
      <c r="Q10" s="5">
        <f t="shared" si="19"/>
        <v>0.23287671232876717</v>
      </c>
      <c r="R10" s="5">
        <f t="shared" si="20"/>
        <v>-0.48213985535106196</v>
      </c>
      <c r="S10" s="5">
        <f t="shared" si="3"/>
        <v>50.390954344653267</v>
      </c>
      <c r="T10" s="5">
        <f t="shared" si="6"/>
        <v>-783.04856467198101</v>
      </c>
      <c r="U10" s="4">
        <f t="shared" si="7"/>
        <v>1045673.6702665571</v>
      </c>
      <c r="V10" s="4">
        <f t="shared" si="21"/>
        <v>50.622065078383734</v>
      </c>
      <c r="W10" s="4">
        <f t="shared" si="8"/>
        <v>1006215.1057945251</v>
      </c>
      <c r="X10" s="4">
        <f t="shared" si="22"/>
        <v>1970.1525049625197</v>
      </c>
      <c r="Y10" s="9">
        <f>SUM($X$6:X10)</f>
        <v>6215.1057945251232</v>
      </c>
      <c r="Z10" s="16">
        <f t="shared" si="4"/>
        <v>6.2151057945251231E-3</v>
      </c>
      <c r="AA10" s="16">
        <f t="shared" si="9"/>
        <v>2.8502967754060892E-3</v>
      </c>
      <c r="AB10" s="16">
        <f t="shared" si="10"/>
        <v>1.9618246509568952E-3</v>
      </c>
      <c r="AC10" s="16">
        <f t="shared" si="11"/>
        <v>2.261682096712422E-3</v>
      </c>
      <c r="AN10" s="17" t="s">
        <v>47</v>
      </c>
    </row>
    <row r="11" spans="1:42" x14ac:dyDescent="0.15">
      <c r="A11" s="8">
        <v>40918</v>
      </c>
      <c r="B11" s="4">
        <v>1292.08</v>
      </c>
      <c r="C11" s="1">
        <v>19.796800000000001</v>
      </c>
      <c r="D11" s="1">
        <v>2.23</v>
      </c>
      <c r="E11" s="1">
        <v>0.58589999999999998</v>
      </c>
      <c r="F11" s="4">
        <f t="shared" si="0"/>
        <v>0.19796800000000001</v>
      </c>
      <c r="G11" s="4">
        <f t="shared" si="1"/>
        <v>2.23E-2</v>
      </c>
      <c r="H11" s="4">
        <f t="shared" si="2"/>
        <v>5.8589999999999996E-3</v>
      </c>
      <c r="I11" s="3">
        <f t="shared" si="5"/>
        <v>53.436207544190736</v>
      </c>
      <c r="J11" s="4">
        <f t="shared" si="12"/>
        <v>1045673.6702665571</v>
      </c>
      <c r="K11" s="1">
        <f t="shared" si="13"/>
        <v>1277.06</v>
      </c>
      <c r="L11" s="5">
        <f t="shared" si="14"/>
        <v>0.23013698630136992</v>
      </c>
      <c r="M11" s="5">
        <f t="shared" si="15"/>
        <v>-0.44568758208476283</v>
      </c>
      <c r="N11" s="5">
        <f t="shared" si="16"/>
        <v>43.597848135188663</v>
      </c>
      <c r="O11" s="1">
        <f t="shared" si="17"/>
        <v>0</v>
      </c>
      <c r="P11" s="1">
        <f t="shared" si="18"/>
        <v>1277.06</v>
      </c>
      <c r="Q11" s="5">
        <f t="shared" si="19"/>
        <v>0.23013698630136992</v>
      </c>
      <c r="R11" s="5">
        <f t="shared" si="20"/>
        <v>-0.44568758208476283</v>
      </c>
      <c r="S11" s="5">
        <f t="shared" si="3"/>
        <v>43.597848135188663</v>
      </c>
      <c r="T11" s="5">
        <f t="shared" si="6"/>
        <v>-783.04856467198101</v>
      </c>
      <c r="U11" s="4">
        <f t="shared" si="7"/>
        <v>1045724.2923316355</v>
      </c>
      <c r="V11" s="4">
        <f t="shared" si="21"/>
        <v>16.874838580365296</v>
      </c>
      <c r="W11" s="4">
        <f t="shared" si="8"/>
        <v>1011585.059926589</v>
      </c>
      <c r="X11" s="4">
        <f t="shared" si="22"/>
        <v>5369.9541320638964</v>
      </c>
      <c r="Y11" s="9">
        <f>SUM($X$6:X11)</f>
        <v>11585.05992658902</v>
      </c>
      <c r="Z11" s="16">
        <f t="shared" si="4"/>
        <v>1.1585059926589019E-2</v>
      </c>
      <c r="AA11" s="16">
        <f t="shared" si="9"/>
        <v>1.176138944137314E-2</v>
      </c>
      <c r="AB11" s="16">
        <f t="shared" si="10"/>
        <v>5.3367854459148538E-3</v>
      </c>
      <c r="AC11" s="16">
        <f t="shared" si="11"/>
        <v>8.8857655969390818E-3</v>
      </c>
    </row>
    <row r="12" spans="1:42" ht="15" thickBot="1" x14ac:dyDescent="0.2">
      <c r="A12" s="8">
        <v>40919</v>
      </c>
      <c r="B12" s="4">
        <v>1292.48</v>
      </c>
      <c r="C12" s="1">
        <v>20.068999999999999</v>
      </c>
      <c r="D12" s="1">
        <v>2.23</v>
      </c>
      <c r="E12" s="1">
        <v>0.58289999999999997</v>
      </c>
      <c r="F12" s="4">
        <f t="shared" si="0"/>
        <v>0.20068999999999998</v>
      </c>
      <c r="G12" s="4">
        <f t="shared" si="1"/>
        <v>2.23E-2</v>
      </c>
      <c r="H12" s="4">
        <f t="shared" si="2"/>
        <v>5.829E-3</v>
      </c>
      <c r="I12" s="3">
        <f t="shared" si="5"/>
        <v>54.154819230908892</v>
      </c>
      <c r="J12" s="4">
        <f t="shared" si="12"/>
        <v>1045724.2923316355</v>
      </c>
      <c r="K12" s="1">
        <f t="shared" si="13"/>
        <v>1277.06</v>
      </c>
      <c r="L12" s="5">
        <f t="shared" si="14"/>
        <v>0.22739726027397267</v>
      </c>
      <c r="M12" s="5">
        <f t="shared" si="15"/>
        <v>-0.44439157548087382</v>
      </c>
      <c r="N12" s="5">
        <f t="shared" si="16"/>
        <v>43.770534414718668</v>
      </c>
      <c r="O12" s="1">
        <f t="shared" si="17"/>
        <v>0</v>
      </c>
      <c r="P12" s="1">
        <f t="shared" si="18"/>
        <v>1277.06</v>
      </c>
      <c r="Q12" s="5">
        <f t="shared" si="19"/>
        <v>0.22739726027397267</v>
      </c>
      <c r="R12" s="5">
        <f t="shared" si="20"/>
        <v>-0.44439157548087382</v>
      </c>
      <c r="S12" s="5">
        <f t="shared" si="3"/>
        <v>43.770534414718668</v>
      </c>
      <c r="T12" s="5">
        <f t="shared" si="6"/>
        <v>-783.04856467198101</v>
      </c>
      <c r="U12" s="4">
        <f t="shared" si="7"/>
        <v>1045741.1671702159</v>
      </c>
      <c r="V12" s="4">
        <f t="shared" si="21"/>
        <v>16.875110889404304</v>
      </c>
      <c r="W12" s="4">
        <f t="shared" si="8"/>
        <v>1011466.7130218449</v>
      </c>
      <c r="X12" s="4">
        <f t="shared" si="22"/>
        <v>-118.34690474416129</v>
      </c>
      <c r="Y12" s="9">
        <f>SUM($X$6:X12)</f>
        <v>11466.713021844858</v>
      </c>
      <c r="Z12" s="16">
        <f t="shared" si="4"/>
        <v>1.1466713021844859E-2</v>
      </c>
      <c r="AA12" s="16">
        <f t="shared" si="9"/>
        <v>1.2074608867242004E-2</v>
      </c>
      <c r="AB12" s="16">
        <f t="shared" si="10"/>
        <v>-1.1699155061933176E-4</v>
      </c>
      <c r="AC12" s="16">
        <f t="shared" si="11"/>
        <v>3.0957835428153902E-4</v>
      </c>
      <c r="AN12" s="28"/>
      <c r="AO12" s="18" t="s">
        <v>46</v>
      </c>
      <c r="AP12" s="15" t="s">
        <v>45</v>
      </c>
    </row>
    <row r="13" spans="1:42" ht="15" thickTop="1" x14ac:dyDescent="0.15">
      <c r="A13" s="8">
        <v>40920</v>
      </c>
      <c r="B13" s="4">
        <v>1295.5</v>
      </c>
      <c r="C13" s="1">
        <v>19.991900000000001</v>
      </c>
      <c r="D13" s="1">
        <v>2.23</v>
      </c>
      <c r="E13" s="1">
        <v>0.57779999999999998</v>
      </c>
      <c r="F13" s="4">
        <f t="shared" si="0"/>
        <v>0.19991900000000001</v>
      </c>
      <c r="G13" s="4">
        <f t="shared" si="1"/>
        <v>2.23E-2</v>
      </c>
      <c r="H13" s="4">
        <f t="shared" si="2"/>
        <v>5.7780000000000001E-3</v>
      </c>
      <c r="I13" s="3">
        <f t="shared" si="5"/>
        <v>54.092324649222654</v>
      </c>
      <c r="J13" s="4">
        <f t="shared" si="12"/>
        <v>1045741.1671702159</v>
      </c>
      <c r="K13" s="1">
        <f t="shared" si="13"/>
        <v>1277.06</v>
      </c>
      <c r="L13" s="5">
        <f t="shared" si="14"/>
        <v>0.22465753424657542</v>
      </c>
      <c r="M13" s="5">
        <f t="shared" si="15"/>
        <v>-0.43445535171037536</v>
      </c>
      <c r="N13" s="5">
        <f t="shared" si="16"/>
        <v>41.945961776587033</v>
      </c>
      <c r="O13" s="1">
        <f t="shared" si="17"/>
        <v>0</v>
      </c>
      <c r="P13" s="1">
        <f t="shared" si="18"/>
        <v>1277.06</v>
      </c>
      <c r="Q13" s="5">
        <f t="shared" si="19"/>
        <v>0.22465753424657542</v>
      </c>
      <c r="R13" s="5">
        <f t="shared" si="20"/>
        <v>-0.43445535171037536</v>
      </c>
      <c r="S13" s="5">
        <f t="shared" si="3"/>
        <v>41.945961776587033</v>
      </c>
      <c r="T13" s="5">
        <f t="shared" si="6"/>
        <v>-783.04856467198101</v>
      </c>
      <c r="U13" s="4">
        <f t="shared" si="7"/>
        <v>1045758.0422811053</v>
      </c>
      <c r="V13" s="4">
        <f t="shared" si="21"/>
        <v>16.875383202837561</v>
      </c>
      <c r="W13" s="4">
        <f t="shared" si="8"/>
        <v>1012912.317118163</v>
      </c>
      <c r="X13" s="4">
        <f t="shared" si="22"/>
        <v>1445.6040963181295</v>
      </c>
      <c r="Y13" s="9">
        <f>SUM($X$6:X13)</f>
        <v>12912.317118162988</v>
      </c>
      <c r="Z13" s="16">
        <f t="shared" si="4"/>
        <v>1.2912317118162988E-2</v>
      </c>
      <c r="AA13" s="16">
        <f t="shared" si="9"/>
        <v>1.4439415532551372E-2</v>
      </c>
      <c r="AB13" s="16">
        <f t="shared" si="10"/>
        <v>1.4292156901528289E-3</v>
      </c>
      <c r="AC13" s="16">
        <f t="shared" si="11"/>
        <v>2.3365932161425957E-3</v>
      </c>
      <c r="AN13" s="29" t="s">
        <v>36</v>
      </c>
      <c r="AO13" s="22">
        <f>AVERAGE(H6:H1486)</f>
        <v>5.3134503713706989E-3</v>
      </c>
      <c r="AP13" s="25"/>
    </row>
    <row r="14" spans="1:42" x14ac:dyDescent="0.15">
      <c r="A14" s="8">
        <v>40921</v>
      </c>
      <c r="B14" s="4">
        <v>1289.0899999999999</v>
      </c>
      <c r="C14" s="1">
        <v>20.828099999999999</v>
      </c>
      <c r="D14" s="1">
        <v>2.2400000000000002</v>
      </c>
      <c r="E14" s="1">
        <v>0.57330000000000003</v>
      </c>
      <c r="F14" s="4">
        <f t="shared" si="0"/>
        <v>0.20828099999999999</v>
      </c>
      <c r="G14" s="4">
        <f t="shared" si="1"/>
        <v>2.2400000000000003E-2</v>
      </c>
      <c r="H14" s="4">
        <f t="shared" si="2"/>
        <v>5.7330000000000002E-3</v>
      </c>
      <c r="I14" s="3">
        <f t="shared" si="5"/>
        <v>55.983456185464192</v>
      </c>
      <c r="J14" s="4">
        <f t="shared" si="12"/>
        <v>1045758.0422811053</v>
      </c>
      <c r="K14" s="1">
        <f t="shared" si="13"/>
        <v>1277.06</v>
      </c>
      <c r="L14" s="5">
        <f t="shared" si="14"/>
        <v>0.22191780821917817</v>
      </c>
      <c r="M14" s="5">
        <f t="shared" si="15"/>
        <v>-0.45515770397251804</v>
      </c>
      <c r="N14" s="5">
        <f t="shared" si="16"/>
        <v>46.499529972970286</v>
      </c>
      <c r="O14" s="1">
        <f t="shared" si="17"/>
        <v>0</v>
      </c>
      <c r="P14" s="1">
        <f t="shared" si="18"/>
        <v>1277.06</v>
      </c>
      <c r="Q14" s="5">
        <f t="shared" si="19"/>
        <v>0.22191780821917817</v>
      </c>
      <c r="R14" s="5">
        <f t="shared" si="20"/>
        <v>-0.45515770397251804</v>
      </c>
      <c r="S14" s="5">
        <f t="shared" si="3"/>
        <v>46.499529972970286</v>
      </c>
      <c r="T14" s="5">
        <f t="shared" si="6"/>
        <v>-783.04856467198101</v>
      </c>
      <c r="U14" s="4">
        <f t="shared" si="7"/>
        <v>1045774.9176643081</v>
      </c>
      <c r="V14" s="4">
        <f t="shared" si="21"/>
        <v>16.875655520665134</v>
      </c>
      <c r="W14" s="4">
        <f t="shared" si="8"/>
        <v>1009363.5274610519</v>
      </c>
      <c r="X14" s="4">
        <f t="shared" si="22"/>
        <v>-3548.7896571110468</v>
      </c>
      <c r="Y14" s="9">
        <f>SUM($X$6:X14)</f>
        <v>9363.5274610519409</v>
      </c>
      <c r="Z14" s="16">
        <f t="shared" si="4"/>
        <v>9.3635274610519414E-3</v>
      </c>
      <c r="AA14" s="16">
        <f t="shared" si="9"/>
        <v>9.4200742330039101E-3</v>
      </c>
      <c r="AB14" s="16">
        <f t="shared" si="10"/>
        <v>-3.5035506994403119E-3</v>
      </c>
      <c r="AC14" s="16">
        <f t="shared" si="11"/>
        <v>-4.9478965650328688E-3</v>
      </c>
      <c r="AN14" s="29" t="s">
        <v>39</v>
      </c>
      <c r="AO14" s="22">
        <f>AVERAGE(AB7:AB1486)*365</f>
        <v>0.15221177884045917</v>
      </c>
      <c r="AP14" s="23">
        <f>AVERAGE(AC7:AC1486)*365</f>
        <v>0.18399155483992732</v>
      </c>
    </row>
    <row r="15" spans="1:42" x14ac:dyDescent="0.15">
      <c r="A15" s="8">
        <v>40925</v>
      </c>
      <c r="B15" s="4">
        <v>1293.67</v>
      </c>
      <c r="C15" s="1">
        <v>20.6572</v>
      </c>
      <c r="D15" s="1">
        <v>2.23</v>
      </c>
      <c r="E15" s="1">
        <v>0.56850000000000001</v>
      </c>
      <c r="F15" s="4">
        <f t="shared" si="0"/>
        <v>0.20657200000000001</v>
      </c>
      <c r="G15" s="4">
        <f t="shared" si="1"/>
        <v>2.23E-2</v>
      </c>
      <c r="H15" s="4">
        <f t="shared" si="2"/>
        <v>5.6849999999999999E-3</v>
      </c>
      <c r="I15" s="3">
        <f t="shared" si="5"/>
        <v>55.736842630904206</v>
      </c>
      <c r="J15" s="4">
        <f t="shared" si="12"/>
        <v>1045774.9176643081</v>
      </c>
      <c r="K15" s="1">
        <f t="shared" si="13"/>
        <v>1277.06</v>
      </c>
      <c r="L15" s="5">
        <f t="shared" si="14"/>
        <v>0.21095890410958912</v>
      </c>
      <c r="M15" s="5">
        <f t="shared" si="15"/>
        <v>-0.4396124427935354</v>
      </c>
      <c r="N15" s="5">
        <f t="shared" si="16"/>
        <v>42.694603732635876</v>
      </c>
      <c r="O15" s="1">
        <f t="shared" si="17"/>
        <v>0</v>
      </c>
      <c r="P15" s="1">
        <f t="shared" si="18"/>
        <v>1277.06</v>
      </c>
      <c r="Q15" s="5">
        <f t="shared" si="19"/>
        <v>0.21095890410958912</v>
      </c>
      <c r="R15" s="5">
        <f t="shared" si="20"/>
        <v>-0.4396124427935354</v>
      </c>
      <c r="S15" s="5">
        <f t="shared" si="3"/>
        <v>42.694603732635876</v>
      </c>
      <c r="T15" s="5">
        <f t="shared" si="6"/>
        <v>-783.04856467198101</v>
      </c>
      <c r="U15" s="4">
        <f t="shared" si="7"/>
        <v>1045791.7933198288</v>
      </c>
      <c r="V15" s="4">
        <f t="shared" si="21"/>
        <v>67.503711371548391</v>
      </c>
      <c r="W15" s="4">
        <f t="shared" si="8"/>
        <v>1012359.8451477493</v>
      </c>
      <c r="X15" s="4">
        <f t="shared" si="22"/>
        <v>2996.3176866973517</v>
      </c>
      <c r="Y15" s="9">
        <f>SUM($X$6:X15)</f>
        <v>12359.845147749293</v>
      </c>
      <c r="Z15" s="16">
        <f t="shared" si="4"/>
        <v>1.2359845147749293E-2</v>
      </c>
      <c r="AA15" s="16">
        <f t="shared" si="9"/>
        <v>1.3006436659201703E-2</v>
      </c>
      <c r="AB15" s="16">
        <f t="shared" si="10"/>
        <v>2.9685218508283874E-3</v>
      </c>
      <c r="AC15" s="16">
        <f t="shared" si="11"/>
        <v>3.5528939018999099E-3</v>
      </c>
      <c r="AN15" s="29" t="s">
        <v>40</v>
      </c>
      <c r="AO15" s="24">
        <f>STDEV(AB7:AB1486)*SQRT(365)</f>
        <v>9.9241906099263824E-2</v>
      </c>
      <c r="AP15" s="25">
        <f>STDEV(AC7:AC1486)*SQRT(365)</f>
        <v>0.14577571708551512</v>
      </c>
    </row>
    <row r="16" spans="1:42" x14ac:dyDescent="0.15">
      <c r="A16" s="8">
        <v>40926</v>
      </c>
      <c r="B16" s="4">
        <v>1308.04</v>
      </c>
      <c r="C16" s="1">
        <v>19.706800000000001</v>
      </c>
      <c r="D16" s="1">
        <v>2.2000000000000002</v>
      </c>
      <c r="E16" s="1">
        <v>0.56740000000000002</v>
      </c>
      <c r="F16" s="4">
        <f t="shared" si="0"/>
        <v>0.19706800000000002</v>
      </c>
      <c r="G16" s="4">
        <f t="shared" si="1"/>
        <v>2.2000000000000002E-2</v>
      </c>
      <c r="H16" s="4">
        <f t="shared" si="2"/>
        <v>5.6740000000000002E-3</v>
      </c>
      <c r="I16" s="3">
        <f t="shared" si="5"/>
        <v>53.847015524554052</v>
      </c>
      <c r="J16" s="4">
        <f t="shared" si="12"/>
        <v>1045791.7933198288</v>
      </c>
      <c r="K16" s="1">
        <f t="shared" si="13"/>
        <v>1277.06</v>
      </c>
      <c r="L16" s="5">
        <f t="shared" si="14"/>
        <v>0.20821917808219187</v>
      </c>
      <c r="M16" s="5">
        <f t="shared" si="15"/>
        <v>-0.39036181447483398</v>
      </c>
      <c r="N16" s="5">
        <f t="shared" si="16"/>
        <v>34.168086365442186</v>
      </c>
      <c r="O16" s="1">
        <f t="shared" si="17"/>
        <v>0</v>
      </c>
      <c r="P16" s="1">
        <f t="shared" si="18"/>
        <v>1277.06</v>
      </c>
      <c r="Q16" s="5">
        <f t="shared" si="19"/>
        <v>0.20821917808219187</v>
      </c>
      <c r="R16" s="5">
        <f t="shared" si="20"/>
        <v>-0.39036181447483398</v>
      </c>
      <c r="S16" s="5">
        <f t="shared" si="3"/>
        <v>34.168086365442186</v>
      </c>
      <c r="T16" s="5">
        <f t="shared" si="6"/>
        <v>-783.04856467198101</v>
      </c>
      <c r="U16" s="4">
        <f t="shared" si="7"/>
        <v>1045859.2970312004</v>
      </c>
      <c r="V16" s="4">
        <f t="shared" si="21"/>
        <v>16.877017149352792</v>
      </c>
      <c r="W16" s="4">
        <f t="shared" si="8"/>
        <v>1019104.0260451526</v>
      </c>
      <c r="X16" s="4">
        <f t="shared" si="22"/>
        <v>6744.1808974032756</v>
      </c>
      <c r="Y16" s="9">
        <f>SUM($X$6:X16)</f>
        <v>19104.026045152568</v>
      </c>
      <c r="Z16" s="16">
        <f t="shared" si="4"/>
        <v>1.9104026045152569E-2</v>
      </c>
      <c r="AA16" s="16">
        <f t="shared" si="9"/>
        <v>2.4258844533537986E-2</v>
      </c>
      <c r="AB16" s="16">
        <f t="shared" si="10"/>
        <v>6.6618415672334312E-3</v>
      </c>
      <c r="AC16" s="16">
        <f t="shared" si="11"/>
        <v>1.1107933244181198E-2</v>
      </c>
      <c r="AN16" s="30" t="s">
        <v>35</v>
      </c>
      <c r="AO16" s="26">
        <f>(AO14-AO13)/AO15</f>
        <v>1.4802046256765533</v>
      </c>
      <c r="AP16" s="27">
        <f>(AP14-AO13)/AP15</f>
        <v>1.2257055430140005</v>
      </c>
    </row>
    <row r="17" spans="1:40" x14ac:dyDescent="0.15">
      <c r="A17" s="8">
        <v>40927</v>
      </c>
      <c r="B17" s="4">
        <v>1314.5</v>
      </c>
      <c r="C17" s="1">
        <v>19.177900000000001</v>
      </c>
      <c r="D17" s="1">
        <v>2.19</v>
      </c>
      <c r="E17" s="1">
        <v>0.56740000000000002</v>
      </c>
      <c r="F17" s="4">
        <f t="shared" si="0"/>
        <v>0.19177900000000001</v>
      </c>
      <c r="G17" s="4">
        <f t="shared" si="1"/>
        <v>2.1899999999999999E-2</v>
      </c>
      <c r="H17" s="4">
        <f t="shared" si="2"/>
        <v>5.6740000000000002E-3</v>
      </c>
      <c r="I17" s="3">
        <f t="shared" si="5"/>
        <v>52.719429306336394</v>
      </c>
      <c r="J17" s="4">
        <f t="shared" si="12"/>
        <v>1045859.2970312004</v>
      </c>
      <c r="K17" s="1">
        <f t="shared" si="13"/>
        <v>1277.06</v>
      </c>
      <c r="L17" s="5">
        <f t="shared" si="14"/>
        <v>0.20547945205479462</v>
      </c>
      <c r="M17" s="5">
        <f t="shared" si="15"/>
        <v>-0.36621636349623921</v>
      </c>
      <c r="N17" s="5">
        <f t="shared" si="16"/>
        <v>30.205408087450564</v>
      </c>
      <c r="O17" s="1">
        <f t="shared" si="17"/>
        <v>0</v>
      </c>
      <c r="P17" s="1">
        <f t="shared" si="18"/>
        <v>1277.06</v>
      </c>
      <c r="Q17" s="5">
        <f t="shared" si="19"/>
        <v>0.20547945205479462</v>
      </c>
      <c r="R17" s="5">
        <f t="shared" si="20"/>
        <v>-0.36621636349623921</v>
      </c>
      <c r="S17" s="5">
        <f t="shared" si="3"/>
        <v>30.205408087450564</v>
      </c>
      <c r="T17" s="5">
        <f t="shared" si="6"/>
        <v>-783.04856467198101</v>
      </c>
      <c r="U17" s="4">
        <f t="shared" si="7"/>
        <v>1045876.1740483497</v>
      </c>
      <c r="V17" s="4">
        <f t="shared" si="21"/>
        <v>16.877289493547341</v>
      </c>
      <c r="W17" s="4">
        <f t="shared" si="8"/>
        <v>1022223.8726001402</v>
      </c>
      <c r="X17" s="4">
        <f t="shared" si="22"/>
        <v>3119.8465549875982</v>
      </c>
      <c r="Y17" s="9">
        <f>SUM($X$6:X17)</f>
        <v>22223.872600140166</v>
      </c>
      <c r="Z17" s="16">
        <f>Y17/$H$3</f>
        <v>2.2223872600140165E-2</v>
      </c>
      <c r="AA17" s="16">
        <f t="shared" si="9"/>
        <v>2.931733826131901E-2</v>
      </c>
      <c r="AB17" s="16">
        <f t="shared" si="10"/>
        <v>3.0613622115642294E-3</v>
      </c>
      <c r="AC17" s="16">
        <f t="shared" si="11"/>
        <v>4.938686890309193E-3</v>
      </c>
    </row>
    <row r="18" spans="1:40" x14ac:dyDescent="0.15">
      <c r="A18" s="8">
        <v>40928</v>
      </c>
      <c r="B18" s="4">
        <v>1315.38</v>
      </c>
      <c r="C18" s="1">
        <v>18.612400000000001</v>
      </c>
      <c r="D18" s="1">
        <v>2.19</v>
      </c>
      <c r="E18" s="1">
        <v>0.56730000000000003</v>
      </c>
      <c r="F18" s="4">
        <f t="shared" si="0"/>
        <v>0.18612400000000001</v>
      </c>
      <c r="G18" s="4">
        <f t="shared" si="1"/>
        <v>2.1899999999999999E-2</v>
      </c>
      <c r="H18" s="4">
        <f t="shared" si="2"/>
        <v>5.6730000000000001E-3</v>
      </c>
      <c r="I18" s="3">
        <f t="shared" si="5"/>
        <v>51.281253404517564</v>
      </c>
      <c r="J18" s="4">
        <f t="shared" si="12"/>
        <v>1045876.1740483497</v>
      </c>
      <c r="K18" s="1">
        <f t="shared" si="13"/>
        <v>1277.06</v>
      </c>
      <c r="L18" s="5">
        <f t="shared" si="14"/>
        <v>0.20273972602739737</v>
      </c>
      <c r="M18" s="5">
        <f t="shared" si="15"/>
        <v>-0.35953426737937849</v>
      </c>
      <c r="N18" s="5">
        <f t="shared" si="16"/>
        <v>28.327040034422456</v>
      </c>
      <c r="O18" s="1">
        <f t="shared" si="17"/>
        <v>0</v>
      </c>
      <c r="P18" s="1">
        <f t="shared" si="18"/>
        <v>1277.06</v>
      </c>
      <c r="Q18" s="5">
        <f t="shared" si="19"/>
        <v>0.20273972602739737</v>
      </c>
      <c r="R18" s="5">
        <f t="shared" si="20"/>
        <v>-0.35953426737937849</v>
      </c>
      <c r="S18" s="5">
        <f t="shared" si="3"/>
        <v>28.327040034422456</v>
      </c>
      <c r="T18" s="5">
        <f t="shared" si="6"/>
        <v>-783.04856467198101</v>
      </c>
      <c r="U18" s="4">
        <f t="shared" si="7"/>
        <v>1045893.0513378433</v>
      </c>
      <c r="V18" s="4">
        <f t="shared" si="21"/>
        <v>16.877561842136704</v>
      </c>
      <c r="W18" s="4">
        <f t="shared" si="8"/>
        <v>1023711.6032974831</v>
      </c>
      <c r="X18" s="4">
        <f t="shared" si="22"/>
        <v>1487.7306973428931</v>
      </c>
      <c r="Y18" s="9">
        <f>SUM($X$6:X18)</f>
        <v>23711.60329748306</v>
      </c>
      <c r="Z18" s="16">
        <f t="shared" ref="Z18:Z81" si="23">Y18/$H$3</f>
        <v>2.371160329748306E-2</v>
      </c>
      <c r="AA18" s="16">
        <f t="shared" si="9"/>
        <v>3.0006420998230438E-2</v>
      </c>
      <c r="AB18" s="16">
        <f t="shared" si="10"/>
        <v>1.4553863759400223E-3</v>
      </c>
      <c r="AC18" s="16">
        <f t="shared" si="11"/>
        <v>6.6945606694568968E-4</v>
      </c>
      <c r="AN18" s="17" t="s">
        <v>48</v>
      </c>
    </row>
    <row r="19" spans="1:40" x14ac:dyDescent="0.15">
      <c r="A19" s="8">
        <v>40931</v>
      </c>
      <c r="B19" s="4">
        <v>1316</v>
      </c>
      <c r="C19" s="1">
        <v>18.153300000000002</v>
      </c>
      <c r="D19" s="1">
        <v>2.2000000000000002</v>
      </c>
      <c r="E19" s="1">
        <v>0.56630000000000003</v>
      </c>
      <c r="F19" s="4">
        <f t="shared" si="0"/>
        <v>0.18153300000000003</v>
      </c>
      <c r="G19" s="4">
        <f t="shared" si="1"/>
        <v>2.2000000000000002E-2</v>
      </c>
      <c r="H19" s="4">
        <f t="shared" si="2"/>
        <v>5.6630000000000005E-3</v>
      </c>
      <c r="I19" s="3">
        <f t="shared" si="5"/>
        <v>50.126540383486422</v>
      </c>
      <c r="J19" s="4">
        <f t="shared" si="12"/>
        <v>1045893.0513378433</v>
      </c>
      <c r="K19" s="1">
        <f t="shared" si="13"/>
        <v>1277.06</v>
      </c>
      <c r="L19" s="5">
        <f t="shared" si="14"/>
        <v>0.1945205479452056</v>
      </c>
      <c r="M19" s="5">
        <f t="shared" si="15"/>
        <v>-0.35213682146642877</v>
      </c>
      <c r="N19" s="5">
        <f t="shared" si="16"/>
        <v>26.226357833038222</v>
      </c>
      <c r="O19" s="1">
        <f t="shared" si="17"/>
        <v>0</v>
      </c>
      <c r="P19" s="1">
        <f t="shared" si="18"/>
        <v>1277.06</v>
      </c>
      <c r="Q19" s="5">
        <f t="shared" si="19"/>
        <v>0.1945205479452056</v>
      </c>
      <c r="R19" s="5">
        <f t="shared" si="20"/>
        <v>-0.35213682146642877</v>
      </c>
      <c r="S19" s="5">
        <f t="shared" si="3"/>
        <v>26.226357833038222</v>
      </c>
      <c r="T19" s="5">
        <f t="shared" si="6"/>
        <v>-783.04856467198101</v>
      </c>
      <c r="U19" s="4">
        <f t="shared" si="7"/>
        <v>1045909.9288996854</v>
      </c>
      <c r="V19" s="4">
        <f t="shared" si="21"/>
        <v>50.633502585362841</v>
      </c>
      <c r="W19" s="4">
        <f t="shared" si="8"/>
        <v>1025373.4170419511</v>
      </c>
      <c r="X19" s="4">
        <f t="shared" si="22"/>
        <v>1661.8137444680324</v>
      </c>
      <c r="Y19" s="9">
        <f>SUM($X$6:X19)</f>
        <v>25373.417041951092</v>
      </c>
      <c r="Z19" s="16">
        <f t="shared" si="23"/>
        <v>2.5373417041951091E-2</v>
      </c>
      <c r="AA19" s="16">
        <f t="shared" si="9"/>
        <v>3.0491911108326983E-2</v>
      </c>
      <c r="AB19" s="16">
        <f t="shared" si="10"/>
        <v>1.623322173076045E-3</v>
      </c>
      <c r="AC19" s="16">
        <f t="shared" si="11"/>
        <v>4.7134668308769392E-4</v>
      </c>
      <c r="AN19" s="17" t="s">
        <v>49</v>
      </c>
    </row>
    <row r="20" spans="1:40" x14ac:dyDescent="0.15">
      <c r="A20" s="8">
        <v>40932</v>
      </c>
      <c r="B20" s="4">
        <v>1314.65</v>
      </c>
      <c r="C20" s="1">
        <v>18.172799999999999</v>
      </c>
      <c r="D20" s="1">
        <v>2.2000000000000002</v>
      </c>
      <c r="E20" s="1">
        <v>0.56530000000000002</v>
      </c>
      <c r="F20" s="4">
        <f t="shared" si="0"/>
        <v>0.181728</v>
      </c>
      <c r="G20" s="4">
        <f t="shared" si="1"/>
        <v>2.2000000000000002E-2</v>
      </c>
      <c r="H20" s="4">
        <f t="shared" si="2"/>
        <v>5.653E-3</v>
      </c>
      <c r="I20" s="3">
        <f t="shared" si="5"/>
        <v>50.127659337301736</v>
      </c>
      <c r="J20" s="4">
        <f t="shared" si="12"/>
        <v>1045909.9288996854</v>
      </c>
      <c r="K20" s="1">
        <f t="shared" si="13"/>
        <v>1277.06</v>
      </c>
      <c r="L20" s="5">
        <f t="shared" si="14"/>
        <v>0.19178082191780835</v>
      </c>
      <c r="M20" s="5">
        <f t="shared" si="15"/>
        <v>-0.35608025188225878</v>
      </c>
      <c r="N20" s="5">
        <f t="shared" si="16"/>
        <v>26.450496288684672</v>
      </c>
      <c r="O20" s="1">
        <f t="shared" si="17"/>
        <v>0</v>
      </c>
      <c r="P20" s="1">
        <f t="shared" si="18"/>
        <v>1277.06</v>
      </c>
      <c r="Q20" s="5">
        <f t="shared" si="19"/>
        <v>0.19178082191780835</v>
      </c>
      <c r="R20" s="5">
        <f t="shared" si="20"/>
        <v>-0.35608025188225878</v>
      </c>
      <c r="S20" s="5">
        <f t="shared" si="3"/>
        <v>26.450496288684672</v>
      </c>
      <c r="T20" s="5">
        <f t="shared" si="6"/>
        <v>-783.04856467198101</v>
      </c>
      <c r="U20" s="4">
        <f t="shared" si="7"/>
        <v>1045960.5624022707</v>
      </c>
      <c r="V20" s="4">
        <f t="shared" si="21"/>
        <v>16.878651267258558</v>
      </c>
      <c r="W20" s="4">
        <f t="shared" si="8"/>
        <v>1025248.5392485546</v>
      </c>
      <c r="X20" s="4">
        <f t="shared" si="22"/>
        <v>-124.87779339647386</v>
      </c>
      <c r="Y20" s="9">
        <f>SUM($X$6:X20)</f>
        <v>25248.539248554618</v>
      </c>
      <c r="Z20" s="16">
        <f t="shared" si="23"/>
        <v>2.5248539248554618E-2</v>
      </c>
      <c r="AA20" s="16">
        <f t="shared" si="9"/>
        <v>2.9434795546019878E-2</v>
      </c>
      <c r="AB20" s="16">
        <f t="shared" si="10"/>
        <v>-1.2178762519193019E-4</v>
      </c>
      <c r="AC20" s="16">
        <f t="shared" si="11"/>
        <v>-1.0258358662613291E-3</v>
      </c>
    </row>
    <row r="21" spans="1:40" x14ac:dyDescent="0.15">
      <c r="A21" s="8">
        <v>40933</v>
      </c>
      <c r="B21" s="4">
        <v>1326.05</v>
      </c>
      <c r="C21" s="1">
        <v>17.339500000000001</v>
      </c>
      <c r="D21" s="1">
        <v>2.1800000000000002</v>
      </c>
      <c r="E21" s="1">
        <v>0.56279999999999997</v>
      </c>
      <c r="F21" s="4">
        <f t="shared" si="0"/>
        <v>0.17339500000000002</v>
      </c>
      <c r="G21" s="4">
        <f t="shared" si="1"/>
        <v>2.18E-2</v>
      </c>
      <c r="H21" s="4">
        <f t="shared" si="2"/>
        <v>5.6279999999999993E-3</v>
      </c>
      <c r="I21" s="3">
        <f t="shared" si="5"/>
        <v>48.344706810618383</v>
      </c>
      <c r="J21" s="4">
        <f>U20</f>
        <v>1045960.5624022707</v>
      </c>
      <c r="K21" s="1">
        <f>P20</f>
        <v>1277.06</v>
      </c>
      <c r="L21" s="5">
        <f>Q20-(A21-A20)/365</f>
        <v>0.1890410958904111</v>
      </c>
      <c r="M21" s="5">
        <f>BSM_Put(B21,K21,F21,H21,G21,L21,$G$3)</f>
        <v>-0.30850858238121115</v>
      </c>
      <c r="N21" s="5">
        <f>BSM_Put(B21,K21,F21,H21,G21,L21,$F$3)</f>
        <v>20.621923451654684</v>
      </c>
      <c r="O21" s="1">
        <f>IF(OR(M21&gt;-0.05,L21&lt;=0.00001),1,0)</f>
        <v>0</v>
      </c>
      <c r="P21" s="1">
        <f>IF(O21,B21,K21)</f>
        <v>1277.06</v>
      </c>
      <c r="Q21" s="5">
        <f>IF(O21,$B$3,L21)</f>
        <v>0.1890410958904111</v>
      </c>
      <c r="R21" s="5">
        <f>IF(O21,BSM_Put(B21,P21,F21,H21,G21,Q21,$G$3),M21)</f>
        <v>-0.30850858238121115</v>
      </c>
      <c r="S21" s="5">
        <f t="shared" si="3"/>
        <v>20.621923451654684</v>
      </c>
      <c r="T21" s="5">
        <f t="shared" si="6"/>
        <v>-783.04856467198101</v>
      </c>
      <c r="U21" s="4">
        <f t="shared" si="7"/>
        <v>1045977.441053538</v>
      </c>
      <c r="V21" s="4">
        <f>U21*$H$6*(A21-A20)/365</f>
        <v>16.878923637822844</v>
      </c>
      <c r="W21" s="4">
        <f t="shared" si="8"/>
        <v>1029829.4734939444</v>
      </c>
      <c r="X21" s="4">
        <f>W21-W20</f>
        <v>4580.9342453897698</v>
      </c>
      <c r="Y21" s="9">
        <f>SUM($X$6:X21)</f>
        <v>29829.473493944388</v>
      </c>
      <c r="Z21" s="16">
        <f t="shared" si="23"/>
        <v>2.9829473493944388E-2</v>
      </c>
      <c r="AA21" s="16">
        <f t="shared" si="9"/>
        <v>3.8361549183280358E-2</v>
      </c>
      <c r="AB21" s="16">
        <f t="shared" si="10"/>
        <v>4.4681207239244819E-3</v>
      </c>
      <c r="AC21" s="16">
        <f t="shared" si="11"/>
        <v>8.6715095272504941E-3</v>
      </c>
    </row>
    <row r="22" spans="1:40" x14ac:dyDescent="0.15">
      <c r="A22" s="8">
        <v>40934</v>
      </c>
      <c r="B22" s="4">
        <v>1318.43</v>
      </c>
      <c r="C22" s="1">
        <v>18.090499999999999</v>
      </c>
      <c r="D22" s="1">
        <v>2.2000000000000002</v>
      </c>
      <c r="E22" s="1">
        <v>0.55920000000000003</v>
      </c>
      <c r="F22" s="4">
        <f t="shared" si="0"/>
        <v>0.18090499999999998</v>
      </c>
      <c r="G22" s="4">
        <f t="shared" si="1"/>
        <v>2.2000000000000002E-2</v>
      </c>
      <c r="H22" s="4">
        <f t="shared" si="2"/>
        <v>5.5920000000000006E-3</v>
      </c>
      <c r="I22" s="3">
        <f t="shared" si="5"/>
        <v>50.067562470589635</v>
      </c>
      <c r="J22" s="4">
        <f t="shared" ref="J22:J30" si="24">U21</f>
        <v>1045977.441053538</v>
      </c>
      <c r="K22" s="1">
        <f t="shared" ref="K22:K30" si="25">P21</f>
        <v>1277.06</v>
      </c>
      <c r="L22" s="5">
        <f t="shared" ref="L22:L30" si="26">Q21-(A22-A21)/365</f>
        <v>0.18630136986301385</v>
      </c>
      <c r="M22" s="5">
        <f t="shared" ref="M22:M30" si="27">BSM_Put(B22,K22,F22,H22,G22,L22,$G$3)</f>
        <v>-0.34017050037709434</v>
      </c>
      <c r="N22" s="5">
        <f t="shared" ref="N22:N30" si="28">BSM_Put(B22,K22,F22,H22,G22,L22,$F$3)</f>
        <v>24.371457307086871</v>
      </c>
      <c r="O22" s="1">
        <f t="shared" ref="O22:O30" si="29">IF(OR(M22&gt;-0.05,L22&lt;=0.00001),1,0)</f>
        <v>0</v>
      </c>
      <c r="P22" s="1">
        <f t="shared" ref="P22:P30" si="30">IF(O22,B22,K22)</f>
        <v>1277.06</v>
      </c>
      <c r="Q22" s="5">
        <f t="shared" ref="Q22:Q30" si="31">IF(O22,$B$3,L22)</f>
        <v>0.18630136986301385</v>
      </c>
      <c r="R22" s="5">
        <f t="shared" ref="R22:R30" si="32">IF(O22,BSM_Put(B22,P22,F22,H22,G22,Q22,$G$3),M22)</f>
        <v>-0.34017050037709434</v>
      </c>
      <c r="S22" s="5">
        <f t="shared" si="3"/>
        <v>24.371457307086871</v>
      </c>
      <c r="T22" s="5">
        <f t="shared" si="6"/>
        <v>-783.04856467198101</v>
      </c>
      <c r="U22" s="4">
        <f t="shared" si="7"/>
        <v>1045994.3199771758</v>
      </c>
      <c r="V22" s="4">
        <f t="shared" ref="V22:V30" si="33">U22*$H$6*(A22-A21)/365</f>
        <v>16.879196012782369</v>
      </c>
      <c r="W22" s="4">
        <f t="shared" si="8"/>
        <v>1026910.285313897</v>
      </c>
      <c r="X22" s="4">
        <f t="shared" si="22"/>
        <v>-2919.1881800474366</v>
      </c>
      <c r="Y22" s="9">
        <f>SUM($X$6:X22)</f>
        <v>26910.285313896951</v>
      </c>
      <c r="Z22" s="16">
        <f t="shared" si="23"/>
        <v>2.6910285313896953E-2</v>
      </c>
      <c r="AA22" s="16">
        <f t="shared" si="9"/>
        <v>3.2394719120479948E-2</v>
      </c>
      <c r="AB22" s="16">
        <f t="shared" si="10"/>
        <v>-2.834632582560866E-3</v>
      </c>
      <c r="AC22" s="16">
        <f t="shared" si="11"/>
        <v>-5.7463896534820638E-3</v>
      </c>
    </row>
    <row r="23" spans="1:40" x14ac:dyDescent="0.15">
      <c r="A23" s="8">
        <v>40935</v>
      </c>
      <c r="B23" s="4">
        <v>1316.33</v>
      </c>
      <c r="C23" s="1">
        <v>17.521000000000001</v>
      </c>
      <c r="D23" s="1">
        <v>2.2000000000000002</v>
      </c>
      <c r="E23" s="1">
        <v>0.55110000000000003</v>
      </c>
      <c r="F23" s="4">
        <f t="shared" si="0"/>
        <v>0.17521</v>
      </c>
      <c r="G23" s="4">
        <f t="shared" si="1"/>
        <v>2.2000000000000002E-2</v>
      </c>
      <c r="H23" s="4">
        <f t="shared" si="2"/>
        <v>5.5110000000000003E-3</v>
      </c>
      <c r="I23" s="3">
        <f t="shared" si="5"/>
        <v>48.516930989063603</v>
      </c>
      <c r="J23" s="4">
        <f t="shared" si="24"/>
        <v>1045994.3199771758</v>
      </c>
      <c r="K23" s="1">
        <f t="shared" si="25"/>
        <v>1277.06</v>
      </c>
      <c r="L23" s="5">
        <f t="shared" si="26"/>
        <v>0.1835616438356166</v>
      </c>
      <c r="M23" s="5">
        <f t="shared" si="27"/>
        <v>-0.34294069604413113</v>
      </c>
      <c r="N23" s="5">
        <f t="shared" si="28"/>
        <v>23.621110442187458</v>
      </c>
      <c r="O23" s="1">
        <f t="shared" si="29"/>
        <v>0</v>
      </c>
      <c r="P23" s="1">
        <f t="shared" si="30"/>
        <v>1277.06</v>
      </c>
      <c r="Q23" s="5">
        <f t="shared" si="31"/>
        <v>0.1835616438356166</v>
      </c>
      <c r="R23" s="5">
        <f t="shared" si="32"/>
        <v>-0.34294069604413113</v>
      </c>
      <c r="S23" s="5">
        <f t="shared" si="3"/>
        <v>23.621110442187458</v>
      </c>
      <c r="T23" s="5">
        <f t="shared" si="6"/>
        <v>-783.04856467198101</v>
      </c>
      <c r="U23" s="4">
        <f t="shared" si="7"/>
        <v>1046011.1991731885</v>
      </c>
      <c r="V23" s="4">
        <f t="shared" si="33"/>
        <v>16.879468392137206</v>
      </c>
      <c r="W23" s="4">
        <f t="shared" si="8"/>
        <v>1027514.7225454753</v>
      </c>
      <c r="X23" s="4">
        <f t="shared" si="22"/>
        <v>604.4372315783985</v>
      </c>
      <c r="Y23" s="9">
        <f>SUM($X$6:X23)</f>
        <v>27514.72254547535</v>
      </c>
      <c r="Z23" s="16">
        <f t="shared" si="23"/>
        <v>2.7514722545475351E-2</v>
      </c>
      <c r="AA23" s="16">
        <f t="shared" si="9"/>
        <v>3.0750317134668678E-2</v>
      </c>
      <c r="AB23" s="16">
        <f t="shared" si="10"/>
        <v>5.8859789430742667E-4</v>
      </c>
      <c r="AC23" s="16">
        <f t="shared" si="11"/>
        <v>-1.5928035618122587E-3</v>
      </c>
    </row>
    <row r="24" spans="1:40" x14ac:dyDescent="0.15">
      <c r="A24" s="8">
        <v>40938</v>
      </c>
      <c r="B24" s="4">
        <v>1313.01</v>
      </c>
      <c r="C24" s="1">
        <v>18.1248</v>
      </c>
      <c r="D24" s="1">
        <v>2.21</v>
      </c>
      <c r="E24" s="1">
        <v>0.54690000000000005</v>
      </c>
      <c r="F24" s="4">
        <f t="shared" si="0"/>
        <v>0.18124799999999999</v>
      </c>
      <c r="G24" s="4">
        <f t="shared" si="1"/>
        <v>2.2099999999999998E-2</v>
      </c>
      <c r="H24" s="4">
        <f t="shared" si="2"/>
        <v>5.4690000000000008E-3</v>
      </c>
      <c r="I24" s="3">
        <f t="shared" si="5"/>
        <v>49.988797313026808</v>
      </c>
      <c r="J24" s="4">
        <f t="shared" si="24"/>
        <v>1046011.1991731885</v>
      </c>
      <c r="K24" s="1">
        <f t="shared" si="25"/>
        <v>1277.06</v>
      </c>
      <c r="L24" s="5">
        <f t="shared" si="26"/>
        <v>0.17534246575342483</v>
      </c>
      <c r="M24" s="5">
        <f t="shared" si="27"/>
        <v>-0.35605674944241017</v>
      </c>
      <c r="N24" s="5">
        <f t="shared" si="28"/>
        <v>25.134112903807893</v>
      </c>
      <c r="O24" s="1">
        <f t="shared" si="29"/>
        <v>0</v>
      </c>
      <c r="P24" s="1">
        <f t="shared" si="30"/>
        <v>1277.06</v>
      </c>
      <c r="Q24" s="5">
        <f t="shared" si="31"/>
        <v>0.17534246575342483</v>
      </c>
      <c r="R24" s="5">
        <f t="shared" si="32"/>
        <v>-0.35605674944241017</v>
      </c>
      <c r="S24" s="5">
        <f t="shared" si="3"/>
        <v>25.134112903807893</v>
      </c>
      <c r="T24" s="5">
        <f t="shared" si="6"/>
        <v>-783.04856467198101</v>
      </c>
      <c r="U24" s="4">
        <f t="shared" si="7"/>
        <v>1046028.0786415807</v>
      </c>
      <c r="V24" s="4">
        <f t="shared" si="33"/>
        <v>50.639222327662267</v>
      </c>
      <c r="W24" s="4">
        <f t="shared" si="8"/>
        <v>1026346.8476079503</v>
      </c>
      <c r="X24" s="4">
        <f t="shared" si="22"/>
        <v>-1167.874937525019</v>
      </c>
      <c r="Y24" s="9">
        <f>SUM($X$6:X24)</f>
        <v>26346.847607950331</v>
      </c>
      <c r="Z24" s="16">
        <f t="shared" si="23"/>
        <v>2.6346847607950332E-2</v>
      </c>
      <c r="AA24" s="16">
        <f t="shared" si="9"/>
        <v>2.8150595899957751E-2</v>
      </c>
      <c r="AB24" s="16">
        <f t="shared" si="10"/>
        <v>-1.1366016582534482E-3</v>
      </c>
      <c r="AC24" s="16">
        <f t="shared" si="11"/>
        <v>-2.5221638950718561E-3</v>
      </c>
    </row>
    <row r="25" spans="1:40" x14ac:dyDescent="0.15">
      <c r="A25" s="8">
        <v>40939</v>
      </c>
      <c r="B25" s="4">
        <v>1312.41</v>
      </c>
      <c r="C25" s="1">
        <v>18.196400000000001</v>
      </c>
      <c r="D25" s="1">
        <v>2.21</v>
      </c>
      <c r="E25" s="1">
        <v>0.5423</v>
      </c>
      <c r="F25" s="4">
        <f t="shared" si="0"/>
        <v>0.18196400000000001</v>
      </c>
      <c r="G25" s="4">
        <f t="shared" si="1"/>
        <v>2.2099999999999998E-2</v>
      </c>
      <c r="H25" s="4">
        <f t="shared" si="2"/>
        <v>5.4229999999999999E-3</v>
      </c>
      <c r="I25" s="3">
        <f t="shared" si="5"/>
        <v>50.160170002917489</v>
      </c>
      <c r="J25" s="4">
        <f t="shared" si="24"/>
        <v>1046028.0786415807</v>
      </c>
      <c r="K25" s="1">
        <f t="shared" si="25"/>
        <v>1277.06</v>
      </c>
      <c r="L25" s="5">
        <f t="shared" si="26"/>
        <v>0.17260273972602758</v>
      </c>
      <c r="M25" s="5">
        <f t="shared" si="27"/>
        <v>-0.35771826923301092</v>
      </c>
      <c r="N25" s="5">
        <f t="shared" si="28"/>
        <v>25.185746722521099</v>
      </c>
      <c r="O25" s="1">
        <f t="shared" si="29"/>
        <v>0</v>
      </c>
      <c r="P25" s="1">
        <f t="shared" si="30"/>
        <v>1277.06</v>
      </c>
      <c r="Q25" s="5">
        <f t="shared" si="31"/>
        <v>0.17260273972602758</v>
      </c>
      <c r="R25" s="5">
        <f t="shared" si="32"/>
        <v>-0.35771826923301092</v>
      </c>
      <c r="S25" s="5">
        <f t="shared" si="3"/>
        <v>25.185746722521099</v>
      </c>
      <c r="T25" s="5">
        <f t="shared" si="6"/>
        <v>-783.04856467198101</v>
      </c>
      <c r="U25" s="4">
        <f t="shared" si="7"/>
        <v>1046078.7178639083</v>
      </c>
      <c r="V25" s="4">
        <f t="shared" si="33"/>
        <v>16.880557940324437</v>
      </c>
      <c r="W25" s="4">
        <f t="shared" si="8"/>
        <v>1026357.0550426461</v>
      </c>
      <c r="X25" s="4">
        <f t="shared" si="22"/>
        <v>10.20743469579611</v>
      </c>
      <c r="Y25" s="9">
        <f>SUM($X$6:X25)</f>
        <v>26357.055042646127</v>
      </c>
      <c r="Z25" s="16">
        <f t="shared" si="23"/>
        <v>2.6357055042646127E-2</v>
      </c>
      <c r="AA25" s="16">
        <f t="shared" si="9"/>
        <v>2.7680766761154635E-2</v>
      </c>
      <c r="AB25" s="16">
        <f t="shared" si="10"/>
        <v>9.9454046354660812E-6</v>
      </c>
      <c r="AC25" s="16">
        <f t="shared" si="11"/>
        <v>-4.5696529348589047E-4</v>
      </c>
    </row>
    <row r="26" spans="1:40" x14ac:dyDescent="0.15">
      <c r="A26" s="8">
        <v>40940</v>
      </c>
      <c r="B26" s="4">
        <v>1324.09</v>
      </c>
      <c r="C26" s="1">
        <v>17.583400000000001</v>
      </c>
      <c r="D26" s="1">
        <v>2.2000000000000002</v>
      </c>
      <c r="E26" s="1">
        <v>0.53710000000000002</v>
      </c>
      <c r="F26" s="4">
        <f t="shared" si="0"/>
        <v>0.17583400000000002</v>
      </c>
      <c r="G26" s="4">
        <f t="shared" si="1"/>
        <v>2.2000000000000002E-2</v>
      </c>
      <c r="H26" s="4">
        <f t="shared" si="2"/>
        <v>5.3709999999999999E-3</v>
      </c>
      <c r="I26" s="3">
        <f t="shared" si="5"/>
        <v>48.991378005540398</v>
      </c>
      <c r="J26" s="4">
        <f t="shared" si="24"/>
        <v>1046078.7178639083</v>
      </c>
      <c r="K26" s="1">
        <f t="shared" si="25"/>
        <v>1277.06</v>
      </c>
      <c r="L26" s="5">
        <f t="shared" si="26"/>
        <v>0.16986301369863033</v>
      </c>
      <c r="M26" s="5">
        <f t="shared" si="27"/>
        <v>-0.30868697431132225</v>
      </c>
      <c r="N26" s="5">
        <f t="shared" si="28"/>
        <v>19.774894834027759</v>
      </c>
      <c r="O26" s="1">
        <f t="shared" si="29"/>
        <v>0</v>
      </c>
      <c r="P26" s="1">
        <f t="shared" si="30"/>
        <v>1277.06</v>
      </c>
      <c r="Q26" s="5">
        <f t="shared" si="31"/>
        <v>0.16986301369863033</v>
      </c>
      <c r="R26" s="5">
        <f t="shared" si="32"/>
        <v>-0.30868697431132225</v>
      </c>
      <c r="S26" s="5">
        <f t="shared" si="3"/>
        <v>19.774894834027759</v>
      </c>
      <c r="T26" s="5">
        <f t="shared" si="6"/>
        <v>-783.04856467198101</v>
      </c>
      <c r="U26" s="4">
        <f t="shared" si="7"/>
        <v>1046095.5984218486</v>
      </c>
      <c r="V26" s="4">
        <f t="shared" si="33"/>
        <v>16.880830341656679</v>
      </c>
      <c r="W26" s="4">
        <f t="shared" si="8"/>
        <v>1030610.8954055238</v>
      </c>
      <c r="X26" s="4">
        <f t="shared" si="22"/>
        <v>4253.8403628777014</v>
      </c>
      <c r="Y26" s="9">
        <f>SUM($X$6:X26)</f>
        <v>30610.895405523828</v>
      </c>
      <c r="Z26" s="16">
        <f t="shared" si="23"/>
        <v>3.0610895405523829E-2</v>
      </c>
      <c r="AA26" s="16">
        <f t="shared" si="9"/>
        <v>3.6826773996523246E-2</v>
      </c>
      <c r="AB26" s="16">
        <f t="shared" si="10"/>
        <v>4.1446008891135363E-3</v>
      </c>
      <c r="AC26" s="16">
        <f t="shared" si="11"/>
        <v>8.8996578813022118E-3</v>
      </c>
    </row>
    <row r="27" spans="1:40" x14ac:dyDescent="0.15">
      <c r="A27" s="8">
        <v>40941</v>
      </c>
      <c r="B27" s="4">
        <v>1325.54</v>
      </c>
      <c r="C27" s="1">
        <v>17.273099999999999</v>
      </c>
      <c r="D27" s="1">
        <v>2.2000000000000002</v>
      </c>
      <c r="E27" s="1">
        <v>0.53059999999999996</v>
      </c>
      <c r="F27" s="4">
        <f t="shared" si="0"/>
        <v>0.172731</v>
      </c>
      <c r="G27" s="4">
        <f t="shared" si="1"/>
        <v>2.2000000000000002E-2</v>
      </c>
      <c r="H27" s="4">
        <f t="shared" si="2"/>
        <v>5.306E-3</v>
      </c>
      <c r="I27" s="3">
        <f t="shared" si="5"/>
        <v>48.241693005795149</v>
      </c>
      <c r="J27" s="4">
        <f t="shared" si="24"/>
        <v>1046095.5984218486</v>
      </c>
      <c r="K27" s="1">
        <f t="shared" si="25"/>
        <v>1277.06</v>
      </c>
      <c r="L27" s="5">
        <f t="shared" si="26"/>
        <v>0.16712328767123308</v>
      </c>
      <c r="M27" s="5">
        <f t="shared" si="27"/>
        <v>-0.2992292170694214</v>
      </c>
      <c r="N27" s="5">
        <f t="shared" si="28"/>
        <v>18.462716994419257</v>
      </c>
      <c r="O27" s="1">
        <f t="shared" si="29"/>
        <v>0</v>
      </c>
      <c r="P27" s="1">
        <f t="shared" si="30"/>
        <v>1277.06</v>
      </c>
      <c r="Q27" s="5">
        <f t="shared" si="31"/>
        <v>0.16712328767123308</v>
      </c>
      <c r="R27" s="5">
        <f t="shared" si="32"/>
        <v>-0.2992292170694214</v>
      </c>
      <c r="S27" s="5">
        <f t="shared" si="3"/>
        <v>18.462716994419257</v>
      </c>
      <c r="T27" s="5">
        <f t="shared" si="6"/>
        <v>-783.04856467198101</v>
      </c>
      <c r="U27" s="4">
        <f t="shared" si="7"/>
        <v>1046112.4792521902</v>
      </c>
      <c r="V27" s="4">
        <f t="shared" si="33"/>
        <v>16.881102747384659</v>
      </c>
      <c r="W27" s="4">
        <f t="shared" si="8"/>
        <v>1031655.2752097652</v>
      </c>
      <c r="X27" s="4">
        <f t="shared" si="22"/>
        <v>1044.3798042413546</v>
      </c>
      <c r="Y27" s="9">
        <f>SUM($X$6:X27)</f>
        <v>31655.275209765183</v>
      </c>
      <c r="Z27" s="16">
        <f t="shared" si="23"/>
        <v>3.1655275209765181E-2</v>
      </c>
      <c r="AA27" s="16">
        <f t="shared" si="9"/>
        <v>3.7962194415297655E-2</v>
      </c>
      <c r="AB27" s="16">
        <f t="shared" si="10"/>
        <v>1.0133599488392881E-3</v>
      </c>
      <c r="AC27" s="16">
        <f t="shared" si="11"/>
        <v>1.0950917233723126E-3</v>
      </c>
    </row>
    <row r="28" spans="1:40" x14ac:dyDescent="0.15">
      <c r="A28" s="8">
        <v>40942</v>
      </c>
      <c r="B28" s="4">
        <v>1344.9</v>
      </c>
      <c r="C28" s="1">
        <v>16.518799999999999</v>
      </c>
      <c r="D28" s="1">
        <v>2.17</v>
      </c>
      <c r="E28" s="1">
        <v>0.52700000000000002</v>
      </c>
      <c r="F28" s="4">
        <f t="shared" si="0"/>
        <v>0.165188</v>
      </c>
      <c r="G28" s="4">
        <f t="shared" si="1"/>
        <v>2.1700000000000001E-2</v>
      </c>
      <c r="H28" s="4">
        <f t="shared" si="2"/>
        <v>5.2700000000000004E-3</v>
      </c>
      <c r="I28" s="3">
        <f t="shared" si="5"/>
        <v>46.892701507755142</v>
      </c>
      <c r="J28" s="4">
        <f t="shared" si="24"/>
        <v>1046112.4792521902</v>
      </c>
      <c r="K28" s="1">
        <f t="shared" si="25"/>
        <v>1277.06</v>
      </c>
      <c r="L28" s="5">
        <f t="shared" si="26"/>
        <v>0.16438356164383583</v>
      </c>
      <c r="M28" s="5">
        <f t="shared" si="27"/>
        <v>-0.22105356662828399</v>
      </c>
      <c r="N28" s="5">
        <f t="shared" si="28"/>
        <v>11.835039234275637</v>
      </c>
      <c r="O28" s="1">
        <f t="shared" si="29"/>
        <v>0</v>
      </c>
      <c r="P28" s="1">
        <f t="shared" si="30"/>
        <v>1277.06</v>
      </c>
      <c r="Q28" s="5">
        <f t="shared" si="31"/>
        <v>0.16438356164383583</v>
      </c>
      <c r="R28" s="5">
        <f t="shared" si="32"/>
        <v>-0.22105356662828399</v>
      </c>
      <c r="S28" s="5">
        <f t="shared" si="3"/>
        <v>11.835039234275637</v>
      </c>
      <c r="T28" s="5">
        <f t="shared" si="6"/>
        <v>-783.04856467198101</v>
      </c>
      <c r="U28" s="4">
        <f t="shared" si="7"/>
        <v>1046129.3603549376</v>
      </c>
      <c r="V28" s="4">
        <f t="shared" si="33"/>
        <v>16.881375157508444</v>
      </c>
      <c r="W28" s="4">
        <f t="shared" si="8"/>
        <v>1036861.9498697015</v>
      </c>
      <c r="X28" s="4">
        <f t="shared" si="22"/>
        <v>5206.6746599363396</v>
      </c>
      <c r="Y28" s="9">
        <f>SUM($X$6:X28)</f>
        <v>36861.949869701522</v>
      </c>
      <c r="Z28" s="16">
        <f t="shared" si="23"/>
        <v>3.6861949869701524E-2</v>
      </c>
      <c r="AA28" s="16">
        <f t="shared" si="9"/>
        <v>5.3122014627347301E-2</v>
      </c>
      <c r="AB28" s="16">
        <f t="shared" si="10"/>
        <v>5.0469132325986245E-3</v>
      </c>
      <c r="AC28" s="16">
        <f t="shared" si="11"/>
        <v>1.4605368378170502E-2</v>
      </c>
    </row>
    <row r="29" spans="1:40" x14ac:dyDescent="0.15">
      <c r="A29" s="8">
        <v>40945</v>
      </c>
      <c r="B29" s="4">
        <v>1344.33</v>
      </c>
      <c r="C29" s="1">
        <v>16.734500000000001</v>
      </c>
      <c r="D29" s="1">
        <v>2.17</v>
      </c>
      <c r="E29" s="1">
        <v>0.5232</v>
      </c>
      <c r="F29" s="4">
        <f t="shared" si="0"/>
        <v>0.16734499999999999</v>
      </c>
      <c r="G29" s="4">
        <f t="shared" si="1"/>
        <v>2.1700000000000001E-2</v>
      </c>
      <c r="H29" s="4">
        <f t="shared" si="2"/>
        <v>5.2319999999999997E-3</v>
      </c>
      <c r="I29" s="3">
        <f t="shared" si="5"/>
        <v>47.454130767172558</v>
      </c>
      <c r="J29" s="4">
        <f t="shared" si="24"/>
        <v>1046129.3603549376</v>
      </c>
      <c r="K29" s="1">
        <f t="shared" si="25"/>
        <v>1277.06</v>
      </c>
      <c r="L29" s="5">
        <f t="shared" si="26"/>
        <v>0.15616438356164405</v>
      </c>
      <c r="M29" s="5">
        <f t="shared" si="27"/>
        <v>-0.21977208568159715</v>
      </c>
      <c r="N29" s="5">
        <f t="shared" si="28"/>
        <v>11.587328657569586</v>
      </c>
      <c r="O29" s="1">
        <f t="shared" si="29"/>
        <v>0</v>
      </c>
      <c r="P29" s="1">
        <f t="shared" si="30"/>
        <v>1277.06</v>
      </c>
      <c r="Q29" s="5">
        <f t="shared" si="31"/>
        <v>0.15616438356164405</v>
      </c>
      <c r="R29" s="5">
        <f t="shared" si="32"/>
        <v>-0.21977208568159715</v>
      </c>
      <c r="S29" s="5">
        <f t="shared" si="3"/>
        <v>11.587328657569586</v>
      </c>
      <c r="T29" s="5">
        <f t="shared" si="6"/>
        <v>-783.04856467198101</v>
      </c>
      <c r="U29" s="4">
        <f t="shared" si="7"/>
        <v>1046146.2417300951</v>
      </c>
      <c r="V29" s="4">
        <f t="shared" si="33"/>
        <v>50.64494271608433</v>
      </c>
      <c r="W29" s="4">
        <f t="shared" si="8"/>
        <v>1037072.8006564027</v>
      </c>
      <c r="X29" s="4">
        <f t="shared" si="22"/>
        <v>210.85078670119401</v>
      </c>
      <c r="Y29" s="9">
        <f>SUM($X$6:X29)</f>
        <v>37072.800656402716</v>
      </c>
      <c r="Z29" s="16">
        <f t="shared" si="23"/>
        <v>3.707280065640272E-2</v>
      </c>
      <c r="AA29" s="16">
        <f t="shared" si="9"/>
        <v>5.2675676945484147E-2</v>
      </c>
      <c r="AB29" s="16">
        <f t="shared" si="10"/>
        <v>2.0335473466616343E-4</v>
      </c>
      <c r="AC29" s="16">
        <f t="shared" si="11"/>
        <v>-4.2382333258990531E-4</v>
      </c>
    </row>
    <row r="30" spans="1:40" x14ac:dyDescent="0.15">
      <c r="A30" s="8">
        <v>40946</v>
      </c>
      <c r="B30" s="4">
        <v>1347.05</v>
      </c>
      <c r="C30" s="1">
        <v>16.472799999999999</v>
      </c>
      <c r="D30" s="1">
        <v>2.17</v>
      </c>
      <c r="E30" s="1">
        <v>0.52</v>
      </c>
      <c r="F30" s="4">
        <f t="shared" si="0"/>
        <v>0.16472799999999999</v>
      </c>
      <c r="G30" s="4">
        <f t="shared" si="1"/>
        <v>2.1700000000000001E-2</v>
      </c>
      <c r="H30" s="4">
        <f t="shared" si="2"/>
        <v>5.1999999999999998E-3</v>
      </c>
      <c r="I30" s="3">
        <f t="shared" si="5"/>
        <v>46.857495220377494</v>
      </c>
      <c r="J30" s="4">
        <f t="shared" si="24"/>
        <v>1046146.2417300951</v>
      </c>
      <c r="K30" s="1">
        <f t="shared" si="25"/>
        <v>1277.06</v>
      </c>
      <c r="L30" s="5">
        <f t="shared" si="26"/>
        <v>0.15342465753424681</v>
      </c>
      <c r="M30" s="5">
        <f t="shared" si="27"/>
        <v>-0.20543336043576729</v>
      </c>
      <c r="N30" s="5">
        <f t="shared" si="28"/>
        <v>10.370612785962834</v>
      </c>
      <c r="O30" s="1">
        <f t="shared" si="29"/>
        <v>0</v>
      </c>
      <c r="P30" s="1">
        <f t="shared" si="30"/>
        <v>1277.06</v>
      </c>
      <c r="Q30" s="5">
        <f t="shared" si="31"/>
        <v>0.15342465753424681</v>
      </c>
      <c r="R30" s="5">
        <f t="shared" si="32"/>
        <v>-0.20543336043576729</v>
      </c>
      <c r="S30" s="5">
        <f t="shared" si="3"/>
        <v>10.370612785962834</v>
      </c>
      <c r="T30" s="5">
        <f t="shared" si="6"/>
        <v>-783.04856467198101</v>
      </c>
      <c r="U30" s="4">
        <f t="shared" si="7"/>
        <v>1046196.8866728112</v>
      </c>
      <c r="V30" s="4">
        <f t="shared" si="33"/>
        <v>16.882464828774953</v>
      </c>
      <c r="W30" s="4">
        <f t="shared" si="8"/>
        <v>1038076.1932159942</v>
      </c>
      <c r="X30" s="4">
        <f t="shared" si="22"/>
        <v>1003.3925595914479</v>
      </c>
      <c r="Y30" s="9">
        <f>SUM($X$6:X30)</f>
        <v>38076.193215994164</v>
      </c>
      <c r="Z30" s="16">
        <f t="shared" si="23"/>
        <v>3.8076193215994161E-2</v>
      </c>
      <c r="AA30" s="16">
        <f t="shared" si="9"/>
        <v>5.4805569041391958E-2</v>
      </c>
      <c r="AB30" s="16">
        <f t="shared" si="10"/>
        <v>9.675237446747834E-4</v>
      </c>
      <c r="AC30" s="16">
        <f t="shared" si="11"/>
        <v>2.023312728273584E-3</v>
      </c>
    </row>
    <row r="31" spans="1:40" x14ac:dyDescent="0.15">
      <c r="A31" s="8">
        <v>40947</v>
      </c>
      <c r="B31" s="4">
        <v>1349.96</v>
      </c>
      <c r="C31" s="1">
        <v>16.8276</v>
      </c>
      <c r="D31" s="1">
        <v>2.16</v>
      </c>
      <c r="E31" s="1">
        <v>0.51319999999999999</v>
      </c>
      <c r="F31" s="4">
        <f t="shared" si="0"/>
        <v>0.16827600000000001</v>
      </c>
      <c r="G31" s="4">
        <f t="shared" si="1"/>
        <v>2.1600000000000001E-2</v>
      </c>
      <c r="H31" s="4">
        <f t="shared" si="2"/>
        <v>5.1320000000000003E-3</v>
      </c>
      <c r="I31" s="3">
        <f t="shared" si="5"/>
        <v>47.90305817588758</v>
      </c>
      <c r="J31" s="4">
        <f>U30</f>
        <v>1046196.8866728112</v>
      </c>
      <c r="K31" s="1">
        <f>P30</f>
        <v>1277.06</v>
      </c>
      <c r="L31" s="5">
        <f>Q30-(A31-A30)/365</f>
        <v>0.15068493150684956</v>
      </c>
      <c r="M31" s="5">
        <f>BSM_Put(B31,K31,F31,H31,G31,L31,$G$3)</f>
        <v>-0.19853814243206636</v>
      </c>
      <c r="N31" s="5">
        <f>BSM_Put(B31,K31,F31,H31,G31,L31,$F$3)</f>
        <v>10.072383329409249</v>
      </c>
      <c r="O31" s="1">
        <f>IF(OR(M31&gt;-0.05,L31&lt;=0.00001),1,0)</f>
        <v>0</v>
      </c>
      <c r="P31" s="1">
        <f>IF(O31,B31,K31)</f>
        <v>1277.06</v>
      </c>
      <c r="Q31" s="5">
        <f>IF(O31,$B$3,L31)</f>
        <v>0.15068493150684956</v>
      </c>
      <c r="R31" s="5">
        <f>IF(O31,BSM_Put(B31,P31,F31,H31,G31,Q31,$G$3),M31)</f>
        <v>-0.19853814243206636</v>
      </c>
      <c r="S31" s="5">
        <f t="shared" si="3"/>
        <v>10.072383329409249</v>
      </c>
      <c r="T31" s="5">
        <f t="shared" si="6"/>
        <v>-783.04856467198101</v>
      </c>
      <c r="U31" s="4">
        <f t="shared" si="7"/>
        <v>1046213.76913764</v>
      </c>
      <c r="V31" s="4">
        <f>U31*$H$6*(A31-A30)/365</f>
        <v>16.882737260878628</v>
      </c>
      <c r="W31" s="4">
        <f t="shared" si="8"/>
        <v>1038326.6038287202</v>
      </c>
      <c r="X31" s="4">
        <f>W31-W30</f>
        <v>250.410612726002</v>
      </c>
      <c r="Y31" s="9">
        <f>SUM($X$6:X31)</f>
        <v>38326.603828720166</v>
      </c>
      <c r="Z31" s="16">
        <f t="shared" si="23"/>
        <v>3.832660382872017E-2</v>
      </c>
      <c r="AA31" s="16">
        <f t="shared" si="9"/>
        <v>5.7084240364587487E-2</v>
      </c>
      <c r="AB31" s="16">
        <f t="shared" si="10"/>
        <v>2.4122565796468338E-4</v>
      </c>
      <c r="AC31" s="16">
        <f t="shared" si="11"/>
        <v>2.1602761590142029E-3</v>
      </c>
    </row>
    <row r="32" spans="1:40" x14ac:dyDescent="0.15">
      <c r="A32" s="8">
        <v>40948</v>
      </c>
      <c r="B32" s="4">
        <v>1351.95</v>
      </c>
      <c r="C32" s="1">
        <v>17.202200000000001</v>
      </c>
      <c r="D32" s="1">
        <v>2.16</v>
      </c>
      <c r="E32" s="1">
        <v>0.51</v>
      </c>
      <c r="F32" s="4">
        <f t="shared" si="0"/>
        <v>0.17202200000000001</v>
      </c>
      <c r="G32" s="4">
        <f t="shared" si="1"/>
        <v>2.1600000000000001E-2</v>
      </c>
      <c r="H32" s="4">
        <f t="shared" si="2"/>
        <v>5.1000000000000004E-3</v>
      </c>
      <c r="I32" s="3">
        <f t="shared" si="5"/>
        <v>48.982831051152466</v>
      </c>
      <c r="J32" s="4">
        <f t="shared" ref="J32:J42" si="34">U31</f>
        <v>1046213.76913764</v>
      </c>
      <c r="K32" s="1">
        <f t="shared" ref="K32:K42" si="35">P31</f>
        <v>1277.06</v>
      </c>
      <c r="L32" s="5">
        <f t="shared" ref="L32:L42" si="36">Q31-(A32-A31)/365</f>
        <v>0.14794520547945231</v>
      </c>
      <c r="M32" s="5">
        <f t="shared" ref="M32:M42" si="37">BSM_Put(B32,K32,F32,H32,G32,L32,$G$3)</f>
        <v>-0.19496855020174117</v>
      </c>
      <c r="N32" s="5">
        <f t="shared" ref="N32:N42" si="38">BSM_Put(B32,K32,F32,H32,G32,L32,$F$3)</f>
        <v>9.9860919780405162</v>
      </c>
      <c r="O32" s="1">
        <f t="shared" ref="O32:O42" si="39">IF(OR(M32&gt;-0.05,L32&lt;=0.00001),1,0)</f>
        <v>0</v>
      </c>
      <c r="P32" s="1">
        <f t="shared" ref="P32:P42" si="40">IF(O32,B32,K32)</f>
        <v>1277.06</v>
      </c>
      <c r="Q32" s="5">
        <f t="shared" ref="Q32:Q42" si="41">IF(O32,$B$3,L32)</f>
        <v>0.14794520547945231</v>
      </c>
      <c r="R32" s="5">
        <f t="shared" ref="R32:R42" si="42">IF(O32,BSM_Put(B32,P32,F32,H32,G32,Q32,$G$3),M32)</f>
        <v>-0.19496855020174117</v>
      </c>
      <c r="S32" s="5">
        <f t="shared" si="3"/>
        <v>9.9860919780405162</v>
      </c>
      <c r="T32" s="5">
        <f t="shared" si="6"/>
        <v>-783.04856467198101</v>
      </c>
      <c r="U32" s="4">
        <f t="shared" si="7"/>
        <v>1046230.6518749009</v>
      </c>
      <c r="V32" s="4">
        <f t="shared" ref="V32:V42" si="43">U32*$H$6*(A32-A31)/365</f>
        <v>16.883009697378537</v>
      </c>
      <c r="W32" s="4">
        <f t="shared" si="8"/>
        <v>1038411.0568848139</v>
      </c>
      <c r="X32" s="4">
        <f t="shared" si="22"/>
        <v>84.453056093771011</v>
      </c>
      <c r="Y32" s="9">
        <f>SUM($X$6:X32)</f>
        <v>38411.056884813937</v>
      </c>
      <c r="Z32" s="16">
        <f t="shared" si="23"/>
        <v>3.8411056884813936E-2</v>
      </c>
      <c r="AA32" s="16">
        <f t="shared" si="9"/>
        <v>5.8642507008284737E-2</v>
      </c>
      <c r="AB32" s="16">
        <f t="shared" si="10"/>
        <v>8.1335733652936613E-5</v>
      </c>
      <c r="AC32" s="16">
        <f t="shared" si="11"/>
        <v>1.4741177516370922E-3</v>
      </c>
      <c r="AE32" s="17" t="s">
        <v>42</v>
      </c>
    </row>
    <row r="33" spans="1:31" x14ac:dyDescent="0.15">
      <c r="A33" s="8">
        <v>40949</v>
      </c>
      <c r="B33" s="4">
        <v>1342.64</v>
      </c>
      <c r="C33" s="1">
        <v>19.485700000000001</v>
      </c>
      <c r="D33" s="1">
        <v>2.1800000000000002</v>
      </c>
      <c r="E33" s="1">
        <v>0.50600000000000001</v>
      </c>
      <c r="F33" s="4">
        <f t="shared" si="0"/>
        <v>0.194857</v>
      </c>
      <c r="G33" s="4">
        <f t="shared" si="1"/>
        <v>2.18E-2</v>
      </c>
      <c r="H33" s="4">
        <f t="shared" si="2"/>
        <v>5.0600000000000003E-3</v>
      </c>
      <c r="I33" s="3">
        <f t="shared" si="5"/>
        <v>54.760227417811137</v>
      </c>
      <c r="J33" s="4">
        <f t="shared" si="34"/>
        <v>1046230.6518749009</v>
      </c>
      <c r="K33" s="1">
        <f t="shared" si="35"/>
        <v>1277.06</v>
      </c>
      <c r="L33" s="5">
        <f t="shared" si="36"/>
        <v>0.14520547945205506</v>
      </c>
      <c r="M33" s="5">
        <f t="shared" si="37"/>
        <v>-0.24784219314509423</v>
      </c>
      <c r="N33" s="5">
        <f t="shared" si="38"/>
        <v>15.2804481352953</v>
      </c>
      <c r="O33" s="1">
        <f t="shared" si="39"/>
        <v>0</v>
      </c>
      <c r="P33" s="1">
        <f t="shared" si="40"/>
        <v>1277.06</v>
      </c>
      <c r="Q33" s="5">
        <f t="shared" si="41"/>
        <v>0.14520547945205506</v>
      </c>
      <c r="R33" s="5">
        <f t="shared" si="42"/>
        <v>-0.24784219314509423</v>
      </c>
      <c r="S33" s="5">
        <f t="shared" si="3"/>
        <v>15.2804481352953</v>
      </c>
      <c r="T33" s="5">
        <f t="shared" si="6"/>
        <v>-783.04856467198101</v>
      </c>
      <c r="U33" s="4">
        <f t="shared" si="7"/>
        <v>1046247.5348845983</v>
      </c>
      <c r="V33" s="4">
        <f t="shared" si="43"/>
        <v>16.883282138274751</v>
      </c>
      <c r="W33" s="4">
        <f t="shared" si="8"/>
        <v>1034282.2019047107</v>
      </c>
      <c r="X33" s="4">
        <f t="shared" si="22"/>
        <v>-4128.8549801032059</v>
      </c>
      <c r="Y33" s="9">
        <f>SUM($X$6:X33)</f>
        <v>34282.201904710731</v>
      </c>
      <c r="Z33" s="16">
        <f t="shared" si="23"/>
        <v>3.4282201904710728E-2</v>
      </c>
      <c r="AA33" s="16">
        <f t="shared" si="9"/>
        <v>5.1352324871188633E-2</v>
      </c>
      <c r="AB33" s="16">
        <f t="shared" si="10"/>
        <v>-3.9761277123623699E-3</v>
      </c>
      <c r="AC33" s="16">
        <f t="shared" si="11"/>
        <v>-6.8863493472391324E-3</v>
      </c>
      <c r="AE33" s="17" t="s">
        <v>34</v>
      </c>
    </row>
    <row r="34" spans="1:31" x14ac:dyDescent="0.15">
      <c r="A34" s="8">
        <v>40952</v>
      </c>
      <c r="B34" s="4">
        <v>1351.77</v>
      </c>
      <c r="C34" s="1">
        <v>17.922000000000001</v>
      </c>
      <c r="D34" s="1">
        <v>2.16</v>
      </c>
      <c r="E34" s="1">
        <v>0.50260000000000005</v>
      </c>
      <c r="F34" s="4">
        <f t="shared" si="0"/>
        <v>0.17922000000000002</v>
      </c>
      <c r="G34" s="4">
        <f t="shared" si="1"/>
        <v>2.1600000000000001E-2</v>
      </c>
      <c r="H34" s="4">
        <f t="shared" si="2"/>
        <v>5.0260000000000001E-3</v>
      </c>
      <c r="I34" s="3">
        <f t="shared" si="5"/>
        <v>50.917446443520973</v>
      </c>
      <c r="J34" s="4">
        <f t="shared" si="34"/>
        <v>1046247.5348845983</v>
      </c>
      <c r="K34" s="1">
        <f t="shared" si="35"/>
        <v>1277.06</v>
      </c>
      <c r="L34" s="5">
        <f t="shared" si="36"/>
        <v>0.13698630136986328</v>
      </c>
      <c r="M34" s="5">
        <f t="shared" si="37"/>
        <v>-0.19540561882709279</v>
      </c>
      <c r="N34" s="5">
        <f t="shared" si="38"/>
        <v>10.038817663637207</v>
      </c>
      <c r="O34" s="1">
        <f t="shared" si="39"/>
        <v>0</v>
      </c>
      <c r="P34" s="1">
        <f t="shared" si="40"/>
        <v>1277.06</v>
      </c>
      <c r="Q34" s="5">
        <f t="shared" si="41"/>
        <v>0.13698630136986328</v>
      </c>
      <c r="R34" s="5">
        <f t="shared" si="42"/>
        <v>-0.19540561882709279</v>
      </c>
      <c r="S34" s="5">
        <f t="shared" si="3"/>
        <v>10.038817663637207</v>
      </c>
      <c r="T34" s="5">
        <f t="shared" si="6"/>
        <v>-783.04856467198101</v>
      </c>
      <c r="U34" s="4">
        <f t="shared" si="7"/>
        <v>1046264.4181667366</v>
      </c>
      <c r="V34" s="4">
        <f t="shared" si="43"/>
        <v>50.650663750702009</v>
      </c>
      <c r="W34" s="4">
        <f t="shared" si="8"/>
        <v>1038403.5364042218</v>
      </c>
      <c r="X34" s="4">
        <f t="shared" si="22"/>
        <v>4121.3344995110529</v>
      </c>
      <c r="Y34" s="9">
        <f>SUM($X$6:X34)</f>
        <v>38403.536404221784</v>
      </c>
      <c r="Z34" s="16">
        <f t="shared" si="23"/>
        <v>3.8403536404221783E-2</v>
      </c>
      <c r="AA34" s="16">
        <f t="shared" si="9"/>
        <v>5.850155826664373E-2</v>
      </c>
      <c r="AB34" s="16">
        <f t="shared" si="10"/>
        <v>3.9847292082579554E-3</v>
      </c>
      <c r="AC34" s="16">
        <f t="shared" si="11"/>
        <v>6.8000357504616879E-3</v>
      </c>
      <c r="AE34" s="17" t="s">
        <v>50</v>
      </c>
    </row>
    <row r="35" spans="1:31" x14ac:dyDescent="0.15">
      <c r="A35" s="8">
        <v>40953</v>
      </c>
      <c r="B35" s="4">
        <v>1350.5</v>
      </c>
      <c r="C35" s="1">
        <v>19.3154</v>
      </c>
      <c r="D35" s="1">
        <v>2.17</v>
      </c>
      <c r="E35" s="1">
        <v>0.49759999999999999</v>
      </c>
      <c r="F35" s="4">
        <f t="shared" si="0"/>
        <v>0.19315399999999999</v>
      </c>
      <c r="G35" s="4">
        <f t="shared" si="1"/>
        <v>2.1700000000000001E-2</v>
      </c>
      <c r="H35" s="4">
        <f t="shared" si="2"/>
        <v>4.9759999999999995E-3</v>
      </c>
      <c r="I35" s="3">
        <f t="shared" si="5"/>
        <v>54.62363158659074</v>
      </c>
      <c r="J35" s="4">
        <f t="shared" si="34"/>
        <v>1046264.4181667366</v>
      </c>
      <c r="K35" s="1">
        <f t="shared" si="35"/>
        <v>1277.06</v>
      </c>
      <c r="L35" s="5">
        <f t="shared" si="36"/>
        <v>0.13424657534246603</v>
      </c>
      <c r="M35" s="5">
        <f t="shared" si="37"/>
        <v>-0.2130531218411767</v>
      </c>
      <c r="N35" s="5">
        <f t="shared" si="38"/>
        <v>11.990055952909035</v>
      </c>
      <c r="O35" s="1">
        <f t="shared" si="39"/>
        <v>0</v>
      </c>
      <c r="P35" s="1">
        <f t="shared" si="40"/>
        <v>1277.06</v>
      </c>
      <c r="Q35" s="5">
        <f t="shared" si="41"/>
        <v>0.13424657534246603</v>
      </c>
      <c r="R35" s="5">
        <f t="shared" si="42"/>
        <v>-0.2130531218411767</v>
      </c>
      <c r="S35" s="5">
        <f t="shared" si="3"/>
        <v>11.990055952909035</v>
      </c>
      <c r="T35" s="5">
        <f t="shared" si="6"/>
        <v>-783.04856467198101</v>
      </c>
      <c r="U35" s="4">
        <f t="shared" si="7"/>
        <v>1046315.0688304873</v>
      </c>
      <c r="V35" s="4">
        <f t="shared" si="43"/>
        <v>16.884371932634437</v>
      </c>
      <c r="W35" s="4">
        <f t="shared" si="8"/>
        <v>1036926.2727262252</v>
      </c>
      <c r="X35" s="4">
        <f t="shared" si="22"/>
        <v>-1477.2636779965833</v>
      </c>
      <c r="Y35" s="9">
        <f>SUM($X$6:X35)</f>
        <v>36926.272726225201</v>
      </c>
      <c r="Z35" s="16">
        <f t="shared" si="23"/>
        <v>3.6926272726225201E-2</v>
      </c>
      <c r="AA35" s="16">
        <f t="shared" si="9"/>
        <v>5.7507086589510328E-2</v>
      </c>
      <c r="AB35" s="16">
        <f t="shared" si="10"/>
        <v>-1.4226296677609979E-3</v>
      </c>
      <c r="AC35" s="16">
        <f t="shared" si="11"/>
        <v>-9.3950894013033418E-4</v>
      </c>
      <c r="AE35" s="17" t="s">
        <v>43</v>
      </c>
    </row>
    <row r="36" spans="1:31" x14ac:dyDescent="0.15">
      <c r="A36" s="8">
        <v>40954</v>
      </c>
      <c r="B36" s="4">
        <v>1343.23</v>
      </c>
      <c r="C36" s="1">
        <v>19.5366</v>
      </c>
      <c r="D36" s="1">
        <v>2.1800000000000002</v>
      </c>
      <c r="E36" s="1">
        <v>0.49509999999999998</v>
      </c>
      <c r="F36" s="4">
        <f t="shared" si="0"/>
        <v>0.19536600000000001</v>
      </c>
      <c r="G36" s="4">
        <f t="shared" si="1"/>
        <v>2.18E-2</v>
      </c>
      <c r="H36" s="4">
        <f t="shared" si="2"/>
        <v>4.9509999999999997E-3</v>
      </c>
      <c r="I36" s="3">
        <f t="shared" si="5"/>
        <v>54.939303016070987</v>
      </c>
      <c r="J36" s="4">
        <f t="shared" si="34"/>
        <v>1046315.0688304873</v>
      </c>
      <c r="K36" s="1">
        <f t="shared" si="35"/>
        <v>1277.06</v>
      </c>
      <c r="L36" s="5">
        <f t="shared" si="36"/>
        <v>0.13150684931506879</v>
      </c>
      <c r="M36" s="5">
        <f t="shared" si="37"/>
        <v>-0.23595298084939317</v>
      </c>
      <c r="N36" s="5">
        <f t="shared" si="38"/>
        <v>13.643401809215176</v>
      </c>
      <c r="O36" s="1">
        <f t="shared" si="39"/>
        <v>0</v>
      </c>
      <c r="P36" s="1">
        <f t="shared" si="40"/>
        <v>1277.06</v>
      </c>
      <c r="Q36" s="5">
        <f t="shared" si="41"/>
        <v>0.13150684931506879</v>
      </c>
      <c r="R36" s="5">
        <f t="shared" si="42"/>
        <v>-0.23595298084939317</v>
      </c>
      <c r="S36" s="5">
        <f t="shared" si="3"/>
        <v>13.643401809215176</v>
      </c>
      <c r="T36" s="5">
        <f t="shared" si="6"/>
        <v>-783.04856467198101</v>
      </c>
      <c r="U36" s="4">
        <f t="shared" si="7"/>
        <v>1046331.9532024199</v>
      </c>
      <c r="V36" s="4">
        <f t="shared" si="43"/>
        <v>16.884644395513021</v>
      </c>
      <c r="W36" s="4">
        <f t="shared" si="8"/>
        <v>1035648.5069984709</v>
      </c>
      <c r="X36" s="4">
        <f t="shared" si="22"/>
        <v>-1277.7657277543331</v>
      </c>
      <c r="Y36" s="9">
        <f>SUM($X$6:X36)</f>
        <v>35648.506998470868</v>
      </c>
      <c r="Z36" s="16">
        <f t="shared" si="23"/>
        <v>3.5648506998470865E-2</v>
      </c>
      <c r="AA36" s="16">
        <f t="shared" si="9"/>
        <v>5.1814323524345042E-2</v>
      </c>
      <c r="AB36" s="16">
        <f t="shared" si="10"/>
        <v>-1.2322628535536158E-3</v>
      </c>
      <c r="AC36" s="16">
        <f t="shared" si="11"/>
        <v>-5.3831914105886575E-3</v>
      </c>
      <c r="AE36" s="17" t="s">
        <v>44</v>
      </c>
    </row>
    <row r="37" spans="1:31" x14ac:dyDescent="0.15">
      <c r="A37" s="8">
        <v>40955</v>
      </c>
      <c r="B37" s="4">
        <v>1358.04</v>
      </c>
      <c r="C37" s="1">
        <v>18.2072</v>
      </c>
      <c r="D37" s="1">
        <v>2.16</v>
      </c>
      <c r="E37" s="1">
        <v>0.49309999999999998</v>
      </c>
      <c r="F37" s="4">
        <f t="shared" si="0"/>
        <v>0.18207200000000001</v>
      </c>
      <c r="G37" s="4">
        <f t="shared" si="1"/>
        <v>2.1600000000000001E-2</v>
      </c>
      <c r="H37" s="4">
        <f t="shared" si="2"/>
        <v>4.9309999999999996E-3</v>
      </c>
      <c r="I37" s="3">
        <f t="shared" si="5"/>
        <v>51.938222526983395</v>
      </c>
      <c r="J37" s="4">
        <f t="shared" si="34"/>
        <v>1046331.9532024199</v>
      </c>
      <c r="K37" s="1">
        <f t="shared" si="35"/>
        <v>1277.06</v>
      </c>
      <c r="L37" s="5">
        <f t="shared" si="36"/>
        <v>0.12876712328767154</v>
      </c>
      <c r="M37" s="5">
        <f t="shared" si="37"/>
        <v>-0.17291149850601967</v>
      </c>
      <c r="N37" s="5">
        <f t="shared" si="38"/>
        <v>8.4952377123097591</v>
      </c>
      <c r="O37" s="1">
        <f t="shared" si="39"/>
        <v>0</v>
      </c>
      <c r="P37" s="1">
        <f t="shared" si="40"/>
        <v>1277.06</v>
      </c>
      <c r="Q37" s="5">
        <f t="shared" si="41"/>
        <v>0.12876712328767154</v>
      </c>
      <c r="R37" s="5">
        <f t="shared" si="42"/>
        <v>-0.17291149850601967</v>
      </c>
      <c r="S37" s="5">
        <f t="shared" si="3"/>
        <v>8.4952377123097591</v>
      </c>
      <c r="T37" s="5">
        <f t="shared" si="6"/>
        <v>-783.04856467198101</v>
      </c>
      <c r="U37" s="4">
        <f t="shared" si="7"/>
        <v>1046348.8378468155</v>
      </c>
      <c r="V37" s="4">
        <f t="shared" si="43"/>
        <v>16.884916862788334</v>
      </c>
      <c r="W37" s="4">
        <f t="shared" si="8"/>
        <v>1039696.6541496441</v>
      </c>
      <c r="X37" s="4">
        <f t="shared" si="22"/>
        <v>4048.1471511732088</v>
      </c>
      <c r="Y37" s="9">
        <f>SUM($X$6:X37)</f>
        <v>39696.654149644077</v>
      </c>
      <c r="Z37" s="16">
        <f t="shared" si="23"/>
        <v>3.969665414964408E-2</v>
      </c>
      <c r="AA37" s="16">
        <f t="shared" si="9"/>
        <v>6.3411272767137039E-2</v>
      </c>
      <c r="AB37" s="16">
        <f t="shared" si="10"/>
        <v>3.9088041201407204E-3</v>
      </c>
      <c r="AC37" s="16">
        <f t="shared" si="11"/>
        <v>1.1025662023629569E-2</v>
      </c>
    </row>
    <row r="38" spans="1:31" x14ac:dyDescent="0.15">
      <c r="A38" s="8">
        <v>40956</v>
      </c>
      <c r="B38" s="4">
        <v>1361.23</v>
      </c>
      <c r="C38" s="1">
        <v>17.705100000000002</v>
      </c>
      <c r="D38" s="1">
        <v>2.15</v>
      </c>
      <c r="E38" s="1">
        <v>0.49309999999999998</v>
      </c>
      <c r="F38" s="4">
        <f t="shared" si="0"/>
        <v>0.17705100000000001</v>
      </c>
      <c r="G38" s="4">
        <f t="shared" si="1"/>
        <v>2.1499999999999998E-2</v>
      </c>
      <c r="H38" s="4">
        <f t="shared" si="2"/>
        <v>4.9309999999999996E-3</v>
      </c>
      <c r="I38" s="3">
        <f t="shared" si="5"/>
        <v>50.68916060672683</v>
      </c>
      <c r="J38" s="4">
        <f t="shared" si="34"/>
        <v>1046348.8378468155</v>
      </c>
      <c r="K38" s="1">
        <f t="shared" si="35"/>
        <v>1277.06</v>
      </c>
      <c r="L38" s="5">
        <f t="shared" si="36"/>
        <v>0.12602739726027429</v>
      </c>
      <c r="M38" s="5">
        <f t="shared" si="37"/>
        <v>-0.15494070954057262</v>
      </c>
      <c r="N38" s="5">
        <f t="shared" si="38"/>
        <v>7.12646282213736</v>
      </c>
      <c r="O38" s="1">
        <f t="shared" si="39"/>
        <v>0</v>
      </c>
      <c r="P38" s="1">
        <f t="shared" si="40"/>
        <v>1277.06</v>
      </c>
      <c r="Q38" s="5">
        <f t="shared" si="41"/>
        <v>0.12602739726027429</v>
      </c>
      <c r="R38" s="5">
        <f t="shared" si="42"/>
        <v>-0.15494070954057262</v>
      </c>
      <c r="S38" s="5">
        <f t="shared" si="3"/>
        <v>7.12646282213736</v>
      </c>
      <c r="T38" s="5">
        <f t="shared" si="6"/>
        <v>-783.04856467198101</v>
      </c>
      <c r="U38" s="4">
        <f t="shared" si="7"/>
        <v>1046365.7227636783</v>
      </c>
      <c r="V38" s="4">
        <f t="shared" si="43"/>
        <v>16.885189334460449</v>
      </c>
      <c r="W38" s="4">
        <f t="shared" si="8"/>
        <v>1040785.3562796154</v>
      </c>
      <c r="X38" s="4">
        <f t="shared" si="22"/>
        <v>1088.7021299713524</v>
      </c>
      <c r="Y38" s="9">
        <f>SUM($X$6:X38)</f>
        <v>40785.356279615429</v>
      </c>
      <c r="Z38" s="16">
        <f t="shared" si="23"/>
        <v>4.078535627961543E-2</v>
      </c>
      <c r="AA38" s="16">
        <f t="shared" si="9"/>
        <v>6.5909197688440696E-2</v>
      </c>
      <c r="AB38" s="16">
        <f t="shared" si="10"/>
        <v>1.0471343979285856E-3</v>
      </c>
      <c r="AC38" s="16">
        <f t="shared" si="11"/>
        <v>2.3489735206621708E-3</v>
      </c>
    </row>
    <row r="39" spans="1:31" x14ac:dyDescent="0.15">
      <c r="A39" s="8">
        <v>40960</v>
      </c>
      <c r="B39" s="4">
        <v>1362.21</v>
      </c>
      <c r="C39" s="1">
        <v>17.901399999999999</v>
      </c>
      <c r="D39" s="1">
        <v>2.15</v>
      </c>
      <c r="E39" s="1">
        <v>0.49259999999999998</v>
      </c>
      <c r="F39" s="4">
        <f t="shared" si="0"/>
        <v>0.17901399999999998</v>
      </c>
      <c r="G39" s="4">
        <f t="shared" si="1"/>
        <v>2.1499999999999998E-2</v>
      </c>
      <c r="H39" s="4">
        <f t="shared" si="2"/>
        <v>4.9259999999999998E-3</v>
      </c>
      <c r="I39" s="3">
        <f t="shared" si="5"/>
        <v>51.256372681125299</v>
      </c>
      <c r="J39" s="4">
        <f t="shared" si="34"/>
        <v>1046365.7227636783</v>
      </c>
      <c r="K39" s="1">
        <f t="shared" si="35"/>
        <v>1277.06</v>
      </c>
      <c r="L39" s="5">
        <f t="shared" si="36"/>
        <v>0.11506849315068525</v>
      </c>
      <c r="M39" s="5">
        <f t="shared" si="37"/>
        <v>-0.14378108778128135</v>
      </c>
      <c r="N39" s="5">
        <f t="shared" si="38"/>
        <v>6.2701709058016188</v>
      </c>
      <c r="O39" s="1">
        <f t="shared" si="39"/>
        <v>0</v>
      </c>
      <c r="P39" s="1">
        <f t="shared" si="40"/>
        <v>1277.06</v>
      </c>
      <c r="Q39" s="5">
        <f t="shared" si="41"/>
        <v>0.11506849315068525</v>
      </c>
      <c r="R39" s="5">
        <f t="shared" si="42"/>
        <v>-0.14378108778128135</v>
      </c>
      <c r="S39" s="5">
        <f t="shared" si="3"/>
        <v>6.2701709058016188</v>
      </c>
      <c r="T39" s="5">
        <f t="shared" si="6"/>
        <v>-783.04856467198101</v>
      </c>
      <c r="U39" s="4">
        <f t="shared" si="7"/>
        <v>1046382.6079530128</v>
      </c>
      <c r="V39" s="4">
        <f t="shared" si="43"/>
        <v>67.541847242117754</v>
      </c>
      <c r="W39" s="4">
        <f t="shared" si="8"/>
        <v>1041472.7596249768</v>
      </c>
      <c r="X39" s="4">
        <f t="shared" si="22"/>
        <v>687.40334536135197</v>
      </c>
      <c r="Y39" s="9">
        <f>SUM($X$6:X39)</f>
        <v>41472.759624976781</v>
      </c>
      <c r="Z39" s="16">
        <f t="shared" si="23"/>
        <v>4.1472759624976784E-2</v>
      </c>
      <c r="AA39" s="16">
        <f t="shared" si="9"/>
        <v>6.6676585281819259E-2</v>
      </c>
      <c r="AB39" s="16">
        <f t="shared" si="10"/>
        <v>6.6046600407459566E-4</v>
      </c>
      <c r="AC39" s="16">
        <f t="shared" si="11"/>
        <v>7.1993711569684634E-4</v>
      </c>
    </row>
    <row r="40" spans="1:31" x14ac:dyDescent="0.15">
      <c r="A40" s="8">
        <v>40961</v>
      </c>
      <c r="B40" s="4">
        <v>1357.66</v>
      </c>
      <c r="C40" s="1">
        <v>17.6279</v>
      </c>
      <c r="D40" s="1">
        <v>2.16</v>
      </c>
      <c r="E40" s="1">
        <v>0.49159999999999998</v>
      </c>
      <c r="F40" s="4">
        <f t="shared" si="0"/>
        <v>0.17627899999999999</v>
      </c>
      <c r="G40" s="4">
        <f t="shared" si="1"/>
        <v>2.1600000000000001E-2</v>
      </c>
      <c r="H40" s="4">
        <f t="shared" si="2"/>
        <v>4.9160000000000002E-3</v>
      </c>
      <c r="I40" s="3">
        <f t="shared" si="5"/>
        <v>50.368151480735136</v>
      </c>
      <c r="J40" s="4">
        <f t="shared" si="34"/>
        <v>1046382.6079530128</v>
      </c>
      <c r="K40" s="1">
        <f t="shared" si="35"/>
        <v>1277.06</v>
      </c>
      <c r="L40" s="5">
        <f t="shared" si="36"/>
        <v>0.11232876712328799</v>
      </c>
      <c r="M40" s="5">
        <f t="shared" si="37"/>
        <v>-0.15026739494835803</v>
      </c>
      <c r="N40" s="5">
        <f t="shared" si="38"/>
        <v>6.4186308165760648</v>
      </c>
      <c r="O40" s="1">
        <f t="shared" si="39"/>
        <v>0</v>
      </c>
      <c r="P40" s="1">
        <f t="shared" si="40"/>
        <v>1277.06</v>
      </c>
      <c r="Q40" s="5">
        <f t="shared" si="41"/>
        <v>0.11232876712328799</v>
      </c>
      <c r="R40" s="5">
        <f t="shared" si="42"/>
        <v>-0.15026739494835803</v>
      </c>
      <c r="S40" s="5">
        <f t="shared" si="3"/>
        <v>6.4186308165760648</v>
      </c>
      <c r="T40" s="5">
        <f t="shared" si="6"/>
        <v>-783.04856467198101</v>
      </c>
      <c r="U40" s="4">
        <f t="shared" si="7"/>
        <v>1046450.149800255</v>
      </c>
      <c r="V40" s="4">
        <f t="shared" si="43"/>
        <v>16.886551732393155</v>
      </c>
      <c r="W40" s="4">
        <f t="shared" si="8"/>
        <v>1041424.0501521757</v>
      </c>
      <c r="X40" s="4">
        <f t="shared" si="22"/>
        <v>-48.70947280107066</v>
      </c>
      <c r="Y40" s="9">
        <f>SUM($X$6:X40)</f>
        <v>41424.050152175711</v>
      </c>
      <c r="Z40" s="16">
        <f t="shared" si="23"/>
        <v>4.1424050152175713E-2</v>
      </c>
      <c r="AA40" s="16">
        <f t="shared" si="9"/>
        <v>6.3113714312561769E-2</v>
      </c>
      <c r="AB40" s="16">
        <f t="shared" si="10"/>
        <v>-4.6769800122866799E-5</v>
      </c>
      <c r="AC40" s="16">
        <f t="shared" si="11"/>
        <v>-3.3401604745229843E-3</v>
      </c>
    </row>
    <row r="41" spans="1:31" x14ac:dyDescent="0.15">
      <c r="A41" s="8">
        <v>40962</v>
      </c>
      <c r="B41" s="4">
        <v>1363.46</v>
      </c>
      <c r="C41" s="1">
        <v>16.586500000000001</v>
      </c>
      <c r="D41" s="1">
        <v>2.15</v>
      </c>
      <c r="E41" s="1">
        <v>0.49059999999999998</v>
      </c>
      <c r="F41" s="4">
        <f t="shared" si="0"/>
        <v>0.16586500000000001</v>
      </c>
      <c r="G41" s="4">
        <f t="shared" si="1"/>
        <v>2.1499999999999998E-2</v>
      </c>
      <c r="H41" s="4">
        <f t="shared" si="2"/>
        <v>4.9059999999999998E-3</v>
      </c>
      <c r="I41" s="3">
        <f t="shared" si="5"/>
        <v>47.754948194083411</v>
      </c>
      <c r="J41" s="4">
        <f t="shared" si="34"/>
        <v>1046450.149800255</v>
      </c>
      <c r="K41" s="1">
        <f t="shared" si="35"/>
        <v>1277.06</v>
      </c>
      <c r="L41" s="5">
        <f t="shared" si="36"/>
        <v>0.10958904109589072</v>
      </c>
      <c r="M41" s="5">
        <f t="shared" si="37"/>
        <v>-0.117416704230979</v>
      </c>
      <c r="N41" s="5">
        <f t="shared" si="38"/>
        <v>4.4099705613815168</v>
      </c>
      <c r="O41" s="1">
        <f t="shared" si="39"/>
        <v>0</v>
      </c>
      <c r="P41" s="1">
        <f t="shared" si="40"/>
        <v>1277.06</v>
      </c>
      <c r="Q41" s="5">
        <f t="shared" si="41"/>
        <v>0.10958904109589072</v>
      </c>
      <c r="R41" s="5">
        <f t="shared" si="42"/>
        <v>-0.117416704230979</v>
      </c>
      <c r="S41" s="5">
        <f t="shared" si="3"/>
        <v>4.4099705613815168</v>
      </c>
      <c r="T41" s="5">
        <f t="shared" si="6"/>
        <v>-783.04856467198101</v>
      </c>
      <c r="U41" s="4">
        <f t="shared" si="7"/>
        <v>1046467.0363519874</v>
      </c>
      <c r="V41" s="4">
        <f t="shared" si="43"/>
        <v>16.886824230447139</v>
      </c>
      <c r="W41" s="4">
        <f t="shared" si="8"/>
        <v>1043013.8152336519</v>
      </c>
      <c r="X41" s="4">
        <f t="shared" si="22"/>
        <v>1589.7650814761873</v>
      </c>
      <c r="Y41" s="9">
        <f>SUM($X$6:X41)</f>
        <v>43013.815233651898</v>
      </c>
      <c r="Z41" s="16">
        <f t="shared" si="23"/>
        <v>4.30138152336519E-2</v>
      </c>
      <c r="AA41" s="16">
        <f t="shared" si="9"/>
        <v>6.7655395987659225E-2</v>
      </c>
      <c r="AB41" s="16">
        <f t="shared" si="10"/>
        <v>1.5265300251553501E-3</v>
      </c>
      <c r="AC41" s="16">
        <f t="shared" si="11"/>
        <v>4.2720563322186369E-3</v>
      </c>
    </row>
    <row r="42" spans="1:31" x14ac:dyDescent="0.15">
      <c r="A42" s="8">
        <v>40963</v>
      </c>
      <c r="B42" s="4">
        <v>1365.74</v>
      </c>
      <c r="C42" s="1">
        <v>16.755099999999999</v>
      </c>
      <c r="D42" s="1">
        <v>2.15</v>
      </c>
      <c r="E42" s="1">
        <v>0.49059999999999998</v>
      </c>
      <c r="F42" s="4">
        <f t="shared" si="0"/>
        <v>0.16755099999999998</v>
      </c>
      <c r="G42" s="4">
        <f t="shared" si="1"/>
        <v>2.1499999999999998E-2</v>
      </c>
      <c r="H42" s="4">
        <f t="shared" si="2"/>
        <v>4.9059999999999998E-3</v>
      </c>
      <c r="I42" s="3">
        <f t="shared" si="5"/>
        <v>48.291017938660737</v>
      </c>
      <c r="J42" s="4">
        <f t="shared" si="34"/>
        <v>1046467.0363519874</v>
      </c>
      <c r="K42" s="1">
        <f t="shared" si="35"/>
        <v>1277.06</v>
      </c>
      <c r="L42" s="5">
        <f t="shared" si="36"/>
        <v>0.10684931506849346</v>
      </c>
      <c r="M42" s="5">
        <f t="shared" si="37"/>
        <v>-0.11082289775735396</v>
      </c>
      <c r="N42" s="5">
        <f t="shared" si="38"/>
        <v>4.1060646899403661</v>
      </c>
      <c r="O42" s="1">
        <f t="shared" si="39"/>
        <v>0</v>
      </c>
      <c r="P42" s="1">
        <f t="shared" si="40"/>
        <v>1277.06</v>
      </c>
      <c r="Q42" s="5">
        <f t="shared" si="41"/>
        <v>0.10684931506849346</v>
      </c>
      <c r="R42" s="5">
        <f t="shared" si="42"/>
        <v>-0.11082289775735396</v>
      </c>
      <c r="S42" s="5">
        <f t="shared" si="3"/>
        <v>4.1060646899403661</v>
      </c>
      <c r="T42" s="5">
        <f t="shared" si="6"/>
        <v>-783.04856467198101</v>
      </c>
      <c r="U42" s="4">
        <f t="shared" si="7"/>
        <v>1046483.9231762178</v>
      </c>
      <c r="V42" s="4">
        <f t="shared" si="43"/>
        <v>16.887096732898417</v>
      </c>
      <c r="W42" s="4">
        <f t="shared" si="8"/>
        <v>1043268.6751143098</v>
      </c>
      <c r="X42" s="4">
        <f t="shared" si="22"/>
        <v>254.8598806578666</v>
      </c>
      <c r="Y42" s="9">
        <f>SUM($X$6:X42)</f>
        <v>43268.675114309764</v>
      </c>
      <c r="Z42" s="16">
        <f t="shared" si="23"/>
        <v>4.3268675114309763E-2</v>
      </c>
      <c r="AA42" s="16">
        <f t="shared" si="9"/>
        <v>6.9440746715111329E-2</v>
      </c>
      <c r="AB42" s="16">
        <f t="shared" si="10"/>
        <v>2.4434947738518102E-4</v>
      </c>
      <c r="AC42" s="16">
        <f t="shared" si="11"/>
        <v>1.6722162733046606E-3</v>
      </c>
    </row>
    <row r="43" spans="1:31" x14ac:dyDescent="0.15">
      <c r="A43" s="8">
        <v>40966</v>
      </c>
      <c r="B43" s="4">
        <v>1367.59</v>
      </c>
      <c r="C43" s="1">
        <v>16.783000000000001</v>
      </c>
      <c r="D43" s="1">
        <v>2.14</v>
      </c>
      <c r="E43" s="1">
        <v>0.48909999999999998</v>
      </c>
      <c r="F43" s="4">
        <f t="shared" si="0"/>
        <v>0.16783000000000001</v>
      </c>
      <c r="G43" s="4">
        <f t="shared" si="1"/>
        <v>2.1400000000000002E-2</v>
      </c>
      <c r="H43" s="4">
        <f t="shared" si="2"/>
        <v>4.8909999999999995E-3</v>
      </c>
      <c r="I43" s="3">
        <f t="shared" si="5"/>
        <v>48.417711875655982</v>
      </c>
      <c r="J43" s="4">
        <f>U42</f>
        <v>1046483.9231762178</v>
      </c>
      <c r="K43" s="1">
        <f>P42</f>
        <v>1277.06</v>
      </c>
      <c r="L43" s="5">
        <f>Q42-(A43-A42)/365</f>
        <v>9.8630136986301686E-2</v>
      </c>
      <c r="M43" s="5">
        <f>BSM_Put(B43,K43,F43,H43,G43,L43,$G$3)</f>
        <v>-9.7474621464196332E-2</v>
      </c>
      <c r="N43" s="5">
        <f>BSM_Put(B43,K43,F43,H43,G43,L43,$F$3)</f>
        <v>3.384297210519811</v>
      </c>
      <c r="O43" s="1">
        <f>IF(OR(M43&gt;-0.05,L43&lt;=0.00001),1,0)</f>
        <v>0</v>
      </c>
      <c r="P43" s="1">
        <f>IF(O43,B43,K43)</f>
        <v>1277.06</v>
      </c>
      <c r="Q43" s="5">
        <f>IF(O43,$B$3,L43)</f>
        <v>9.8630136986301686E-2</v>
      </c>
      <c r="R43" s="5">
        <f>IF(O43,BSM_Put(B43,P43,F43,H43,G43,Q43,$G$3),M43)</f>
        <v>-9.7474621464196332E-2</v>
      </c>
      <c r="S43" s="5">
        <f t="shared" si="3"/>
        <v>3.384297210519811</v>
      </c>
      <c r="T43" s="5">
        <f t="shared" si="6"/>
        <v>-783.04856467198101</v>
      </c>
      <c r="U43" s="4">
        <f t="shared" si="7"/>
        <v>1046500.8102729507</v>
      </c>
      <c r="V43" s="4">
        <f>U43*$H$6*(A43-A42)/365</f>
        <v>50.662107719241192</v>
      </c>
      <c r="W43" s="4">
        <f t="shared" si="8"/>
        <v>1043850.7411998297</v>
      </c>
      <c r="X43" s="4">
        <f>W43-W42</f>
        <v>582.0660855199676</v>
      </c>
      <c r="Y43" s="9">
        <f>SUM($X$6:X43)</f>
        <v>43850.741199829732</v>
      </c>
      <c r="Z43" s="16">
        <f t="shared" si="23"/>
        <v>4.3850741199829735E-2</v>
      </c>
      <c r="AA43" s="16">
        <f t="shared" si="9"/>
        <v>7.0889386559754422E-2</v>
      </c>
      <c r="AB43" s="16">
        <f t="shared" si="10"/>
        <v>5.5792539295420837E-4</v>
      </c>
      <c r="AC43" s="16">
        <f t="shared" si="11"/>
        <v>1.3545770058722077E-3</v>
      </c>
    </row>
    <row r="44" spans="1:31" x14ac:dyDescent="0.15">
      <c r="A44" s="8">
        <v>40967</v>
      </c>
      <c r="B44" s="4">
        <v>1372.18</v>
      </c>
      <c r="C44" s="1">
        <v>17.020900000000001</v>
      </c>
      <c r="D44" s="1">
        <v>2.14</v>
      </c>
      <c r="E44" s="1">
        <v>0.49830000000000002</v>
      </c>
      <c r="F44" s="4">
        <f t="shared" si="0"/>
        <v>0.170209</v>
      </c>
      <c r="G44" s="4">
        <f t="shared" si="1"/>
        <v>2.1400000000000002E-2</v>
      </c>
      <c r="H44" s="4">
        <f t="shared" si="2"/>
        <v>4.9830000000000004E-3</v>
      </c>
      <c r="I44" s="3">
        <f t="shared" si="5"/>
        <v>49.210150321360899</v>
      </c>
      <c r="J44" s="4">
        <f t="shared" ref="J44:J91" si="44">U43</f>
        <v>1046500.8102729507</v>
      </c>
      <c r="K44" s="1">
        <f t="shared" ref="K44:K91" si="45">P43</f>
        <v>1277.06</v>
      </c>
      <c r="L44" s="5">
        <f t="shared" ref="L44:L91" si="46">Q43-(A44-A43)/365</f>
        <v>9.5890410958904423E-2</v>
      </c>
      <c r="M44" s="5">
        <f t="shared" ref="M44:M91" si="47">BSM_Put(B44,K44,F44,H44,G44,L44,$G$3)</f>
        <v>-8.6817320370648099E-2</v>
      </c>
      <c r="N44" s="5">
        <f t="shared" ref="N44:N91" si="48">BSM_Put(B44,K44,F44,H44,G44,L44,$F$3)</f>
        <v>2.9547892746902202</v>
      </c>
      <c r="O44" s="1">
        <f t="shared" ref="O44:O91" si="49">IF(OR(M44&gt;-0.05,L44&lt;=0.00001),1,0)</f>
        <v>0</v>
      </c>
      <c r="P44" s="1">
        <f t="shared" ref="P44:P91" si="50">IF(O44,B44,K44)</f>
        <v>1277.06</v>
      </c>
      <c r="Q44" s="5">
        <f t="shared" ref="Q44:Q91" si="51">IF(O44,$B$3,L44)</f>
        <v>9.5890410958904423E-2</v>
      </c>
      <c r="R44" s="5">
        <f t="shared" ref="R44:R91" si="52">IF(O44,BSM_Put(B44,P44,F44,H44,G44,Q44,$G$3),M44)</f>
        <v>-8.6817320370648099E-2</v>
      </c>
      <c r="S44" s="5">
        <f t="shared" si="3"/>
        <v>2.9547892746902202</v>
      </c>
      <c r="T44" s="5">
        <f t="shared" si="6"/>
        <v>-783.04856467198101</v>
      </c>
      <c r="U44" s="4">
        <f t="shared" si="7"/>
        <v>1046551.4723806699</v>
      </c>
      <c r="V44" s="4">
        <f t="shared" ref="V44:V91" si="53">U44*$H$6*(A44-A43)/365</f>
        <v>16.88818677348533</v>
      </c>
      <c r="W44" s="4">
        <f t="shared" si="8"/>
        <v>1044237.7288802156</v>
      </c>
      <c r="X44" s="4">
        <f t="shared" si="22"/>
        <v>386.98768038582057</v>
      </c>
      <c r="Y44" s="9">
        <f>SUM($X$6:X44)</f>
        <v>44237.728880215553</v>
      </c>
      <c r="Z44" s="16">
        <f t="shared" si="23"/>
        <v>4.423772888021555E-2</v>
      </c>
      <c r="AA44" s="16">
        <f t="shared" si="9"/>
        <v>7.4483579471598921E-2</v>
      </c>
      <c r="AB44" s="16">
        <f t="shared" si="10"/>
        <v>3.7073085749884764E-4</v>
      </c>
      <c r="AC44" s="16">
        <f t="shared" si="11"/>
        <v>3.3562690572467961E-3</v>
      </c>
    </row>
    <row r="45" spans="1:31" x14ac:dyDescent="0.15">
      <c r="A45" s="8">
        <v>40968</v>
      </c>
      <c r="B45" s="4">
        <v>1365.68</v>
      </c>
      <c r="C45" s="1">
        <v>16.957899999999999</v>
      </c>
      <c r="D45" s="1">
        <v>2.15</v>
      </c>
      <c r="E45" s="1">
        <v>0.49459999999999998</v>
      </c>
      <c r="F45" s="4">
        <f t="shared" si="0"/>
        <v>0.16957899999999998</v>
      </c>
      <c r="G45" s="4">
        <f t="shared" si="1"/>
        <v>2.1499999999999998E-2</v>
      </c>
      <c r="H45" s="4">
        <f t="shared" si="2"/>
        <v>4.9459999999999999E-3</v>
      </c>
      <c r="I45" s="3">
        <f t="shared" si="5"/>
        <v>48.830335867463177</v>
      </c>
      <c r="J45" s="4">
        <f t="shared" si="44"/>
        <v>1046551.4723806699</v>
      </c>
      <c r="K45" s="1">
        <f t="shared" si="45"/>
        <v>1277.06</v>
      </c>
      <c r="L45" s="5">
        <f t="shared" si="46"/>
        <v>9.3150684931507161E-2</v>
      </c>
      <c r="M45" s="5">
        <f t="shared" si="47"/>
        <v>-9.7915928913620234E-2</v>
      </c>
      <c r="N45" s="5">
        <f t="shared" si="48"/>
        <v>3.3352900903129044</v>
      </c>
      <c r="O45" s="1">
        <f t="shared" si="49"/>
        <v>0</v>
      </c>
      <c r="P45" s="1">
        <f t="shared" si="50"/>
        <v>1277.06</v>
      </c>
      <c r="Q45" s="5">
        <f t="shared" si="51"/>
        <v>9.3150684931507161E-2</v>
      </c>
      <c r="R45" s="5">
        <f t="shared" si="52"/>
        <v>-9.7915928913620234E-2</v>
      </c>
      <c r="S45" s="5">
        <f t="shared" si="3"/>
        <v>3.3352900903129044</v>
      </c>
      <c r="T45" s="5">
        <f t="shared" si="6"/>
        <v>-783.04856467198101</v>
      </c>
      <c r="U45" s="4">
        <f t="shared" si="7"/>
        <v>1046568.3605674434</v>
      </c>
      <c r="V45" s="4">
        <f t="shared" si="53"/>
        <v>16.888459297923948</v>
      </c>
      <c r="W45" s="4">
        <f t="shared" si="8"/>
        <v>1043956.6664494593</v>
      </c>
      <c r="X45" s="4">
        <f t="shared" si="22"/>
        <v>-281.06243075628299</v>
      </c>
      <c r="Y45" s="9">
        <f>SUM($X$6:X45)</f>
        <v>43956.66644945927</v>
      </c>
      <c r="Z45" s="16">
        <f t="shared" si="23"/>
        <v>4.3956666449459267E-2</v>
      </c>
      <c r="AA45" s="16">
        <f t="shared" si="9"/>
        <v>6.9393763801231051E-2</v>
      </c>
      <c r="AB45" s="16">
        <f t="shared" si="10"/>
        <v>-2.6915559836904115E-4</v>
      </c>
      <c r="AC45" s="16">
        <f t="shared" si="11"/>
        <v>-4.7369878587357342E-3</v>
      </c>
    </row>
    <row r="46" spans="1:31" x14ac:dyDescent="0.15">
      <c r="A46" s="8">
        <v>40969</v>
      </c>
      <c r="B46" s="4">
        <v>1374.09</v>
      </c>
      <c r="C46" s="1">
        <v>16.756599999999999</v>
      </c>
      <c r="D46" s="1">
        <v>2.13</v>
      </c>
      <c r="E46" s="1">
        <v>0.49020000000000002</v>
      </c>
      <c r="F46" s="4">
        <f t="shared" si="0"/>
        <v>0.16756599999999999</v>
      </c>
      <c r="G46" s="4">
        <f t="shared" si="1"/>
        <v>2.1299999999999999E-2</v>
      </c>
      <c r="H46" s="4">
        <f t="shared" si="2"/>
        <v>4.9020000000000001E-3</v>
      </c>
      <c r="I46" s="3">
        <f t="shared" si="5"/>
        <v>48.556807192119237</v>
      </c>
      <c r="J46" s="4">
        <f t="shared" si="44"/>
        <v>1046568.3605674434</v>
      </c>
      <c r="K46" s="1">
        <f t="shared" si="45"/>
        <v>1277.06</v>
      </c>
      <c r="L46" s="5">
        <f t="shared" si="46"/>
        <v>9.0410958904109898E-2</v>
      </c>
      <c r="M46" s="5">
        <f t="shared" si="47"/>
        <v>-7.3497148721785116E-2</v>
      </c>
      <c r="N46" s="5">
        <f t="shared" si="48"/>
        <v>2.3174641574712052</v>
      </c>
      <c r="O46" s="1">
        <f t="shared" si="49"/>
        <v>0</v>
      </c>
      <c r="P46" s="1">
        <f t="shared" si="50"/>
        <v>1277.06</v>
      </c>
      <c r="Q46" s="5">
        <f t="shared" si="51"/>
        <v>9.0410958904109898E-2</v>
      </c>
      <c r="R46" s="5">
        <f t="shared" si="52"/>
        <v>-7.3497148721785116E-2</v>
      </c>
      <c r="S46" s="5">
        <f t="shared" si="3"/>
        <v>2.3174641574712052</v>
      </c>
      <c r="T46" s="5">
        <f t="shared" si="6"/>
        <v>-783.04856467198101</v>
      </c>
      <c r="U46" s="4">
        <f t="shared" si="7"/>
        <v>1046585.2490267414</v>
      </c>
      <c r="V46" s="4">
        <f t="shared" si="53"/>
        <v>16.888731826760292</v>
      </c>
      <c r="W46" s="4">
        <f t="shared" si="8"/>
        <v>1044770.5620445547</v>
      </c>
      <c r="X46" s="4">
        <f t="shared" si="22"/>
        <v>813.89559509546962</v>
      </c>
      <c r="Y46" s="9">
        <f>SUM($X$6:X46)</f>
        <v>44770.562044554739</v>
      </c>
      <c r="Z46" s="16">
        <f t="shared" si="23"/>
        <v>4.4770562044554742E-2</v>
      </c>
      <c r="AA46" s="16">
        <f t="shared" si="9"/>
        <v>7.5979202230122292E-2</v>
      </c>
      <c r="AB46" s="16">
        <f t="shared" si="10"/>
        <v>7.79625842003158E-4</v>
      </c>
      <c r="AC46" s="16">
        <f t="shared" si="11"/>
        <v>6.1581043875577396E-3</v>
      </c>
    </row>
    <row r="47" spans="1:31" x14ac:dyDescent="0.15">
      <c r="A47" s="8">
        <v>40970</v>
      </c>
      <c r="B47" s="4">
        <v>1369.63</v>
      </c>
      <c r="C47" s="1">
        <v>16.723099999999999</v>
      </c>
      <c r="D47" s="1">
        <v>2.13</v>
      </c>
      <c r="E47" s="1">
        <v>0.48630000000000001</v>
      </c>
      <c r="F47" s="4">
        <f t="shared" si="0"/>
        <v>0.16723099999999999</v>
      </c>
      <c r="G47" s="4">
        <f t="shared" si="1"/>
        <v>2.1299999999999999E-2</v>
      </c>
      <c r="H47" s="4">
        <f t="shared" si="2"/>
        <v>4.8630000000000001E-3</v>
      </c>
      <c r="I47" s="3">
        <f t="shared" si="5"/>
        <v>48.315423087410785</v>
      </c>
      <c r="J47" s="4">
        <f t="shared" si="44"/>
        <v>1046585.2490267414</v>
      </c>
      <c r="K47" s="1">
        <f t="shared" si="45"/>
        <v>1277.06</v>
      </c>
      <c r="L47" s="5">
        <f t="shared" si="46"/>
        <v>8.7671232876712635E-2</v>
      </c>
      <c r="M47" s="5">
        <f t="shared" si="47"/>
        <v>-7.9278588908943126E-2</v>
      </c>
      <c r="N47" s="5">
        <f t="shared" si="48"/>
        <v>2.4827871621111028</v>
      </c>
      <c r="O47" s="1">
        <f t="shared" si="49"/>
        <v>0</v>
      </c>
      <c r="P47" s="1">
        <f t="shared" si="50"/>
        <v>1277.06</v>
      </c>
      <c r="Q47" s="5">
        <f t="shared" si="51"/>
        <v>8.7671232876712635E-2</v>
      </c>
      <c r="R47" s="5">
        <f t="shared" si="52"/>
        <v>-7.9278588908943126E-2</v>
      </c>
      <c r="S47" s="5">
        <f t="shared" si="3"/>
        <v>2.4827871621111028</v>
      </c>
      <c r="T47" s="5">
        <f t="shared" si="6"/>
        <v>-783.04856467198101</v>
      </c>
      <c r="U47" s="4">
        <f t="shared" si="7"/>
        <v>1046602.1377585682</v>
      </c>
      <c r="V47" s="4">
        <f t="shared" si="53"/>
        <v>16.889004359994427</v>
      </c>
      <c r="W47" s="4">
        <f t="shared" si="8"/>
        <v>1044657.9948348911</v>
      </c>
      <c r="X47" s="4">
        <f t="shared" si="22"/>
        <v>-112.56720966368448</v>
      </c>
      <c r="Y47" s="9">
        <f>SUM($X$6:X47)</f>
        <v>44657.994834891055</v>
      </c>
      <c r="Z47" s="16">
        <f t="shared" si="23"/>
        <v>4.4657994834891052E-2</v>
      </c>
      <c r="AA47" s="16">
        <f t="shared" si="9"/>
        <v>7.2486805631685414E-2</v>
      </c>
      <c r="AB47" s="16">
        <f t="shared" si="10"/>
        <v>-1.077434737856674E-4</v>
      </c>
      <c r="AC47" s="16">
        <f t="shared" si="11"/>
        <v>-3.2457844828212195E-3</v>
      </c>
    </row>
    <row r="48" spans="1:31" x14ac:dyDescent="0.15">
      <c r="A48" s="8">
        <v>40973</v>
      </c>
      <c r="B48" s="4">
        <v>1364.33</v>
      </c>
      <c r="C48" s="1">
        <v>17.1249</v>
      </c>
      <c r="D48" s="1">
        <v>2.14</v>
      </c>
      <c r="E48" s="1">
        <v>0.48509999999999998</v>
      </c>
      <c r="F48" s="4">
        <f t="shared" si="0"/>
        <v>0.17124900000000001</v>
      </c>
      <c r="G48" s="4">
        <f t="shared" si="1"/>
        <v>2.1400000000000002E-2</v>
      </c>
      <c r="H48" s="4">
        <f t="shared" si="2"/>
        <v>4.8509999999999994E-3</v>
      </c>
      <c r="I48" s="3">
        <f t="shared" si="5"/>
        <v>49.23380664055793</v>
      </c>
      <c r="J48" s="4">
        <f t="shared" si="44"/>
        <v>1046602.1377585682</v>
      </c>
      <c r="K48" s="1">
        <f t="shared" si="45"/>
        <v>1277.06</v>
      </c>
      <c r="L48" s="5">
        <f t="shared" si="46"/>
        <v>7.945205479452086E-2</v>
      </c>
      <c r="M48" s="5">
        <f t="shared" si="47"/>
        <v>-8.5772346197395308E-2</v>
      </c>
      <c r="N48" s="5">
        <f t="shared" si="48"/>
        <v>2.6468621211516954</v>
      </c>
      <c r="O48" s="1">
        <f t="shared" si="49"/>
        <v>0</v>
      </c>
      <c r="P48" s="1">
        <f t="shared" si="50"/>
        <v>1277.06</v>
      </c>
      <c r="Q48" s="5">
        <f t="shared" si="51"/>
        <v>7.945205479452086E-2</v>
      </c>
      <c r="R48" s="5">
        <f t="shared" si="52"/>
        <v>-8.5772346197395308E-2</v>
      </c>
      <c r="S48" s="5">
        <f t="shared" si="3"/>
        <v>2.6468621211516954</v>
      </c>
      <c r="T48" s="5">
        <f t="shared" si="6"/>
        <v>-783.04856467198101</v>
      </c>
      <c r="U48" s="4">
        <f t="shared" si="7"/>
        <v>1046619.0267629281</v>
      </c>
      <c r="V48" s="4">
        <f t="shared" si="53"/>
        <v>50.667830692879285</v>
      </c>
      <c r="W48" s="4">
        <f t="shared" si="8"/>
        <v>1044546.4051780757</v>
      </c>
      <c r="X48" s="4">
        <f t="shared" si="22"/>
        <v>-111.58965681539848</v>
      </c>
      <c r="Y48" s="9">
        <f>SUM($X$6:X48)</f>
        <v>44546.405178075656</v>
      </c>
      <c r="Z48" s="16">
        <f t="shared" si="23"/>
        <v>4.4546405178075656E-2</v>
      </c>
      <c r="AA48" s="16">
        <f t="shared" si="9"/>
        <v>6.8336648238923769E-2</v>
      </c>
      <c r="AB48" s="16">
        <f t="shared" si="10"/>
        <v>-1.0681932016710916E-4</v>
      </c>
      <c r="AC48" s="16">
        <f t="shared" si="11"/>
        <v>-3.8696582288648626E-3</v>
      </c>
    </row>
    <row r="49" spans="1:31" x14ac:dyDescent="0.15">
      <c r="A49" s="8">
        <v>40974</v>
      </c>
      <c r="B49" s="4">
        <v>1343.36</v>
      </c>
      <c r="C49" s="1">
        <v>18.8645</v>
      </c>
      <c r="D49" s="1">
        <v>2.1800000000000002</v>
      </c>
      <c r="E49" s="1">
        <v>0.48509999999999998</v>
      </c>
      <c r="F49" s="4">
        <f t="shared" si="0"/>
        <v>0.18864500000000001</v>
      </c>
      <c r="G49" s="4">
        <f t="shared" si="1"/>
        <v>2.18E-2</v>
      </c>
      <c r="H49" s="4">
        <f t="shared" si="2"/>
        <v>4.8509999999999994E-3</v>
      </c>
      <c r="I49" s="3">
        <f t="shared" si="5"/>
        <v>53.173832938021228</v>
      </c>
      <c r="J49" s="4">
        <f t="shared" si="44"/>
        <v>1046619.0267629281</v>
      </c>
      <c r="K49" s="1">
        <f t="shared" si="45"/>
        <v>1277.06</v>
      </c>
      <c r="L49" s="5">
        <f t="shared" si="46"/>
        <v>7.6712328767123597E-2</v>
      </c>
      <c r="M49" s="5">
        <f t="shared" si="47"/>
        <v>-0.16576183360282848</v>
      </c>
      <c r="N49" s="5">
        <f t="shared" si="48"/>
        <v>6.3305978233059701</v>
      </c>
      <c r="O49" s="1">
        <f t="shared" si="49"/>
        <v>0</v>
      </c>
      <c r="P49" s="1">
        <f t="shared" si="50"/>
        <v>1277.06</v>
      </c>
      <c r="Q49" s="5">
        <f t="shared" si="51"/>
        <v>7.6712328767123597E-2</v>
      </c>
      <c r="R49" s="5">
        <f t="shared" si="52"/>
        <v>-0.16576183360282848</v>
      </c>
      <c r="S49" s="5">
        <f t="shared" si="3"/>
        <v>6.3305978233059701</v>
      </c>
      <c r="T49" s="5">
        <f t="shared" si="6"/>
        <v>-783.04856467198101</v>
      </c>
      <c r="U49" s="4">
        <f t="shared" si="7"/>
        <v>1046669.694593621</v>
      </c>
      <c r="V49" s="4">
        <f t="shared" si="53"/>
        <v>16.89009452371624</v>
      </c>
      <c r="W49" s="4">
        <f t="shared" si="8"/>
        <v>1041712.5290545656</v>
      </c>
      <c r="X49" s="4">
        <f t="shared" si="22"/>
        <v>-2833.8761235100683</v>
      </c>
      <c r="Y49" s="9">
        <f>SUM($X$6:X49)</f>
        <v>41712.529054565588</v>
      </c>
      <c r="Z49" s="16">
        <f t="shared" si="23"/>
        <v>4.1712529054565586E-2</v>
      </c>
      <c r="AA49" s="16">
        <f t="shared" si="9"/>
        <v>5.1916119837752302E-2</v>
      </c>
      <c r="AB49" s="16">
        <f t="shared" si="10"/>
        <v>-2.7130207997096553E-3</v>
      </c>
      <c r="AC49" s="16">
        <f t="shared" si="11"/>
        <v>-1.5370181700908158E-2</v>
      </c>
    </row>
    <row r="50" spans="1:31" x14ac:dyDescent="0.15">
      <c r="A50" s="8">
        <v>40975</v>
      </c>
      <c r="B50" s="4">
        <v>1352.63</v>
      </c>
      <c r="C50" s="1">
        <v>17.925899999999999</v>
      </c>
      <c r="D50" s="1">
        <v>2.16</v>
      </c>
      <c r="E50" s="1">
        <v>0.4849</v>
      </c>
      <c r="F50" s="4">
        <f t="shared" si="0"/>
        <v>0.17925899999999997</v>
      </c>
      <c r="G50" s="4">
        <f t="shared" si="1"/>
        <v>2.1600000000000001E-2</v>
      </c>
      <c r="H50" s="4">
        <f t="shared" si="2"/>
        <v>4.849E-3</v>
      </c>
      <c r="I50" s="3">
        <f t="shared" si="5"/>
        <v>50.992265486464134</v>
      </c>
      <c r="J50" s="4">
        <f t="shared" si="44"/>
        <v>1046669.694593621</v>
      </c>
      <c r="K50" s="1">
        <f t="shared" si="45"/>
        <v>1277.06</v>
      </c>
      <c r="L50" s="5">
        <f t="shared" si="46"/>
        <v>7.3972602739726334E-2</v>
      </c>
      <c r="M50" s="5">
        <f t="shared" si="47"/>
        <v>-0.11918052951841281</v>
      </c>
      <c r="N50" s="5">
        <f t="shared" si="48"/>
        <v>3.944819691245915</v>
      </c>
      <c r="O50" s="1">
        <f t="shared" si="49"/>
        <v>0</v>
      </c>
      <c r="P50" s="1">
        <f t="shared" si="50"/>
        <v>1277.06</v>
      </c>
      <c r="Q50" s="5">
        <f t="shared" si="51"/>
        <v>7.3972602739726334E-2</v>
      </c>
      <c r="R50" s="5">
        <f t="shared" si="52"/>
        <v>-0.11918052951841281</v>
      </c>
      <c r="S50" s="5">
        <f t="shared" si="3"/>
        <v>3.944819691245915</v>
      </c>
      <c r="T50" s="5">
        <f t="shared" si="6"/>
        <v>-783.04856467198101</v>
      </c>
      <c r="U50" s="4">
        <f t="shared" si="7"/>
        <v>1046686.5846881446</v>
      </c>
      <c r="V50" s="4">
        <f t="shared" si="53"/>
        <v>16.890367078940194</v>
      </c>
      <c r="W50" s="4">
        <f t="shared" si="8"/>
        <v>1043597.5992910247</v>
      </c>
      <c r="X50" s="4">
        <f t="shared" si="22"/>
        <v>1885.0702364591416</v>
      </c>
      <c r="Y50" s="9">
        <f>SUM($X$6:X50)</f>
        <v>43597.59929102473</v>
      </c>
      <c r="Z50" s="16">
        <f t="shared" si="23"/>
        <v>4.3597599291024733E-2</v>
      </c>
      <c r="AA50" s="16">
        <f t="shared" si="9"/>
        <v>5.917498003226173E-2</v>
      </c>
      <c r="AB50" s="16">
        <f t="shared" si="10"/>
        <v>1.8095877546658559E-3</v>
      </c>
      <c r="AC50" s="16">
        <f t="shared" si="11"/>
        <v>6.9006074321106853E-3</v>
      </c>
    </row>
    <row r="51" spans="1:31" x14ac:dyDescent="0.15">
      <c r="A51" s="8">
        <v>40976</v>
      </c>
      <c r="B51" s="4">
        <v>1365.91</v>
      </c>
      <c r="C51" s="1">
        <v>16.9468</v>
      </c>
      <c r="D51" s="1">
        <v>2.15</v>
      </c>
      <c r="E51" s="1">
        <v>0.48409999999999997</v>
      </c>
      <c r="F51" s="4">
        <f t="shared" si="0"/>
        <v>0.16946800000000001</v>
      </c>
      <c r="G51" s="4">
        <f t="shared" si="1"/>
        <v>2.1499999999999998E-2</v>
      </c>
      <c r="H51" s="4">
        <f t="shared" si="2"/>
        <v>4.8409999999999998E-3</v>
      </c>
      <c r="I51" s="3">
        <f t="shared" si="5"/>
        <v>48.82767487528892</v>
      </c>
      <c r="J51" s="4">
        <f t="shared" si="44"/>
        <v>1046686.5846881446</v>
      </c>
      <c r="K51" s="1">
        <f t="shared" si="45"/>
        <v>1277.06</v>
      </c>
      <c r="L51" s="5">
        <f t="shared" si="46"/>
        <v>7.1232876712329071E-2</v>
      </c>
      <c r="M51" s="5">
        <f t="shared" si="47"/>
        <v>-6.8872258911785042E-2</v>
      </c>
      <c r="N51" s="5">
        <f t="shared" si="48"/>
        <v>1.9109263871455704</v>
      </c>
      <c r="O51" s="1">
        <f t="shared" si="49"/>
        <v>0</v>
      </c>
      <c r="P51" s="1">
        <f t="shared" si="50"/>
        <v>1277.06</v>
      </c>
      <c r="Q51" s="5">
        <f t="shared" si="51"/>
        <v>7.1232876712329071E-2</v>
      </c>
      <c r="R51" s="5">
        <f t="shared" si="52"/>
        <v>-6.8872258911785042E-2</v>
      </c>
      <c r="S51" s="5">
        <f t="shared" si="3"/>
        <v>1.9109263871455704</v>
      </c>
      <c r="T51" s="5">
        <f t="shared" si="6"/>
        <v>-783.04856467198101</v>
      </c>
      <c r="U51" s="4">
        <f t="shared" si="7"/>
        <v>1046703.4750552236</v>
      </c>
      <c r="V51" s="4">
        <f t="shared" si="53"/>
        <v>16.890639638562373</v>
      </c>
      <c r="W51" s="4">
        <f t="shared" si="8"/>
        <v>1045207.1268905754</v>
      </c>
      <c r="X51" s="4">
        <f t="shared" si="22"/>
        <v>1609.5275995506672</v>
      </c>
      <c r="Y51" s="9">
        <f>SUM($X$6:X51)</f>
        <v>45207.126890575397</v>
      </c>
      <c r="Z51" s="16">
        <f t="shared" si="23"/>
        <v>4.5207126890575398E-2</v>
      </c>
      <c r="AA51" s="16">
        <f t="shared" si="9"/>
        <v>6.9573864971105612E-2</v>
      </c>
      <c r="AB51" s="16">
        <f t="shared" si="10"/>
        <v>1.5422875643294992E-3</v>
      </c>
      <c r="AC51" s="16">
        <f t="shared" si="11"/>
        <v>9.8179102932804772E-3</v>
      </c>
    </row>
    <row r="52" spans="1:31" x14ac:dyDescent="0.15">
      <c r="A52" s="8">
        <v>40977</v>
      </c>
      <c r="B52" s="4">
        <v>1370.87</v>
      </c>
      <c r="C52" s="1">
        <v>16.6648</v>
      </c>
      <c r="D52" s="1">
        <v>2.13</v>
      </c>
      <c r="E52" s="1">
        <v>0.48409999999999997</v>
      </c>
      <c r="F52" s="4">
        <f t="shared" si="0"/>
        <v>0.16664799999999999</v>
      </c>
      <c r="G52" s="4">
        <f t="shared" si="1"/>
        <v>2.1299999999999999E-2</v>
      </c>
      <c r="H52" s="4">
        <f t="shared" si="2"/>
        <v>4.8409999999999998E-3</v>
      </c>
      <c r="I52" s="3">
        <f t="shared" si="5"/>
        <v>48.204837988498404</v>
      </c>
      <c r="J52" s="4">
        <f t="shared" si="44"/>
        <v>1046703.4750552236</v>
      </c>
      <c r="K52" s="1">
        <f t="shared" si="45"/>
        <v>1277.06</v>
      </c>
      <c r="L52" s="5">
        <f t="shared" si="46"/>
        <v>6.8493150684931808E-2</v>
      </c>
      <c r="M52" s="5">
        <f t="shared" si="47"/>
        <v>-5.2405670675223233E-2</v>
      </c>
      <c r="N52" s="5">
        <f t="shared" si="48"/>
        <v>1.3415509598784414</v>
      </c>
      <c r="O52" s="1">
        <f t="shared" si="49"/>
        <v>0</v>
      </c>
      <c r="P52" s="1">
        <f t="shared" si="50"/>
        <v>1277.06</v>
      </c>
      <c r="Q52" s="5">
        <f t="shared" si="51"/>
        <v>6.8493150684931808E-2</v>
      </c>
      <c r="R52" s="5">
        <f t="shared" si="52"/>
        <v>-5.2405670675223233E-2</v>
      </c>
      <c r="S52" s="5">
        <f t="shared" si="3"/>
        <v>1.3415509598784414</v>
      </c>
      <c r="T52" s="5">
        <f t="shared" si="6"/>
        <v>-783.04856467198101</v>
      </c>
      <c r="U52" s="4">
        <f t="shared" si="7"/>
        <v>1046720.3656948621</v>
      </c>
      <c r="V52" s="4">
        <f t="shared" si="53"/>
        <v>16.890912202582843</v>
      </c>
      <c r="W52" s="4">
        <f t="shared" si="8"/>
        <v>1045669.8661412949</v>
      </c>
      <c r="X52" s="4">
        <f t="shared" si="22"/>
        <v>462.73925071954727</v>
      </c>
      <c r="Y52" s="9">
        <f>SUM($X$6:X52)</f>
        <v>45669.866141294944</v>
      </c>
      <c r="Z52" s="16">
        <f t="shared" si="23"/>
        <v>4.5669866141294944E-2</v>
      </c>
      <c r="AA52" s="16">
        <f t="shared" si="9"/>
        <v>7.3457785851878496E-2</v>
      </c>
      <c r="AB52" s="16">
        <f t="shared" si="10"/>
        <v>4.427249286906099E-4</v>
      </c>
      <c r="AC52" s="16">
        <f t="shared" si="11"/>
        <v>3.6312787811787076E-3</v>
      </c>
    </row>
    <row r="53" spans="1:31" x14ac:dyDescent="0.15">
      <c r="A53" s="8">
        <v>40980</v>
      </c>
      <c r="B53" s="4">
        <v>1371.09</v>
      </c>
      <c r="C53" s="1">
        <v>16.351400000000002</v>
      </c>
      <c r="D53" s="1">
        <v>2.13</v>
      </c>
      <c r="E53" s="1">
        <v>0.48409999999999997</v>
      </c>
      <c r="F53" s="4">
        <f t="shared" si="0"/>
        <v>0.16351400000000002</v>
      </c>
      <c r="G53" s="4">
        <f t="shared" si="1"/>
        <v>2.1299999999999999E-2</v>
      </c>
      <c r="H53" s="4">
        <f t="shared" si="2"/>
        <v>4.8409999999999998E-3</v>
      </c>
      <c r="I53" s="3">
        <f t="shared" si="5"/>
        <v>47.3611870315384</v>
      </c>
      <c r="J53" s="4">
        <f t="shared" si="44"/>
        <v>1046720.3656948621</v>
      </c>
      <c r="K53" s="1">
        <f t="shared" si="45"/>
        <v>1277.06</v>
      </c>
      <c r="L53" s="5">
        <f t="shared" si="46"/>
        <v>6.0273972602740027E-2</v>
      </c>
      <c r="M53" s="5">
        <f t="shared" si="47"/>
        <v>-3.87213173095683E-2</v>
      </c>
      <c r="N53" s="5">
        <f t="shared" si="48"/>
        <v>0.86891035505596792</v>
      </c>
      <c r="O53" s="1">
        <f t="shared" si="49"/>
        <v>1</v>
      </c>
      <c r="P53" s="1">
        <f t="shared" si="50"/>
        <v>1371.09</v>
      </c>
      <c r="Q53" s="5">
        <f t="shared" si="51"/>
        <v>0.24931506849315069</v>
      </c>
      <c r="R53" s="5">
        <f t="shared" si="52"/>
        <v>-0.50109688093916427</v>
      </c>
      <c r="S53" s="5">
        <f t="shared" si="3"/>
        <v>47.3611870315384</v>
      </c>
      <c r="T53" s="5">
        <f t="shared" si="6"/>
        <v>-762.9258230229284</v>
      </c>
      <c r="U53" s="4">
        <f t="shared" si="7"/>
        <v>1082189.9301960887</v>
      </c>
      <c r="V53" s="4">
        <f t="shared" si="53"/>
        <v>52.389852237164071</v>
      </c>
      <c r="W53" s="4">
        <f t="shared" si="8"/>
        <v>1046056.8576007094</v>
      </c>
      <c r="X53" s="4">
        <f t="shared" si="22"/>
        <v>386.99145941447932</v>
      </c>
      <c r="Y53" s="9">
        <f>SUM($X$6:X53)</f>
        <v>46056.857600709423</v>
      </c>
      <c r="Z53" s="16">
        <f t="shared" si="23"/>
        <v>4.6056857600709426E-2</v>
      </c>
      <c r="AA53" s="16">
        <f t="shared" si="9"/>
        <v>7.3630056536106353E-2</v>
      </c>
      <c r="AB53" s="16">
        <f t="shared" si="10"/>
        <v>3.7008952055063579E-4</v>
      </c>
      <c r="AC53" s="16">
        <f t="shared" si="11"/>
        <v>1.6048202966001686E-4</v>
      </c>
    </row>
    <row r="54" spans="1:31" x14ac:dyDescent="0.15">
      <c r="A54" s="8">
        <v>40981</v>
      </c>
      <c r="B54" s="4">
        <v>1395.95</v>
      </c>
      <c r="C54" s="1">
        <v>15.6829</v>
      </c>
      <c r="D54" s="1">
        <v>2.09</v>
      </c>
      <c r="E54" s="1">
        <v>0.48420000000000002</v>
      </c>
      <c r="F54" s="4">
        <f t="shared" si="0"/>
        <v>0.156829</v>
      </c>
      <c r="G54" s="4">
        <f t="shared" si="1"/>
        <v>2.0899999999999998E-2</v>
      </c>
      <c r="H54" s="4">
        <f t="shared" si="2"/>
        <v>4.8419999999999999E-3</v>
      </c>
      <c r="I54" s="3">
        <f t="shared" si="5"/>
        <v>46.300862001573925</v>
      </c>
      <c r="J54" s="4">
        <f t="shared" si="44"/>
        <v>1082189.9301960887</v>
      </c>
      <c r="K54" s="1">
        <f t="shared" si="45"/>
        <v>1371.09</v>
      </c>
      <c r="L54" s="5">
        <f t="shared" si="46"/>
        <v>0.24657534246575344</v>
      </c>
      <c r="M54" s="5">
        <f t="shared" si="47"/>
        <v>-0.4112642050313457</v>
      </c>
      <c r="N54" s="5">
        <f t="shared" si="48"/>
        <v>33.865927625485924</v>
      </c>
      <c r="O54" s="1">
        <f t="shared" si="49"/>
        <v>0</v>
      </c>
      <c r="P54" s="1">
        <f t="shared" si="50"/>
        <v>1371.09</v>
      </c>
      <c r="Q54" s="5">
        <f t="shared" si="51"/>
        <v>0.24657534246575344</v>
      </c>
      <c r="R54" s="5">
        <f t="shared" si="52"/>
        <v>-0.4112642050313457</v>
      </c>
      <c r="S54" s="5">
        <f t="shared" si="3"/>
        <v>33.865927625485924</v>
      </c>
      <c r="T54" s="5">
        <f t="shared" si="6"/>
        <v>-762.9258230229284</v>
      </c>
      <c r="U54" s="4">
        <f t="shared" si="7"/>
        <v>1082242.3200483259</v>
      </c>
      <c r="V54" s="4">
        <f t="shared" si="53"/>
        <v>17.464129493382572</v>
      </c>
      <c r="W54" s="4">
        <f t="shared" si="8"/>
        <v>1056405.1293422172</v>
      </c>
      <c r="X54" s="4">
        <f t="shared" si="22"/>
        <v>10348.271741507808</v>
      </c>
      <c r="Y54" s="9">
        <f>SUM($X$6:X54)</f>
        <v>56405.129342217231</v>
      </c>
      <c r="Z54" s="16">
        <f t="shared" si="23"/>
        <v>5.6405129342217232E-2</v>
      </c>
      <c r="AA54" s="16">
        <f t="shared" si="9"/>
        <v>9.3096643853851899E-2</v>
      </c>
      <c r="AB54" s="16">
        <f t="shared" si="10"/>
        <v>9.8926474849972725E-3</v>
      </c>
      <c r="AC54" s="16">
        <f t="shared" si="11"/>
        <v>1.813155956210032E-2</v>
      </c>
    </row>
    <row r="55" spans="1:31" x14ac:dyDescent="0.15">
      <c r="A55" s="8">
        <v>40982</v>
      </c>
      <c r="B55" s="4">
        <v>1394.28</v>
      </c>
      <c r="C55" s="1">
        <v>16.567699999999999</v>
      </c>
      <c r="D55" s="1">
        <v>2.1</v>
      </c>
      <c r="E55" s="1">
        <v>0.4839</v>
      </c>
      <c r="F55" s="4">
        <f t="shared" si="0"/>
        <v>0.16567699999999999</v>
      </c>
      <c r="G55" s="4">
        <f t="shared" si="1"/>
        <v>2.1000000000000001E-2</v>
      </c>
      <c r="H55" s="4">
        <f t="shared" si="2"/>
        <v>4.8389999999999996E-3</v>
      </c>
      <c r="I55" s="3">
        <f t="shared" si="5"/>
        <v>48.707955407767365</v>
      </c>
      <c r="J55" s="4">
        <f t="shared" si="44"/>
        <v>1082242.3200483259</v>
      </c>
      <c r="K55" s="1">
        <f t="shared" si="45"/>
        <v>1371.09</v>
      </c>
      <c r="L55" s="5">
        <f t="shared" si="46"/>
        <v>0.24383561643835619</v>
      </c>
      <c r="M55" s="5">
        <f t="shared" si="47"/>
        <v>-0.4194674190339861</v>
      </c>
      <c r="N55" s="5">
        <f t="shared" si="48"/>
        <v>36.681571650981923</v>
      </c>
      <c r="O55" s="1">
        <f t="shared" si="49"/>
        <v>0</v>
      </c>
      <c r="P55" s="1">
        <f t="shared" si="50"/>
        <v>1371.09</v>
      </c>
      <c r="Q55" s="5">
        <f t="shared" si="51"/>
        <v>0.24383561643835619</v>
      </c>
      <c r="R55" s="5">
        <f t="shared" si="52"/>
        <v>-0.4194674190339861</v>
      </c>
      <c r="S55" s="5">
        <f t="shared" si="3"/>
        <v>36.681571650981923</v>
      </c>
      <c r="T55" s="5">
        <f t="shared" si="6"/>
        <v>-762.9258230229284</v>
      </c>
      <c r="U55" s="4">
        <f t="shared" si="7"/>
        <v>1082259.7841778193</v>
      </c>
      <c r="V55" s="4">
        <f t="shared" si="53"/>
        <v>17.464411311800973</v>
      </c>
      <c r="W55" s="4">
        <f t="shared" si="8"/>
        <v>1054274.4659362193</v>
      </c>
      <c r="X55" s="4">
        <f t="shared" si="22"/>
        <v>-2130.6634059979115</v>
      </c>
      <c r="Y55" s="9">
        <f>SUM($X$6:X55)</f>
        <v>54274.46593621932</v>
      </c>
      <c r="Z55" s="16">
        <f t="shared" si="23"/>
        <v>5.4274465936219318E-2</v>
      </c>
      <c r="AA55" s="16">
        <f t="shared" si="9"/>
        <v>9.1788952750849639E-2</v>
      </c>
      <c r="AB55" s="16">
        <f t="shared" si="10"/>
        <v>-2.0168999059334307E-3</v>
      </c>
      <c r="AC55" s="16">
        <f t="shared" si="11"/>
        <v>-1.1963179196963162E-3</v>
      </c>
    </row>
    <row r="56" spans="1:31" x14ac:dyDescent="0.15">
      <c r="A56" s="8">
        <v>40983</v>
      </c>
      <c r="B56" s="4">
        <v>1402.6</v>
      </c>
      <c r="C56" s="1">
        <v>16.332799999999999</v>
      </c>
      <c r="D56" s="1">
        <v>2.09</v>
      </c>
      <c r="E56" s="1">
        <v>0.48420000000000002</v>
      </c>
      <c r="F56" s="4">
        <f t="shared" si="0"/>
        <v>0.163328</v>
      </c>
      <c r="G56" s="4">
        <f t="shared" si="1"/>
        <v>2.0899999999999998E-2</v>
      </c>
      <c r="H56" s="4">
        <f t="shared" si="2"/>
        <v>4.8419999999999999E-3</v>
      </c>
      <c r="I56" s="3">
        <f t="shared" si="5"/>
        <v>48.327684757451635</v>
      </c>
      <c r="J56" s="4">
        <f t="shared" si="44"/>
        <v>1082259.7841778193</v>
      </c>
      <c r="K56" s="1">
        <f t="shared" si="45"/>
        <v>1371.09</v>
      </c>
      <c r="L56" s="5">
        <f t="shared" si="46"/>
        <v>0.24109589041095894</v>
      </c>
      <c r="M56" s="5">
        <f t="shared" si="47"/>
        <v>-0.38963335514987391</v>
      </c>
      <c r="N56" s="5">
        <f t="shared" si="48"/>
        <v>32.405519386951148</v>
      </c>
      <c r="O56" s="1">
        <f t="shared" si="49"/>
        <v>0</v>
      </c>
      <c r="P56" s="1">
        <f t="shared" si="50"/>
        <v>1371.09</v>
      </c>
      <c r="Q56" s="5">
        <f t="shared" si="51"/>
        <v>0.24109589041095894</v>
      </c>
      <c r="R56" s="5">
        <f t="shared" si="52"/>
        <v>-0.38963335514987391</v>
      </c>
      <c r="S56" s="5">
        <f t="shared" si="3"/>
        <v>32.405519386951148</v>
      </c>
      <c r="T56" s="5">
        <f t="shared" si="6"/>
        <v>-762.9258230229284</v>
      </c>
      <c r="U56" s="4">
        <f t="shared" si="7"/>
        <v>1082277.248589131</v>
      </c>
      <c r="V56" s="4">
        <f t="shared" si="53"/>
        <v>17.464693134767074</v>
      </c>
      <c r="W56" s="4">
        <f t="shared" si="8"/>
        <v>1057554.241040356</v>
      </c>
      <c r="X56" s="4">
        <f t="shared" si="22"/>
        <v>3279.7751041366719</v>
      </c>
      <c r="Y56" s="9">
        <f>SUM($X$6:X56)</f>
        <v>57554.241040355992</v>
      </c>
      <c r="Z56" s="16">
        <f t="shared" si="23"/>
        <v>5.7554241040355988E-2</v>
      </c>
      <c r="AA56" s="16">
        <f t="shared" si="9"/>
        <v>9.8303916808920463E-2</v>
      </c>
      <c r="AB56" s="16">
        <f t="shared" si="10"/>
        <v>3.110930986291277E-3</v>
      </c>
      <c r="AC56" s="16">
        <f t="shared" si="11"/>
        <v>5.9672375706457358E-3</v>
      </c>
      <c r="AE56" s="17"/>
    </row>
    <row r="57" spans="1:31" x14ac:dyDescent="0.15">
      <c r="A57" s="8">
        <v>40984</v>
      </c>
      <c r="B57" s="4">
        <v>1404.17</v>
      </c>
      <c r="C57" s="1">
        <v>15.9023</v>
      </c>
      <c r="D57" s="1">
        <v>2.09</v>
      </c>
      <c r="E57" s="1">
        <v>0.48420000000000002</v>
      </c>
      <c r="F57" s="4">
        <f t="shared" si="0"/>
        <v>0.159023</v>
      </c>
      <c r="G57" s="4">
        <f t="shared" si="1"/>
        <v>2.0899999999999998E-2</v>
      </c>
      <c r="H57" s="4">
        <f t="shared" si="2"/>
        <v>4.8419999999999999E-3</v>
      </c>
      <c r="I57" s="3">
        <f t="shared" si="5"/>
        <v>47.183952355956599</v>
      </c>
      <c r="J57" s="4">
        <f t="shared" si="44"/>
        <v>1082277.248589131</v>
      </c>
      <c r="K57" s="1">
        <f t="shared" si="45"/>
        <v>1371.09</v>
      </c>
      <c r="L57" s="5">
        <f t="shared" si="46"/>
        <v>0.23835616438356169</v>
      </c>
      <c r="M57" s="5">
        <f t="shared" si="47"/>
        <v>-0.3814844358307099</v>
      </c>
      <c r="N57" s="5">
        <f t="shared" si="48"/>
        <v>30.408379941215898</v>
      </c>
      <c r="O57" s="1">
        <f t="shared" si="49"/>
        <v>0</v>
      </c>
      <c r="P57" s="1">
        <f t="shared" si="50"/>
        <v>1371.09</v>
      </c>
      <c r="Q57" s="5">
        <f t="shared" si="51"/>
        <v>0.23835616438356169</v>
      </c>
      <c r="R57" s="5">
        <f t="shared" si="52"/>
        <v>-0.3814844358307099</v>
      </c>
      <c r="S57" s="5">
        <f t="shared" si="3"/>
        <v>30.408379941215898</v>
      </c>
      <c r="T57" s="5">
        <f t="shared" si="6"/>
        <v>-762.9258230229284</v>
      </c>
      <c r="U57" s="4">
        <f t="shared" si="7"/>
        <v>1082294.7132822659</v>
      </c>
      <c r="V57" s="4">
        <f t="shared" si="53"/>
        <v>17.464974962280948</v>
      </c>
      <c r="W57" s="4">
        <f t="shared" si="8"/>
        <v>1059095.3749888199</v>
      </c>
      <c r="X57" s="4">
        <f t="shared" si="22"/>
        <v>1541.1339484639466</v>
      </c>
      <c r="Y57" s="9">
        <f>SUM($X$6:X57)</f>
        <v>59095.374988819938</v>
      </c>
      <c r="Z57" s="16">
        <f t="shared" si="23"/>
        <v>5.9095374988819935E-2</v>
      </c>
      <c r="AA57" s="16">
        <f t="shared" si="9"/>
        <v>9.9533303055455602E-2</v>
      </c>
      <c r="AB57" s="16">
        <f t="shared" si="10"/>
        <v>1.4572623215504058E-3</v>
      </c>
      <c r="AC57" s="16">
        <f t="shared" si="11"/>
        <v>1.1193497789820075E-3</v>
      </c>
    </row>
    <row r="58" spans="1:31" x14ac:dyDescent="0.15">
      <c r="A58" s="8">
        <v>40987</v>
      </c>
      <c r="B58" s="4">
        <v>1409.75</v>
      </c>
      <c r="C58" s="1">
        <v>15.765700000000001</v>
      </c>
      <c r="D58" s="1">
        <v>2.0699999999999998</v>
      </c>
      <c r="E58" s="1">
        <v>0.48420000000000002</v>
      </c>
      <c r="F58" s="4">
        <f t="shared" si="0"/>
        <v>0.15765700000000002</v>
      </c>
      <c r="G58" s="4">
        <f t="shared" si="1"/>
        <v>2.07E-2</v>
      </c>
      <c r="H58" s="4">
        <f t="shared" si="2"/>
        <v>4.8419999999999999E-3</v>
      </c>
      <c r="I58" s="3">
        <f t="shared" si="5"/>
        <v>46.954596771097179</v>
      </c>
      <c r="J58" s="4">
        <f t="shared" si="44"/>
        <v>1082294.7132822659</v>
      </c>
      <c r="K58" s="1">
        <f t="shared" si="45"/>
        <v>1371.09</v>
      </c>
      <c r="L58" s="5">
        <f t="shared" si="46"/>
        <v>0.23013698630136992</v>
      </c>
      <c r="M58" s="5">
        <f t="shared" si="47"/>
        <v>-0.35875231970816918</v>
      </c>
      <c r="N58" s="5">
        <f t="shared" si="48"/>
        <v>27.189305121737121</v>
      </c>
      <c r="O58" s="1">
        <f t="shared" si="49"/>
        <v>0</v>
      </c>
      <c r="P58" s="1">
        <f t="shared" si="50"/>
        <v>1371.09</v>
      </c>
      <c r="Q58" s="5">
        <f t="shared" si="51"/>
        <v>0.23013698630136992</v>
      </c>
      <c r="R58" s="5">
        <f t="shared" si="52"/>
        <v>-0.35875231970816918</v>
      </c>
      <c r="S58" s="5">
        <f t="shared" si="3"/>
        <v>27.189305121737121</v>
      </c>
      <c r="T58" s="5">
        <f t="shared" si="6"/>
        <v>-762.9258230229284</v>
      </c>
      <c r="U58" s="4">
        <f t="shared" si="7"/>
        <v>1082312.1782572281</v>
      </c>
      <c r="V58" s="4">
        <f t="shared" si="53"/>
        <v>52.395770383028001</v>
      </c>
      <c r="W58" s="4">
        <f t="shared" si="8"/>
        <v>1061568.7552698052</v>
      </c>
      <c r="X58" s="4">
        <f t="shared" si="22"/>
        <v>2473.3802809852641</v>
      </c>
      <c r="Y58" s="9">
        <f>SUM($X$6:X58)</f>
        <v>61568.755269805202</v>
      </c>
      <c r="Z58" s="16">
        <f t="shared" si="23"/>
        <v>6.1568755269805202E-2</v>
      </c>
      <c r="AA58" s="16">
        <f t="shared" si="9"/>
        <v>0.1039027140463252</v>
      </c>
      <c r="AB58" s="16">
        <f t="shared" si="10"/>
        <v>2.3353706751966258E-3</v>
      </c>
      <c r="AC58" s="16">
        <f t="shared" si="11"/>
        <v>3.973877806818211E-3</v>
      </c>
    </row>
    <row r="59" spans="1:31" x14ac:dyDescent="0.15">
      <c r="A59" s="8">
        <v>40988</v>
      </c>
      <c r="B59" s="4">
        <v>1405.52</v>
      </c>
      <c r="C59" s="1">
        <v>15.9274</v>
      </c>
      <c r="D59" s="1">
        <v>2.09</v>
      </c>
      <c r="E59" s="1">
        <v>0.48470000000000002</v>
      </c>
      <c r="F59" s="4">
        <f t="shared" si="0"/>
        <v>0.159274</v>
      </c>
      <c r="G59" s="4">
        <f t="shared" si="1"/>
        <v>2.0899999999999998E-2</v>
      </c>
      <c r="H59" s="4">
        <f t="shared" si="2"/>
        <v>4.8470000000000006E-3</v>
      </c>
      <c r="I59" s="3">
        <f t="shared" si="5"/>
        <v>47.298283126314601</v>
      </c>
      <c r="J59" s="4">
        <f t="shared" si="44"/>
        <v>1082312.1782572281</v>
      </c>
      <c r="K59" s="1">
        <f t="shared" si="45"/>
        <v>1371.09</v>
      </c>
      <c r="L59" s="5">
        <f t="shared" si="46"/>
        <v>0.22739726027397267</v>
      </c>
      <c r="M59" s="5">
        <f t="shared" si="47"/>
        <v>-0.37404703989480836</v>
      </c>
      <c r="N59" s="5">
        <f t="shared" si="48"/>
        <v>28.908668708144305</v>
      </c>
      <c r="O59" s="1">
        <f t="shared" si="49"/>
        <v>0</v>
      </c>
      <c r="P59" s="1">
        <f t="shared" si="50"/>
        <v>1371.09</v>
      </c>
      <c r="Q59" s="5">
        <f t="shared" si="51"/>
        <v>0.22739726027397267</v>
      </c>
      <c r="R59" s="5">
        <f t="shared" si="52"/>
        <v>-0.37404703989480836</v>
      </c>
      <c r="S59" s="5">
        <f t="shared" si="3"/>
        <v>28.908668708144305</v>
      </c>
      <c r="T59" s="5">
        <f t="shared" si="6"/>
        <v>-762.9258230229284</v>
      </c>
      <c r="U59" s="4">
        <f t="shared" si="7"/>
        <v>1082364.5740276112</v>
      </c>
      <c r="V59" s="4">
        <f t="shared" si="53"/>
        <v>17.466102304171589</v>
      </c>
      <c r="W59" s="4">
        <f t="shared" si="8"/>
        <v>1060309.4041609529</v>
      </c>
      <c r="X59" s="4">
        <f t="shared" si="22"/>
        <v>-1259.3511088523082</v>
      </c>
      <c r="Y59" s="9">
        <f>SUM($X$6:X59)</f>
        <v>60309.404160952894</v>
      </c>
      <c r="Z59" s="16">
        <f t="shared" si="23"/>
        <v>6.0309404160952894E-2</v>
      </c>
      <c r="AA59" s="16">
        <f t="shared" si="9"/>
        <v>0.1005904186177627</v>
      </c>
      <c r="AB59" s="16">
        <f t="shared" si="10"/>
        <v>-1.1863113930215808E-3</v>
      </c>
      <c r="AC59" s="16">
        <f t="shared" si="11"/>
        <v>-3.0005320092215061E-3</v>
      </c>
    </row>
    <row r="60" spans="1:31" x14ac:dyDescent="0.15">
      <c r="A60" s="8">
        <v>40989</v>
      </c>
      <c r="B60" s="4">
        <v>1402.89</v>
      </c>
      <c r="C60" s="1">
        <v>15.2639</v>
      </c>
      <c r="D60" s="1">
        <v>2.09</v>
      </c>
      <c r="E60" s="1">
        <v>0.48449999999999999</v>
      </c>
      <c r="F60" s="4">
        <f t="shared" si="0"/>
        <v>0.152639</v>
      </c>
      <c r="G60" s="4">
        <f t="shared" si="1"/>
        <v>2.0899999999999998E-2</v>
      </c>
      <c r="H60" s="4">
        <f t="shared" si="2"/>
        <v>4.8449999999999995E-3</v>
      </c>
      <c r="I60" s="3">
        <f t="shared" si="5"/>
        <v>45.365767167734049</v>
      </c>
      <c r="J60" s="4">
        <f t="shared" si="44"/>
        <v>1082364.5740276112</v>
      </c>
      <c r="K60" s="1">
        <f t="shared" si="45"/>
        <v>1371.09</v>
      </c>
      <c r="L60" s="5">
        <f t="shared" si="46"/>
        <v>0.22465753424657542</v>
      </c>
      <c r="M60" s="5">
        <f t="shared" si="47"/>
        <v>-0.37907046972260411</v>
      </c>
      <c r="N60" s="5">
        <f t="shared" si="48"/>
        <v>27.961220927632166</v>
      </c>
      <c r="O60" s="1">
        <f t="shared" si="49"/>
        <v>0</v>
      </c>
      <c r="P60" s="1">
        <f t="shared" si="50"/>
        <v>1371.09</v>
      </c>
      <c r="Q60" s="5">
        <f t="shared" si="51"/>
        <v>0.22465753424657542</v>
      </c>
      <c r="R60" s="5">
        <f t="shared" si="52"/>
        <v>-0.37907046972260411</v>
      </c>
      <c r="S60" s="5">
        <f t="shared" si="3"/>
        <v>27.961220927632166</v>
      </c>
      <c r="T60" s="5">
        <f t="shared" si="6"/>
        <v>-762.9258230229284</v>
      </c>
      <c r="U60" s="4">
        <f t="shared" si="7"/>
        <v>1082382.0401299153</v>
      </c>
      <c r="V60" s="4">
        <f t="shared" si="53"/>
        <v>17.46638415442521</v>
      </c>
      <c r="W60" s="4">
        <f t="shared" si="8"/>
        <v>1061049.7026409756</v>
      </c>
      <c r="X60" s="4">
        <f t="shared" si="22"/>
        <v>740.29848002269864</v>
      </c>
      <c r="Y60" s="9">
        <f>SUM($X$6:X60)</f>
        <v>61049.702640975593</v>
      </c>
      <c r="Z60" s="16">
        <f t="shared" si="23"/>
        <v>6.1049702640975589E-2</v>
      </c>
      <c r="AA60" s="16">
        <f t="shared" si="9"/>
        <v>9.8531000892675483E-2</v>
      </c>
      <c r="AB60" s="16">
        <f t="shared" si="10"/>
        <v>6.9819099700291144E-4</v>
      </c>
      <c r="AC60" s="16">
        <f t="shared" si="11"/>
        <v>-1.8711935796003486E-3</v>
      </c>
    </row>
    <row r="61" spans="1:31" x14ac:dyDescent="0.15">
      <c r="A61" s="8">
        <v>40990</v>
      </c>
      <c r="B61" s="4">
        <v>1392.78</v>
      </c>
      <c r="C61" s="1">
        <v>16.202300000000001</v>
      </c>
      <c r="D61" s="1">
        <v>2.11</v>
      </c>
      <c r="E61" s="1">
        <v>0.48420000000000002</v>
      </c>
      <c r="F61" s="4">
        <f t="shared" si="0"/>
        <v>0.162023</v>
      </c>
      <c r="G61" s="4">
        <f t="shared" si="1"/>
        <v>2.1099999999999997E-2</v>
      </c>
      <c r="H61" s="4">
        <f t="shared" si="2"/>
        <v>4.8419999999999999E-3</v>
      </c>
      <c r="I61" s="3">
        <f t="shared" si="5"/>
        <v>47.663967143942628</v>
      </c>
      <c r="J61" s="4">
        <f t="shared" si="44"/>
        <v>1082382.0401299153</v>
      </c>
      <c r="K61" s="1">
        <f t="shared" si="45"/>
        <v>1371.09</v>
      </c>
      <c r="L61" s="5">
        <f t="shared" si="46"/>
        <v>0.22191780821917817</v>
      </c>
      <c r="M61" s="5">
        <f t="shared" si="47"/>
        <v>-0.42012460755745684</v>
      </c>
      <c r="N61" s="5">
        <f t="shared" si="48"/>
        <v>34.144475411991145</v>
      </c>
      <c r="O61" s="1">
        <f t="shared" si="49"/>
        <v>0</v>
      </c>
      <c r="P61" s="1">
        <f t="shared" si="50"/>
        <v>1371.09</v>
      </c>
      <c r="Q61" s="5">
        <f t="shared" si="51"/>
        <v>0.22191780821917817</v>
      </c>
      <c r="R61" s="5">
        <f t="shared" si="52"/>
        <v>-0.42012460755745684</v>
      </c>
      <c r="S61" s="5">
        <f t="shared" si="3"/>
        <v>34.144475411991145</v>
      </c>
      <c r="T61" s="5">
        <f t="shared" si="6"/>
        <v>-762.9258230229284</v>
      </c>
      <c r="U61" s="4">
        <f t="shared" si="7"/>
        <v>1082399.5065140699</v>
      </c>
      <c r="V61" s="4">
        <f t="shared" si="53"/>
        <v>17.466666009227044</v>
      </c>
      <c r="W61" s="4">
        <f t="shared" si="8"/>
        <v>1056349.8045086903</v>
      </c>
      <c r="X61" s="4">
        <f t="shared" si="22"/>
        <v>-4699.898132285336</v>
      </c>
      <c r="Y61" s="9">
        <f>SUM($X$6:X61)</f>
        <v>56349.804508690257</v>
      </c>
      <c r="Z61" s="16">
        <f t="shared" si="23"/>
        <v>5.634980450869026E-2</v>
      </c>
      <c r="AA61" s="16">
        <f t="shared" si="9"/>
        <v>9.0614379903841663E-2</v>
      </c>
      <c r="AB61" s="16">
        <f t="shared" si="10"/>
        <v>-4.429479712955188E-3</v>
      </c>
      <c r="AC61" s="16">
        <f t="shared" si="11"/>
        <v>-7.2065521886962814E-3</v>
      </c>
    </row>
    <row r="62" spans="1:31" x14ac:dyDescent="0.15">
      <c r="A62" s="8">
        <v>40991</v>
      </c>
      <c r="B62" s="4">
        <v>1397.11</v>
      </c>
      <c r="C62" s="1">
        <v>15.101000000000001</v>
      </c>
      <c r="D62" s="1">
        <v>2.1</v>
      </c>
      <c r="E62" s="1">
        <v>0.48370000000000002</v>
      </c>
      <c r="F62" s="4">
        <f t="shared" si="0"/>
        <v>0.15101000000000001</v>
      </c>
      <c r="G62" s="4">
        <f t="shared" si="1"/>
        <v>2.1000000000000001E-2</v>
      </c>
      <c r="H62" s="4">
        <f t="shared" si="2"/>
        <v>4.8370000000000002E-3</v>
      </c>
      <c r="I62" s="3">
        <f t="shared" si="5"/>
        <v>44.746943787989444</v>
      </c>
      <c r="J62" s="4">
        <f t="shared" si="44"/>
        <v>1082399.5065140699</v>
      </c>
      <c r="K62" s="1">
        <f t="shared" si="45"/>
        <v>1371.09</v>
      </c>
      <c r="L62" s="5">
        <f t="shared" si="46"/>
        <v>0.21917808219178092</v>
      </c>
      <c r="M62" s="5">
        <f t="shared" si="47"/>
        <v>-0.39900513283680139</v>
      </c>
      <c r="N62" s="5">
        <f t="shared" si="48"/>
        <v>29.292276259187805</v>
      </c>
      <c r="O62" s="1">
        <f t="shared" si="49"/>
        <v>0</v>
      </c>
      <c r="P62" s="1">
        <f t="shared" si="50"/>
        <v>1371.09</v>
      </c>
      <c r="Q62" s="5">
        <f t="shared" si="51"/>
        <v>0.21917808219178092</v>
      </c>
      <c r="R62" s="5">
        <f t="shared" si="52"/>
        <v>-0.39900513283680139</v>
      </c>
      <c r="S62" s="5">
        <f t="shared" si="3"/>
        <v>29.292276259187805</v>
      </c>
      <c r="T62" s="5">
        <f t="shared" si="6"/>
        <v>-762.9258230229284</v>
      </c>
      <c r="U62" s="4">
        <f t="shared" si="7"/>
        <v>1082416.9731800791</v>
      </c>
      <c r="V62" s="4">
        <f t="shared" si="53"/>
        <v>17.466947868577165</v>
      </c>
      <c r="W62" s="4">
        <f t="shared" si="8"/>
        <v>1060069.1392068232</v>
      </c>
      <c r="X62" s="4">
        <f t="shared" si="22"/>
        <v>3719.3346981329378</v>
      </c>
      <c r="Y62" s="9">
        <f>SUM($X$6:X62)</f>
        <v>60069.139206823194</v>
      </c>
      <c r="Z62" s="16">
        <f t="shared" si="23"/>
        <v>6.0069139206823191E-2</v>
      </c>
      <c r="AA62" s="16">
        <f t="shared" si="9"/>
        <v>9.4004980188871282E-2</v>
      </c>
      <c r="AB62" s="16">
        <f t="shared" si="10"/>
        <v>3.5209309286167809E-3</v>
      </c>
      <c r="AC62" s="16">
        <f t="shared" si="11"/>
        <v>3.1088901334022081E-3</v>
      </c>
    </row>
    <row r="63" spans="1:31" x14ac:dyDescent="0.15">
      <c r="A63" s="8">
        <v>40994</v>
      </c>
      <c r="B63" s="4">
        <v>1416.51</v>
      </c>
      <c r="C63" s="1">
        <v>14.3436</v>
      </c>
      <c r="D63" s="1">
        <v>2.0699999999999998</v>
      </c>
      <c r="E63" s="1">
        <v>0.48320000000000002</v>
      </c>
      <c r="F63" s="4">
        <f t="shared" si="0"/>
        <v>0.14343600000000001</v>
      </c>
      <c r="G63" s="4">
        <f t="shared" si="1"/>
        <v>2.07E-2</v>
      </c>
      <c r="H63" s="4">
        <f t="shared" si="2"/>
        <v>4.8320000000000004E-3</v>
      </c>
      <c r="I63" s="3">
        <f t="shared" si="5"/>
        <v>43.190087302098185</v>
      </c>
      <c r="J63" s="4">
        <f t="shared" si="44"/>
        <v>1082416.9731800791</v>
      </c>
      <c r="K63" s="1">
        <f t="shared" si="45"/>
        <v>1371.09</v>
      </c>
      <c r="L63" s="5">
        <f t="shared" si="46"/>
        <v>0.21095890410958915</v>
      </c>
      <c r="M63" s="5">
        <f t="shared" si="47"/>
        <v>-0.31536753313088206</v>
      </c>
      <c r="N63" s="5">
        <f t="shared" si="48"/>
        <v>19.742908814580879</v>
      </c>
      <c r="O63" s="1">
        <f t="shared" si="49"/>
        <v>0</v>
      </c>
      <c r="P63" s="1">
        <f t="shared" si="50"/>
        <v>1371.09</v>
      </c>
      <c r="Q63" s="5">
        <f t="shared" si="51"/>
        <v>0.21095890410958915</v>
      </c>
      <c r="R63" s="5">
        <f t="shared" si="52"/>
        <v>-0.31536753313088206</v>
      </c>
      <c r="S63" s="5">
        <f t="shared" si="3"/>
        <v>19.742908814580879</v>
      </c>
      <c r="T63" s="5">
        <f t="shared" si="6"/>
        <v>-762.9258230229284</v>
      </c>
      <c r="U63" s="4">
        <f t="shared" si="7"/>
        <v>1082434.4401279476</v>
      </c>
      <c r="V63" s="4">
        <f t="shared" si="53"/>
        <v>52.40168919742694</v>
      </c>
      <c r="W63" s="4">
        <f t="shared" si="8"/>
        <v>1067372.065171717</v>
      </c>
      <c r="X63" s="4">
        <f t="shared" si="22"/>
        <v>7302.9259648937732</v>
      </c>
      <c r="Y63" s="9">
        <f>SUM($X$6:X63)</f>
        <v>67372.065171716968</v>
      </c>
      <c r="Z63" s="16">
        <f t="shared" si="23"/>
        <v>6.7372065171716969E-2</v>
      </c>
      <c r="AA63" s="16">
        <f t="shared" si="9"/>
        <v>0.10919612234350778</v>
      </c>
      <c r="AB63" s="16">
        <f t="shared" si="10"/>
        <v>6.8891034507032722E-3</v>
      </c>
      <c r="AC63" s="16">
        <f t="shared" si="11"/>
        <v>1.3885807130433603E-2</v>
      </c>
    </row>
    <row r="64" spans="1:31" x14ac:dyDescent="0.15">
      <c r="A64" s="8">
        <v>40995</v>
      </c>
      <c r="B64" s="4">
        <v>1412.52</v>
      </c>
      <c r="C64" s="1">
        <v>14.735900000000001</v>
      </c>
      <c r="D64" s="1">
        <v>2.08</v>
      </c>
      <c r="E64" s="1">
        <v>0.48110000000000003</v>
      </c>
      <c r="F64" s="4">
        <f t="shared" si="0"/>
        <v>0.14735900000000002</v>
      </c>
      <c r="G64" s="4">
        <f t="shared" si="1"/>
        <v>2.0799999999999999E-2</v>
      </c>
      <c r="H64" s="4">
        <f t="shared" si="2"/>
        <v>4.8110000000000002E-3</v>
      </c>
      <c r="I64" s="3">
        <f t="shared" si="5"/>
        <v>44.188101439576776</v>
      </c>
      <c r="J64" s="4">
        <f t="shared" si="44"/>
        <v>1082434.4401279476</v>
      </c>
      <c r="K64" s="1">
        <f t="shared" si="45"/>
        <v>1371.09</v>
      </c>
      <c r="L64" s="5">
        <f t="shared" si="46"/>
        <v>0.2082191780821919</v>
      </c>
      <c r="M64" s="5">
        <f t="shared" si="47"/>
        <v>-0.33330425163902255</v>
      </c>
      <c r="N64" s="5">
        <f t="shared" si="48"/>
        <v>21.719521071044696</v>
      </c>
      <c r="O64" s="1">
        <f t="shared" si="49"/>
        <v>0</v>
      </c>
      <c r="P64" s="1">
        <f t="shared" si="50"/>
        <v>1371.09</v>
      </c>
      <c r="Q64" s="5">
        <f t="shared" si="51"/>
        <v>0.2082191780821919</v>
      </c>
      <c r="R64" s="5">
        <f t="shared" si="52"/>
        <v>-0.33330425163902255</v>
      </c>
      <c r="S64" s="5">
        <f t="shared" si="3"/>
        <v>21.719521071044696</v>
      </c>
      <c r="T64" s="5">
        <f t="shared" si="6"/>
        <v>-762.9258230229284</v>
      </c>
      <c r="U64" s="4">
        <f t="shared" si="7"/>
        <v>1082486.841817145</v>
      </c>
      <c r="V64" s="4">
        <f t="shared" si="53"/>
        <v>17.468075337816394</v>
      </c>
      <c r="W64" s="4">
        <f t="shared" si="8"/>
        <v>1065916.4583283544</v>
      </c>
      <c r="X64" s="4">
        <f t="shared" si="22"/>
        <v>-1455.6068433625624</v>
      </c>
      <c r="Y64" s="9">
        <f>SUM($X$6:X64)</f>
        <v>65916.458328354405</v>
      </c>
      <c r="Z64" s="16">
        <f t="shared" si="23"/>
        <v>6.591645832835441E-2</v>
      </c>
      <c r="AA64" s="16">
        <f t="shared" si="9"/>
        <v>0.10607175857046658</v>
      </c>
      <c r="AB64" s="16">
        <f t="shared" si="10"/>
        <v>-1.3637295661549722E-3</v>
      </c>
      <c r="AC64" s="16">
        <f t="shared" si="11"/>
        <v>-2.8167820911959738E-3</v>
      </c>
    </row>
    <row r="65" spans="1:31" x14ac:dyDescent="0.15">
      <c r="A65" s="8">
        <v>40996</v>
      </c>
      <c r="B65" s="4">
        <v>1405.54</v>
      </c>
      <c r="C65" s="1">
        <v>15.541700000000001</v>
      </c>
      <c r="D65" s="1">
        <v>2.09</v>
      </c>
      <c r="E65" s="1">
        <v>0.48020000000000002</v>
      </c>
      <c r="F65" s="4">
        <f t="shared" si="0"/>
        <v>0.155417</v>
      </c>
      <c r="G65" s="4">
        <f t="shared" si="1"/>
        <v>2.0899999999999998E-2</v>
      </c>
      <c r="H65" s="4">
        <f t="shared" si="2"/>
        <v>4.8019999999999998E-3</v>
      </c>
      <c r="I65" s="3">
        <f t="shared" si="5"/>
        <v>46.233200118783436</v>
      </c>
      <c r="J65" s="4">
        <f t="shared" si="44"/>
        <v>1082486.841817145</v>
      </c>
      <c r="K65" s="1">
        <f t="shared" si="45"/>
        <v>1371.09</v>
      </c>
      <c r="L65" s="5">
        <f t="shared" si="46"/>
        <v>0.20547945205479465</v>
      </c>
      <c r="M65" s="5">
        <f t="shared" si="47"/>
        <v>-0.36516299302285832</v>
      </c>
      <c r="N65" s="5">
        <f t="shared" si="48"/>
        <v>25.816563200593663</v>
      </c>
      <c r="O65" s="1">
        <f t="shared" si="49"/>
        <v>0</v>
      </c>
      <c r="P65" s="1">
        <f t="shared" si="50"/>
        <v>1371.09</v>
      </c>
      <c r="Q65" s="5">
        <f t="shared" si="51"/>
        <v>0.20547945205479465</v>
      </c>
      <c r="R65" s="5">
        <f t="shared" si="52"/>
        <v>-0.36516299302285832</v>
      </c>
      <c r="S65" s="5">
        <f t="shared" si="3"/>
        <v>25.816563200593663</v>
      </c>
      <c r="T65" s="5">
        <f t="shared" si="6"/>
        <v>-762.9258230229284</v>
      </c>
      <c r="U65" s="4">
        <f t="shared" si="7"/>
        <v>1082504.3098924828</v>
      </c>
      <c r="V65" s="4">
        <f t="shared" si="53"/>
        <v>17.468357219908832</v>
      </c>
      <c r="W65" s="4">
        <f t="shared" si="8"/>
        <v>1062808.1871650463</v>
      </c>
      <c r="X65" s="4">
        <f t="shared" si="22"/>
        <v>-3108.2711633080617</v>
      </c>
      <c r="Y65" s="9">
        <f>SUM($X$6:X65)</f>
        <v>62808.187165046344</v>
      </c>
      <c r="Z65" s="16">
        <f t="shared" si="23"/>
        <v>6.2808187165046339E-2</v>
      </c>
      <c r="AA65" s="16">
        <f t="shared" si="9"/>
        <v>0.10060607958905614</v>
      </c>
      <c r="AB65" s="16">
        <f t="shared" si="10"/>
        <v>-2.9160551364247368E-3</v>
      </c>
      <c r="AC65" s="16">
        <f t="shared" si="11"/>
        <v>-4.9415229518874199E-3</v>
      </c>
      <c r="AE65" s="17"/>
    </row>
    <row r="66" spans="1:31" x14ac:dyDescent="0.15">
      <c r="A66" s="8">
        <v>40997</v>
      </c>
      <c r="B66" s="4">
        <v>1403.28</v>
      </c>
      <c r="C66" s="1">
        <v>15.253399999999999</v>
      </c>
      <c r="D66" s="1">
        <v>2.09</v>
      </c>
      <c r="E66" s="1">
        <v>0.47339999999999999</v>
      </c>
      <c r="F66" s="4">
        <f t="shared" si="0"/>
        <v>0.152534</v>
      </c>
      <c r="G66" s="4">
        <f t="shared" si="1"/>
        <v>2.0899999999999998E-2</v>
      </c>
      <c r="H66" s="4">
        <f t="shared" si="2"/>
        <v>4.7339999999999995E-3</v>
      </c>
      <c r="I66" s="3">
        <f t="shared" si="5"/>
        <v>45.369981062052062</v>
      </c>
      <c r="J66" s="4">
        <f t="shared" si="44"/>
        <v>1082504.3098924828</v>
      </c>
      <c r="K66" s="1">
        <f t="shared" si="45"/>
        <v>1371.09</v>
      </c>
      <c r="L66" s="5">
        <f t="shared" si="46"/>
        <v>0.2027397260273974</v>
      </c>
      <c r="M66" s="5">
        <f t="shared" si="47"/>
        <v>-0.3712013664380952</v>
      </c>
      <c r="N66" s="5">
        <f t="shared" si="48"/>
        <v>25.699613080063916</v>
      </c>
      <c r="O66" s="1">
        <f t="shared" si="49"/>
        <v>0</v>
      </c>
      <c r="P66" s="1">
        <f t="shared" si="50"/>
        <v>1371.09</v>
      </c>
      <c r="Q66" s="5">
        <f t="shared" si="51"/>
        <v>0.2027397260273974</v>
      </c>
      <c r="R66" s="5">
        <f t="shared" si="52"/>
        <v>-0.3712013664380952</v>
      </c>
      <c r="S66" s="5">
        <f t="shared" si="3"/>
        <v>25.699613080063916</v>
      </c>
      <c r="T66" s="5">
        <f t="shared" si="6"/>
        <v>-762.9258230229284</v>
      </c>
      <c r="U66" s="4">
        <f t="shared" si="7"/>
        <v>1082521.7782497026</v>
      </c>
      <c r="V66" s="4">
        <f t="shared" si="53"/>
        <v>17.468639106549993</v>
      </c>
      <c r="W66" s="4">
        <f t="shared" si="8"/>
        <v>1062914.8797892241</v>
      </c>
      <c r="X66" s="4">
        <f t="shared" si="22"/>
        <v>106.69262417778373</v>
      </c>
      <c r="Y66" s="9">
        <f>SUM($X$6:X66)</f>
        <v>62914.879789224127</v>
      </c>
      <c r="Z66" s="16">
        <f t="shared" si="23"/>
        <v>6.2914879789224123E-2</v>
      </c>
      <c r="AA66" s="16">
        <f t="shared" si="9"/>
        <v>9.8836389832897456E-2</v>
      </c>
      <c r="AB66" s="16">
        <f t="shared" si="10"/>
        <v>1.0038746922187111E-4</v>
      </c>
      <c r="AC66" s="16">
        <f t="shared" si="11"/>
        <v>-1.6079229335344359E-3</v>
      </c>
      <c r="AE66" s="17"/>
    </row>
    <row r="67" spans="1:31" x14ac:dyDescent="0.15">
      <c r="A67" s="8">
        <v>40998</v>
      </c>
      <c r="B67" s="4">
        <v>1408.47</v>
      </c>
      <c r="C67" s="1">
        <v>15.0397</v>
      </c>
      <c r="D67" s="1">
        <v>2.08</v>
      </c>
      <c r="E67" s="1">
        <v>0.47339999999999999</v>
      </c>
      <c r="F67" s="4">
        <f t="shared" si="0"/>
        <v>0.150397</v>
      </c>
      <c r="G67" s="4">
        <f t="shared" si="1"/>
        <v>2.0799999999999999E-2</v>
      </c>
      <c r="H67" s="4">
        <f t="shared" si="2"/>
        <v>4.7339999999999995E-3</v>
      </c>
      <c r="I67" s="3">
        <f t="shared" si="5"/>
        <v>44.923714209224435</v>
      </c>
      <c r="J67" s="4">
        <f t="shared" si="44"/>
        <v>1082521.7782497026</v>
      </c>
      <c r="K67" s="1">
        <f t="shared" si="45"/>
        <v>1371.09</v>
      </c>
      <c r="L67" s="5">
        <f t="shared" si="46"/>
        <v>0.20000000000000015</v>
      </c>
      <c r="M67" s="5">
        <f t="shared" si="47"/>
        <v>-0.34838143532364507</v>
      </c>
      <c r="N67" s="5">
        <f t="shared" si="48"/>
        <v>23.054652513250183</v>
      </c>
      <c r="O67" s="1">
        <f t="shared" si="49"/>
        <v>0</v>
      </c>
      <c r="P67" s="1">
        <f t="shared" si="50"/>
        <v>1371.09</v>
      </c>
      <c r="Q67" s="5">
        <f t="shared" si="51"/>
        <v>0.20000000000000015</v>
      </c>
      <c r="R67" s="5">
        <f t="shared" si="52"/>
        <v>-0.34838143532364507</v>
      </c>
      <c r="S67" s="5">
        <f t="shared" si="3"/>
        <v>23.054652513250183</v>
      </c>
      <c r="T67" s="5">
        <f t="shared" si="6"/>
        <v>-762.9258230229284</v>
      </c>
      <c r="U67" s="4">
        <f t="shared" si="7"/>
        <v>1082539.2468888091</v>
      </c>
      <c r="V67" s="4">
        <f t="shared" si="53"/>
        <v>17.468920997739961</v>
      </c>
      <c r="W67" s="4">
        <f t="shared" si="8"/>
        <v>1064950.2571456302</v>
      </c>
      <c r="X67" s="4">
        <f t="shared" si="22"/>
        <v>2035.3773564060684</v>
      </c>
      <c r="Y67" s="9">
        <f>SUM($X$6:X67)</f>
        <v>64950.257145630196</v>
      </c>
      <c r="Z67" s="16">
        <f t="shared" si="23"/>
        <v>6.49502571456302E-2</v>
      </c>
      <c r="AA67" s="16">
        <f t="shared" si="9"/>
        <v>0.10290041188354508</v>
      </c>
      <c r="AB67" s="16">
        <f t="shared" si="10"/>
        <v>1.9149015552493568E-3</v>
      </c>
      <c r="AC67" s="16">
        <f t="shared" si="11"/>
        <v>3.6984778518898971E-3</v>
      </c>
    </row>
    <row r="68" spans="1:31" x14ac:dyDescent="0.15">
      <c r="A68" s="8">
        <v>41001</v>
      </c>
      <c r="B68" s="4">
        <v>1419.04</v>
      </c>
      <c r="C68" s="1">
        <v>14.759399999999999</v>
      </c>
      <c r="D68" s="1">
        <v>2.0699999999999998</v>
      </c>
      <c r="E68" s="1">
        <v>0.4733</v>
      </c>
      <c r="F68" s="4">
        <f t="shared" si="0"/>
        <v>0.147594</v>
      </c>
      <c r="G68" s="4">
        <f t="shared" si="1"/>
        <v>2.07E-2</v>
      </c>
      <c r="H68" s="4">
        <f t="shared" si="2"/>
        <v>4.7330000000000002E-3</v>
      </c>
      <c r="I68" s="3">
        <f t="shared" si="5"/>
        <v>44.455081336488341</v>
      </c>
      <c r="J68" s="4">
        <f t="shared" si="44"/>
        <v>1082539.2468888091</v>
      </c>
      <c r="K68" s="1">
        <f t="shared" si="45"/>
        <v>1371.09</v>
      </c>
      <c r="L68" s="5">
        <f t="shared" si="46"/>
        <v>0.19178082191780838</v>
      </c>
      <c r="M68" s="5">
        <f t="shared" si="47"/>
        <v>-0.30146163661461584</v>
      </c>
      <c r="N68" s="5">
        <f t="shared" si="48"/>
        <v>18.220056118040123</v>
      </c>
      <c r="O68" s="1">
        <f t="shared" si="49"/>
        <v>0</v>
      </c>
      <c r="P68" s="1">
        <f t="shared" si="50"/>
        <v>1371.09</v>
      </c>
      <c r="Q68" s="5">
        <f t="shared" si="51"/>
        <v>0.19178082191780838</v>
      </c>
      <c r="R68" s="5">
        <f t="shared" si="52"/>
        <v>-0.30146163661461584</v>
      </c>
      <c r="S68" s="5">
        <f t="shared" si="3"/>
        <v>18.220056118040123</v>
      </c>
      <c r="T68" s="5">
        <f t="shared" si="6"/>
        <v>-762.9258230229284</v>
      </c>
      <c r="U68" s="4">
        <f t="shared" si="7"/>
        <v>1082556.7158098069</v>
      </c>
      <c r="V68" s="4">
        <f t="shared" si="53"/>
        <v>52.407608680436404</v>
      </c>
      <c r="W68" s="4">
        <f t="shared" si="8"/>
        <v>1068656.1645004272</v>
      </c>
      <c r="X68" s="4">
        <f t="shared" si="22"/>
        <v>3705.9073547970038</v>
      </c>
      <c r="Y68" s="9">
        <f>SUM($X$6:X68)</f>
        <v>68656.1645004272</v>
      </c>
      <c r="Z68" s="16">
        <f t="shared" si="23"/>
        <v>6.8656164500427205E-2</v>
      </c>
      <c r="AA68" s="16">
        <f t="shared" si="9"/>
        <v>0.11117723521212787</v>
      </c>
      <c r="AB68" s="16">
        <f t="shared" si="10"/>
        <v>3.4798877505601909E-3</v>
      </c>
      <c r="AC68" s="16">
        <f t="shared" si="11"/>
        <v>7.5045971870184927E-3</v>
      </c>
    </row>
    <row r="69" spans="1:31" x14ac:dyDescent="0.15">
      <c r="A69" s="8">
        <v>41002</v>
      </c>
      <c r="B69" s="4">
        <v>1413.38</v>
      </c>
      <c r="C69" s="1">
        <v>15.4382</v>
      </c>
      <c r="D69" s="1">
        <v>2.08</v>
      </c>
      <c r="E69" s="1">
        <v>0.47439999999999999</v>
      </c>
      <c r="F69" s="4">
        <f t="shared" si="0"/>
        <v>0.15438199999999999</v>
      </c>
      <c r="G69" s="4">
        <f t="shared" si="1"/>
        <v>2.0799999999999999E-2</v>
      </c>
      <c r="H69" s="4">
        <f t="shared" si="2"/>
        <v>4.744E-3</v>
      </c>
      <c r="I69" s="3">
        <f t="shared" si="5"/>
        <v>46.194456741313353</v>
      </c>
      <c r="J69" s="4">
        <f t="shared" si="44"/>
        <v>1082556.7158098069</v>
      </c>
      <c r="K69" s="1">
        <f t="shared" si="45"/>
        <v>1371.09</v>
      </c>
      <c r="L69" s="5">
        <f t="shared" si="46"/>
        <v>0.18904109589041113</v>
      </c>
      <c r="M69" s="5">
        <f t="shared" si="47"/>
        <v>-0.32834513887605477</v>
      </c>
      <c r="N69" s="5">
        <f t="shared" si="48"/>
        <v>21.239605886526867</v>
      </c>
      <c r="O69" s="1">
        <f t="shared" si="49"/>
        <v>0</v>
      </c>
      <c r="P69" s="1">
        <f t="shared" si="50"/>
        <v>1371.09</v>
      </c>
      <c r="Q69" s="5">
        <f t="shared" si="51"/>
        <v>0.18904109589041113</v>
      </c>
      <c r="R69" s="5">
        <f t="shared" si="52"/>
        <v>-0.32834513887605477</v>
      </c>
      <c r="S69" s="5">
        <f t="shared" si="3"/>
        <v>21.239605886526867</v>
      </c>
      <c r="T69" s="5">
        <f t="shared" si="6"/>
        <v>-762.9258230229284</v>
      </c>
      <c r="U69" s="4">
        <f t="shared" si="7"/>
        <v>1082609.1234184874</v>
      </c>
      <c r="V69" s="4">
        <f t="shared" si="53"/>
        <v>17.470048594342163</v>
      </c>
      <c r="W69" s="4">
        <f t="shared" si="8"/>
        <v>1066404.8796168263</v>
      </c>
      <c r="X69" s="4">
        <f t="shared" si="22"/>
        <v>-2251.2848836008925</v>
      </c>
      <c r="Y69" s="9">
        <f>SUM($X$6:X69)</f>
        <v>66404.879616826307</v>
      </c>
      <c r="Z69" s="16">
        <f t="shared" si="23"/>
        <v>6.6404879616826312E-2</v>
      </c>
      <c r="AA69" s="16">
        <f t="shared" si="9"/>
        <v>0.10674518033608457</v>
      </c>
      <c r="AB69" s="16">
        <f t="shared" si="10"/>
        <v>-2.1066503505861658E-3</v>
      </c>
      <c r="AC69" s="16">
        <f t="shared" si="11"/>
        <v>-3.9886120193932907E-3</v>
      </c>
    </row>
    <row r="70" spans="1:31" x14ac:dyDescent="0.15">
      <c r="A70" s="8">
        <v>41003</v>
      </c>
      <c r="B70" s="4">
        <v>1398.96</v>
      </c>
      <c r="C70" s="1">
        <v>15.885300000000001</v>
      </c>
      <c r="D70" s="1">
        <v>2.11</v>
      </c>
      <c r="E70" s="1">
        <v>0.47439999999999999</v>
      </c>
      <c r="F70" s="4">
        <f t="shared" si="0"/>
        <v>0.15885300000000002</v>
      </c>
      <c r="G70" s="4">
        <f t="shared" si="1"/>
        <v>2.1099999999999997E-2</v>
      </c>
      <c r="H70" s="4">
        <f t="shared" si="2"/>
        <v>4.744E-3</v>
      </c>
      <c r="I70" s="3">
        <f t="shared" si="5"/>
        <v>47.015067815708434</v>
      </c>
      <c r="J70" s="4">
        <f t="shared" si="44"/>
        <v>1082609.1234184874</v>
      </c>
      <c r="K70" s="1">
        <f t="shared" si="45"/>
        <v>1371.09</v>
      </c>
      <c r="L70" s="5">
        <f t="shared" si="46"/>
        <v>0.18630136986301388</v>
      </c>
      <c r="M70" s="5">
        <f t="shared" si="47"/>
        <v>-0.38693824626013212</v>
      </c>
      <c r="N70" s="5">
        <f t="shared" si="48"/>
        <v>27.155226252000528</v>
      </c>
      <c r="O70" s="1">
        <f t="shared" si="49"/>
        <v>0</v>
      </c>
      <c r="P70" s="1">
        <f t="shared" si="50"/>
        <v>1371.09</v>
      </c>
      <c r="Q70" s="5">
        <f t="shared" si="51"/>
        <v>0.18630136986301388</v>
      </c>
      <c r="R70" s="5">
        <f t="shared" si="52"/>
        <v>-0.38693824626013212</v>
      </c>
      <c r="S70" s="5">
        <f t="shared" si="3"/>
        <v>27.155226252000528</v>
      </c>
      <c r="T70" s="5">
        <f t="shared" si="6"/>
        <v>-762.9258230229284</v>
      </c>
      <c r="U70" s="4">
        <f t="shared" si="7"/>
        <v>1082626.5934670817</v>
      </c>
      <c r="V70" s="4">
        <f t="shared" si="53"/>
        <v>17.470330508277012</v>
      </c>
      <c r="W70" s="4">
        <f t="shared" si="8"/>
        <v>1061909.1701294002</v>
      </c>
      <c r="X70" s="4">
        <f t="shared" si="22"/>
        <v>-4495.7094874260947</v>
      </c>
      <c r="Y70" s="9">
        <f>SUM($X$6:X70)</f>
        <v>61909.170129400212</v>
      </c>
      <c r="Z70" s="16">
        <f t="shared" si="23"/>
        <v>6.1909170129400212E-2</v>
      </c>
      <c r="AA70" s="16">
        <f t="shared" si="9"/>
        <v>9.5453620033514555E-2</v>
      </c>
      <c r="AB70" s="16">
        <f t="shared" si="10"/>
        <v>-4.2157622994387122E-3</v>
      </c>
      <c r="AC70" s="16">
        <f t="shared" si="11"/>
        <v>-1.0202493313900064E-2</v>
      </c>
    </row>
    <row r="71" spans="1:31" x14ac:dyDescent="0.15">
      <c r="A71" s="8">
        <v>41004</v>
      </c>
      <c r="B71" s="4">
        <v>1398.08</v>
      </c>
      <c r="C71" s="1">
        <v>16.1797</v>
      </c>
      <c r="D71" s="1">
        <v>2.11</v>
      </c>
      <c r="E71" s="1">
        <v>0.47439999999999999</v>
      </c>
      <c r="F71" s="4">
        <f t="shared" ref="F71:F134" si="54">C71/100</f>
        <v>0.161797</v>
      </c>
      <c r="G71" s="4">
        <f t="shared" ref="G71:G134" si="55">D71/100</f>
        <v>2.1099999999999997E-2</v>
      </c>
      <c r="H71" s="4">
        <f t="shared" ref="H71:H134" si="56">E71/100</f>
        <v>4.744E-3</v>
      </c>
      <c r="I71" s="3">
        <f t="shared" ref="I71:I134" si="57">BSM_Put(B71,B71,F71,H71,G71,$B$3,$F$3)</f>
        <v>47.801030415985956</v>
      </c>
      <c r="J71" s="4">
        <f t="shared" si="44"/>
        <v>1082626.5934670817</v>
      </c>
      <c r="K71" s="1">
        <f t="shared" si="45"/>
        <v>1371.09</v>
      </c>
      <c r="L71" s="5">
        <f t="shared" si="46"/>
        <v>0.18356164383561663</v>
      </c>
      <c r="M71" s="5">
        <f t="shared" si="47"/>
        <v>-0.39107716679296189</v>
      </c>
      <c r="N71" s="5">
        <f t="shared" si="48"/>
        <v>27.877399062743418</v>
      </c>
      <c r="O71" s="1">
        <f t="shared" si="49"/>
        <v>0</v>
      </c>
      <c r="P71" s="1">
        <f t="shared" si="50"/>
        <v>1371.09</v>
      </c>
      <c r="Q71" s="5">
        <f t="shared" si="51"/>
        <v>0.18356164383561663</v>
      </c>
      <c r="R71" s="5">
        <f t="shared" si="52"/>
        <v>-0.39107716679296189</v>
      </c>
      <c r="S71" s="5">
        <f t="shared" ref="S71:S134" si="58">BSM_Put(B71,P71,F71,H71,G71,Q71,$F$3)</f>
        <v>27.877399062743418</v>
      </c>
      <c r="T71" s="5">
        <f t="shared" si="6"/>
        <v>-762.9258230229284</v>
      </c>
      <c r="U71" s="4">
        <f t="shared" si="7"/>
        <v>1082644.0637975899</v>
      </c>
      <c r="V71" s="4">
        <f t="shared" si="53"/>
        <v>17.470612426761107</v>
      </c>
      <c r="W71" s="4">
        <f t="shared" si="8"/>
        <v>1061375.6761739077</v>
      </c>
      <c r="X71" s="4">
        <f t="shared" si="22"/>
        <v>-533.49395549250767</v>
      </c>
      <c r="Y71" s="9">
        <f>SUM($X$6:X71)</f>
        <v>61375.676173907705</v>
      </c>
      <c r="Z71" s="16">
        <f t="shared" si="23"/>
        <v>6.1375676173907705E-2</v>
      </c>
      <c r="AA71" s="16">
        <f t="shared" si="9"/>
        <v>9.4764537296603127E-2</v>
      </c>
      <c r="AB71" s="16">
        <f t="shared" si="10"/>
        <v>-5.0239132545347367E-4</v>
      </c>
      <c r="AC71" s="16">
        <f t="shared" si="11"/>
        <v>-6.2903871447368698E-4</v>
      </c>
    </row>
    <row r="72" spans="1:31" x14ac:dyDescent="0.15">
      <c r="A72" s="8">
        <v>41008</v>
      </c>
      <c r="B72" s="4">
        <v>1382.2</v>
      </c>
      <c r="C72" s="1">
        <v>16.927499999999998</v>
      </c>
      <c r="D72" s="1">
        <v>2.13</v>
      </c>
      <c r="E72" s="1">
        <v>0.47439999999999999</v>
      </c>
      <c r="F72" s="4">
        <f t="shared" si="54"/>
        <v>0.16927499999999998</v>
      </c>
      <c r="G72" s="4">
        <f t="shared" si="55"/>
        <v>2.1299999999999999E-2</v>
      </c>
      <c r="H72" s="4">
        <f t="shared" si="56"/>
        <v>4.744E-3</v>
      </c>
      <c r="I72" s="3">
        <f t="shared" si="57"/>
        <v>49.340591814789811</v>
      </c>
      <c r="J72" s="4">
        <f t="shared" si="44"/>
        <v>1082644.0637975899</v>
      </c>
      <c r="K72" s="1">
        <f t="shared" si="45"/>
        <v>1371.09</v>
      </c>
      <c r="L72" s="5">
        <f t="shared" si="46"/>
        <v>0.17260273972602758</v>
      </c>
      <c r="M72" s="5">
        <f t="shared" si="47"/>
        <v>-0.45481266296431139</v>
      </c>
      <c r="N72" s="5">
        <f t="shared" si="48"/>
        <v>35.054160698626575</v>
      </c>
      <c r="O72" s="1">
        <f t="shared" si="49"/>
        <v>0</v>
      </c>
      <c r="P72" s="1">
        <f t="shared" si="50"/>
        <v>1371.09</v>
      </c>
      <c r="Q72" s="5">
        <f t="shared" si="51"/>
        <v>0.17260273972602758</v>
      </c>
      <c r="R72" s="5">
        <f t="shared" si="52"/>
        <v>-0.45481266296431139</v>
      </c>
      <c r="S72" s="5">
        <f t="shared" si="58"/>
        <v>35.054160698626575</v>
      </c>
      <c r="T72" s="5">
        <f t="shared" ref="T72:T135" si="59">IF(O72,-(J72+IF(L72&lt;=0.00001, MAX(K72-B72,0),N72)*T71)/P72,T71)</f>
        <v>-762.9258230229284</v>
      </c>
      <c r="U72" s="4">
        <f t="shared" ref="U72:U135" si="60">IF(O72,(J72+IF(L72&lt;=0.00001, MAX(K72-B72,0),N72)*T71)-(S72*T72),U71)+V71</f>
        <v>1082661.5344100166</v>
      </c>
      <c r="V72" s="4">
        <f t="shared" si="53"/>
        <v>69.883577399178051</v>
      </c>
      <c r="W72" s="4">
        <f t="shared" ref="W72:W135" si="61">S72*T72+U72</f>
        <v>1055917.810008639</v>
      </c>
      <c r="X72" s="4">
        <f t="shared" si="22"/>
        <v>-5457.8661652687006</v>
      </c>
      <c r="Y72" s="9">
        <f>SUM($X$6:X72)</f>
        <v>55917.810008639004</v>
      </c>
      <c r="Z72" s="16">
        <f t="shared" si="23"/>
        <v>5.5917810008639005E-2</v>
      </c>
      <c r="AA72" s="16">
        <f t="shared" ref="AA72:AA135" si="62">(B72-$B$6)/$B$6</f>
        <v>8.2329726089612157E-2</v>
      </c>
      <c r="AB72" s="16">
        <f t="shared" ref="AB72:AB135" si="63">X72/W71</f>
        <v>-5.1422566842151962E-3</v>
      </c>
      <c r="AC72" s="16">
        <f t="shared" ref="AC72:AC135" si="64">(B72-B71)/B71</f>
        <v>-1.1358434424353315E-2</v>
      </c>
    </row>
    <row r="73" spans="1:31" x14ac:dyDescent="0.15">
      <c r="A73" s="8">
        <v>41009</v>
      </c>
      <c r="B73" s="4">
        <v>1358.59</v>
      </c>
      <c r="C73" s="1">
        <v>19.1157</v>
      </c>
      <c r="D73" s="1">
        <v>2.17</v>
      </c>
      <c r="E73" s="1">
        <v>0.47439999999999999</v>
      </c>
      <c r="F73" s="4">
        <f t="shared" si="54"/>
        <v>0.19115699999999999</v>
      </c>
      <c r="G73" s="4">
        <f t="shared" si="55"/>
        <v>2.1700000000000001E-2</v>
      </c>
      <c r="H73" s="4">
        <f t="shared" si="56"/>
        <v>4.744E-3</v>
      </c>
      <c r="I73" s="3">
        <f t="shared" si="57"/>
        <v>54.455436118918627</v>
      </c>
      <c r="J73" s="4">
        <f t="shared" si="44"/>
        <v>1082661.5344100166</v>
      </c>
      <c r="K73" s="1">
        <f t="shared" si="45"/>
        <v>1371.09</v>
      </c>
      <c r="L73" s="5">
        <f t="shared" si="46"/>
        <v>0.16986301369863033</v>
      </c>
      <c r="M73" s="5">
        <f t="shared" si="47"/>
        <v>-0.54314369926310846</v>
      </c>
      <c r="N73" s="5">
        <f t="shared" si="48"/>
        <v>51.485896373017432</v>
      </c>
      <c r="O73" s="1">
        <f t="shared" si="49"/>
        <v>0</v>
      </c>
      <c r="P73" s="1">
        <f t="shared" si="50"/>
        <v>1371.09</v>
      </c>
      <c r="Q73" s="5">
        <f t="shared" si="51"/>
        <v>0.16986301369863033</v>
      </c>
      <c r="R73" s="5">
        <f t="shared" si="52"/>
        <v>-0.54314369926310846</v>
      </c>
      <c r="S73" s="5">
        <f t="shared" si="58"/>
        <v>51.485896373017432</v>
      </c>
      <c r="T73" s="5">
        <f t="shared" si="59"/>
        <v>-762.9258230229284</v>
      </c>
      <c r="U73" s="4">
        <f t="shared" si="60"/>
        <v>1082731.4179874158</v>
      </c>
      <c r="V73" s="4">
        <f t="shared" si="53"/>
        <v>17.472022060125695</v>
      </c>
      <c r="W73" s="4">
        <f t="shared" si="61"/>
        <v>1043451.4981229582</v>
      </c>
      <c r="X73" s="4">
        <f t="shared" ref="X73:X136" si="65">W73-W72</f>
        <v>-12466.311885680771</v>
      </c>
      <c r="Y73" s="9">
        <f>SUM($X$6:X73)</f>
        <v>43451.498122958234</v>
      </c>
      <c r="Z73" s="16">
        <f t="shared" si="23"/>
        <v>4.3451498122958232E-2</v>
      </c>
      <c r="AA73" s="16">
        <f t="shared" si="62"/>
        <v>6.3841949477706592E-2</v>
      </c>
      <c r="AB73" s="16">
        <f t="shared" si="63"/>
        <v>-1.1806138477367644E-2</v>
      </c>
      <c r="AC73" s="16">
        <f t="shared" si="64"/>
        <v>-1.7081464332224083E-2</v>
      </c>
    </row>
    <row r="74" spans="1:31" x14ac:dyDescent="0.15">
      <c r="A74" s="8">
        <v>41010</v>
      </c>
      <c r="B74" s="4">
        <v>1368.71</v>
      </c>
      <c r="C74" s="1">
        <v>18.746400000000001</v>
      </c>
      <c r="D74" s="1">
        <v>2.16</v>
      </c>
      <c r="E74" s="1">
        <v>0.47389999999999999</v>
      </c>
      <c r="F74" s="4">
        <f t="shared" si="54"/>
        <v>0.18746400000000002</v>
      </c>
      <c r="G74" s="4">
        <f t="shared" si="55"/>
        <v>2.1600000000000001E-2</v>
      </c>
      <c r="H74" s="4">
        <f t="shared" si="56"/>
        <v>4.7390000000000002E-3</v>
      </c>
      <c r="I74" s="3">
        <f t="shared" si="57"/>
        <v>53.843599461848491</v>
      </c>
      <c r="J74" s="4">
        <f t="shared" si="44"/>
        <v>1082731.4179874158</v>
      </c>
      <c r="K74" s="1">
        <f t="shared" si="45"/>
        <v>1371.09</v>
      </c>
      <c r="L74" s="5">
        <f t="shared" si="46"/>
        <v>0.16712328767123308</v>
      </c>
      <c r="M74" s="5">
        <f t="shared" si="47"/>
        <v>-0.50659334973936432</v>
      </c>
      <c r="N74" s="5">
        <f t="shared" si="48"/>
        <v>44.967535793123538</v>
      </c>
      <c r="O74" s="1">
        <f t="shared" si="49"/>
        <v>0</v>
      </c>
      <c r="P74" s="1">
        <f t="shared" si="50"/>
        <v>1371.09</v>
      </c>
      <c r="Q74" s="5">
        <f t="shared" si="51"/>
        <v>0.16712328767123308</v>
      </c>
      <c r="R74" s="5">
        <f t="shared" si="52"/>
        <v>-0.50659334973936432</v>
      </c>
      <c r="S74" s="5">
        <f t="shared" si="58"/>
        <v>44.967535793123538</v>
      </c>
      <c r="T74" s="5">
        <f t="shared" si="59"/>
        <v>-762.9258230229284</v>
      </c>
      <c r="U74" s="4">
        <f t="shared" si="60"/>
        <v>1082748.8900094759</v>
      </c>
      <c r="V74" s="4">
        <f t="shared" si="53"/>
        <v>17.472304005906334</v>
      </c>
      <c r="W74" s="4">
        <f t="shared" si="61"/>
        <v>1048441.9957551941</v>
      </c>
      <c r="X74" s="4">
        <f t="shared" si="65"/>
        <v>4990.4976322358707</v>
      </c>
      <c r="Y74" s="9">
        <f>SUM($X$6:X74)</f>
        <v>48441.995755194104</v>
      </c>
      <c r="Z74" s="16">
        <f t="shared" si="23"/>
        <v>4.8441995755194103E-2</v>
      </c>
      <c r="AA74" s="16">
        <f t="shared" si="62"/>
        <v>7.1766400952187129E-2</v>
      </c>
      <c r="AB74" s="16">
        <f t="shared" si="63"/>
        <v>4.7826828953843725E-3</v>
      </c>
      <c r="AC74" s="16">
        <f t="shared" si="64"/>
        <v>7.4488992264039322E-3</v>
      </c>
    </row>
    <row r="75" spans="1:31" x14ac:dyDescent="0.15">
      <c r="A75" s="8">
        <v>41011</v>
      </c>
      <c r="B75" s="4">
        <v>1387.57</v>
      </c>
      <c r="C75" s="1">
        <v>17.530899999999999</v>
      </c>
      <c r="D75" s="1">
        <v>2.13</v>
      </c>
      <c r="E75" s="1">
        <v>0.4718</v>
      </c>
      <c r="F75" s="4">
        <f t="shared" si="54"/>
        <v>0.17530899999999999</v>
      </c>
      <c r="G75" s="4">
        <f t="shared" si="55"/>
        <v>2.1299999999999999E-2</v>
      </c>
      <c r="H75" s="4">
        <f t="shared" si="56"/>
        <v>4.718E-3</v>
      </c>
      <c r="I75" s="3">
        <f t="shared" si="57"/>
        <v>51.196050711634307</v>
      </c>
      <c r="J75" s="4">
        <f t="shared" si="44"/>
        <v>1082748.8900094759</v>
      </c>
      <c r="K75" s="1">
        <f t="shared" si="45"/>
        <v>1371.09</v>
      </c>
      <c r="L75" s="5">
        <f t="shared" si="46"/>
        <v>0.16438356164383583</v>
      </c>
      <c r="M75" s="5">
        <f t="shared" si="47"/>
        <v>-0.43284105735720596</v>
      </c>
      <c r="N75" s="5">
        <f t="shared" si="48"/>
        <v>33.001414357654532</v>
      </c>
      <c r="O75" s="1">
        <f t="shared" si="49"/>
        <v>0</v>
      </c>
      <c r="P75" s="1">
        <f t="shared" si="50"/>
        <v>1371.09</v>
      </c>
      <c r="Q75" s="5">
        <f t="shared" si="51"/>
        <v>0.16438356164383583</v>
      </c>
      <c r="R75" s="5">
        <f t="shared" si="52"/>
        <v>-0.43284105735720596</v>
      </c>
      <c r="S75" s="5">
        <f t="shared" si="58"/>
        <v>33.001414357654532</v>
      </c>
      <c r="T75" s="5">
        <f t="shared" si="59"/>
        <v>-762.9258230229284</v>
      </c>
      <c r="U75" s="4">
        <f t="shared" si="60"/>
        <v>1082766.3623134817</v>
      </c>
      <c r="V75" s="4">
        <f t="shared" si="53"/>
        <v>17.472585956236731</v>
      </c>
      <c r="W75" s="4">
        <f t="shared" si="61"/>
        <v>1057588.7311037474</v>
      </c>
      <c r="X75" s="4">
        <f t="shared" si="65"/>
        <v>9146.7353485532803</v>
      </c>
      <c r="Y75" s="9">
        <f>SUM($X$6:X75)</f>
        <v>57588.731103747385</v>
      </c>
      <c r="Z75" s="16">
        <f t="shared" si="23"/>
        <v>5.7588731103747383E-2</v>
      </c>
      <c r="AA75" s="16">
        <f t="shared" si="62"/>
        <v>8.6534696881900616E-2</v>
      </c>
      <c r="AB75" s="16">
        <f t="shared" si="63"/>
        <v>8.7241214922575434E-3</v>
      </c>
      <c r="AC75" s="16">
        <f t="shared" si="64"/>
        <v>1.3779398119397024E-2</v>
      </c>
    </row>
    <row r="76" spans="1:31" x14ac:dyDescent="0.15">
      <c r="A76" s="8">
        <v>41012</v>
      </c>
      <c r="B76" s="4">
        <v>1370.26</v>
      </c>
      <c r="C76" s="1">
        <v>18.036200000000001</v>
      </c>
      <c r="D76" s="1">
        <v>2.15</v>
      </c>
      <c r="E76" s="1">
        <v>0.4713</v>
      </c>
      <c r="F76" s="4">
        <f t="shared" si="54"/>
        <v>0.18036200000000002</v>
      </c>
      <c r="G76" s="4">
        <f t="shared" si="55"/>
        <v>2.1499999999999998E-2</v>
      </c>
      <c r="H76" s="4">
        <f t="shared" si="56"/>
        <v>4.7130000000000002E-3</v>
      </c>
      <c r="I76" s="3">
        <f t="shared" si="57"/>
        <v>51.964226274473042</v>
      </c>
      <c r="J76" s="4">
        <f t="shared" si="44"/>
        <v>1082766.3623134817</v>
      </c>
      <c r="K76" s="1">
        <f t="shared" si="45"/>
        <v>1371.09</v>
      </c>
      <c r="L76" s="5">
        <f t="shared" si="46"/>
        <v>0.16164383561643858</v>
      </c>
      <c r="M76" s="5">
        <f t="shared" si="47"/>
        <v>-0.50204754780412275</v>
      </c>
      <c r="N76" s="5">
        <f t="shared" si="48"/>
        <v>41.871112877696689</v>
      </c>
      <c r="O76" s="1">
        <f t="shared" si="49"/>
        <v>0</v>
      </c>
      <c r="P76" s="1">
        <f t="shared" si="50"/>
        <v>1371.09</v>
      </c>
      <c r="Q76" s="5">
        <f t="shared" si="51"/>
        <v>0.16164383561643858</v>
      </c>
      <c r="R76" s="5">
        <f t="shared" si="52"/>
        <v>-0.50204754780412275</v>
      </c>
      <c r="S76" s="5">
        <f t="shared" si="58"/>
        <v>41.871112877696689</v>
      </c>
      <c r="T76" s="5">
        <f t="shared" si="59"/>
        <v>-762.9258230229284</v>
      </c>
      <c r="U76" s="4">
        <f t="shared" si="60"/>
        <v>1082783.8348994381</v>
      </c>
      <c r="V76" s="4">
        <f t="shared" si="53"/>
        <v>17.472867911116957</v>
      </c>
      <c r="W76" s="4">
        <f t="shared" si="61"/>
        <v>1050839.2816463355</v>
      </c>
      <c r="X76" s="4">
        <f t="shared" si="65"/>
        <v>-6749.4494574118871</v>
      </c>
      <c r="Y76" s="9">
        <f>SUM($X$6:X76)</f>
        <v>50839.281646335497</v>
      </c>
      <c r="Z76" s="16">
        <f t="shared" si="23"/>
        <v>5.0839281646335499E-2</v>
      </c>
      <c r="AA76" s="16">
        <f t="shared" si="62"/>
        <v>7.2980126227428666E-2</v>
      </c>
      <c r="AB76" s="16">
        <f t="shared" si="63"/>
        <v>-6.3819226310853905E-3</v>
      </c>
      <c r="AC76" s="16">
        <f t="shared" si="64"/>
        <v>-1.2475046303970212E-2</v>
      </c>
    </row>
    <row r="77" spans="1:31" x14ac:dyDescent="0.15">
      <c r="A77" s="8">
        <v>41015</v>
      </c>
      <c r="B77" s="4">
        <v>1369.57</v>
      </c>
      <c r="C77" s="1">
        <v>18.399100000000001</v>
      </c>
      <c r="D77" s="1">
        <v>2.16</v>
      </c>
      <c r="E77" s="1">
        <v>0.4708</v>
      </c>
      <c r="F77" s="4">
        <f t="shared" si="54"/>
        <v>0.18399100000000002</v>
      </c>
      <c r="G77" s="4">
        <f t="shared" si="55"/>
        <v>2.1600000000000001E-2</v>
      </c>
      <c r="H77" s="4">
        <f t="shared" si="56"/>
        <v>4.7080000000000004E-3</v>
      </c>
      <c r="I77" s="3">
        <f t="shared" si="57"/>
        <v>52.940705775586814</v>
      </c>
      <c r="J77" s="4">
        <f t="shared" si="44"/>
        <v>1082783.8348994381</v>
      </c>
      <c r="K77" s="1">
        <f t="shared" si="45"/>
        <v>1371.09</v>
      </c>
      <c r="L77" s="5">
        <f t="shared" si="46"/>
        <v>0.15342465753424681</v>
      </c>
      <c r="M77" s="5">
        <f t="shared" si="47"/>
        <v>-0.5044363575499714</v>
      </c>
      <c r="N77" s="5">
        <f t="shared" si="48"/>
        <v>41.8929898953307</v>
      </c>
      <c r="O77" s="1">
        <f t="shared" si="49"/>
        <v>0</v>
      </c>
      <c r="P77" s="1">
        <f t="shared" si="50"/>
        <v>1371.09</v>
      </c>
      <c r="Q77" s="5">
        <f t="shared" si="51"/>
        <v>0.15342465753424681</v>
      </c>
      <c r="R77" s="5">
        <f t="shared" si="52"/>
        <v>-0.5044363575499714</v>
      </c>
      <c r="S77" s="5">
        <f t="shared" si="58"/>
        <v>41.8929898953307</v>
      </c>
      <c r="T77" s="5">
        <f t="shared" si="59"/>
        <v>-762.9258230229284</v>
      </c>
      <c r="U77" s="4">
        <f t="shared" si="60"/>
        <v>1082801.3077673493</v>
      </c>
      <c r="V77" s="4">
        <f t="shared" si="53"/>
        <v>52.419449611641255</v>
      </c>
      <c r="W77" s="4">
        <f t="shared" si="61"/>
        <v>1050840.0639725628</v>
      </c>
      <c r="X77" s="4">
        <f t="shared" si="65"/>
        <v>0.78232622728683054</v>
      </c>
      <c r="Y77" s="9">
        <f>SUM($X$6:X77)</f>
        <v>50840.063972562784</v>
      </c>
      <c r="Z77" s="16">
        <f t="shared" si="23"/>
        <v>5.0840063972562785E-2</v>
      </c>
      <c r="AA77" s="16">
        <f t="shared" si="62"/>
        <v>7.2439822717804955E-2</v>
      </c>
      <c r="AB77" s="16">
        <f t="shared" si="63"/>
        <v>7.444775247278259E-7</v>
      </c>
      <c r="AC77" s="16">
        <f t="shared" si="64"/>
        <v>-5.0355407003054497E-4</v>
      </c>
    </row>
    <row r="78" spans="1:31" x14ac:dyDescent="0.15">
      <c r="A78" s="8">
        <v>41016</v>
      </c>
      <c r="B78" s="4">
        <v>1390.78</v>
      </c>
      <c r="C78" s="1">
        <v>17.010300000000001</v>
      </c>
      <c r="D78" s="1">
        <v>2.12</v>
      </c>
      <c r="E78" s="1">
        <v>0.4708</v>
      </c>
      <c r="F78" s="4">
        <f t="shared" si="54"/>
        <v>0.170103</v>
      </c>
      <c r="G78" s="4">
        <f t="shared" si="55"/>
        <v>2.12E-2</v>
      </c>
      <c r="H78" s="4">
        <f t="shared" si="56"/>
        <v>4.7080000000000004E-3</v>
      </c>
      <c r="I78" s="3">
        <f t="shared" si="57"/>
        <v>49.864400360635827</v>
      </c>
      <c r="J78" s="4">
        <f t="shared" si="44"/>
        <v>1082801.3077673493</v>
      </c>
      <c r="K78" s="1">
        <f t="shared" si="45"/>
        <v>1371.09</v>
      </c>
      <c r="L78" s="5">
        <f t="shared" si="46"/>
        <v>0.15068493150684956</v>
      </c>
      <c r="M78" s="5">
        <f t="shared" si="47"/>
        <v>-0.41499098121598693</v>
      </c>
      <c r="N78" s="5">
        <f t="shared" si="48"/>
        <v>28.761457940687297</v>
      </c>
      <c r="O78" s="1">
        <f t="shared" si="49"/>
        <v>0</v>
      </c>
      <c r="P78" s="1">
        <f t="shared" si="50"/>
        <v>1371.09</v>
      </c>
      <c r="Q78" s="5">
        <f t="shared" si="51"/>
        <v>0.15068493150684956</v>
      </c>
      <c r="R78" s="5">
        <f t="shared" si="52"/>
        <v>-0.41499098121598693</v>
      </c>
      <c r="S78" s="5">
        <f t="shared" si="58"/>
        <v>28.761457940687297</v>
      </c>
      <c r="T78" s="5">
        <f t="shared" si="59"/>
        <v>-762.9258230229284</v>
      </c>
      <c r="U78" s="4">
        <f t="shared" si="60"/>
        <v>1082853.7272169609</v>
      </c>
      <c r="V78" s="4">
        <f t="shared" si="53"/>
        <v>17.473995762487395</v>
      </c>
      <c r="W78" s="4">
        <f t="shared" si="61"/>
        <v>1060910.8682462226</v>
      </c>
      <c r="X78" s="4">
        <f t="shared" si="65"/>
        <v>10070.804273659829</v>
      </c>
      <c r="Y78" s="9">
        <f>SUM($X$6:X78)</f>
        <v>60910.868246222613</v>
      </c>
      <c r="Z78" s="16">
        <f t="shared" si="23"/>
        <v>6.0910868246222612E-2</v>
      </c>
      <c r="AA78" s="16">
        <f t="shared" si="62"/>
        <v>8.9048282774497695E-2</v>
      </c>
      <c r="AB78" s="16">
        <f t="shared" si="63"/>
        <v>9.5835747217216643E-3</v>
      </c>
      <c r="AC78" s="16">
        <f t="shared" si="64"/>
        <v>1.5486612586432266E-2</v>
      </c>
    </row>
    <row r="79" spans="1:31" x14ac:dyDescent="0.15">
      <c r="A79" s="8">
        <v>41017</v>
      </c>
      <c r="B79" s="4">
        <v>1385.14</v>
      </c>
      <c r="C79" s="1">
        <v>17.1236</v>
      </c>
      <c r="D79" s="1">
        <v>2.14</v>
      </c>
      <c r="E79" s="1">
        <v>0.4708</v>
      </c>
      <c r="F79" s="4">
        <f t="shared" si="54"/>
        <v>0.171236</v>
      </c>
      <c r="G79" s="4">
        <f t="shared" si="55"/>
        <v>2.1400000000000002E-2</v>
      </c>
      <c r="H79" s="4">
        <f t="shared" si="56"/>
        <v>4.7080000000000004E-3</v>
      </c>
      <c r="I79" s="3">
        <f t="shared" si="57"/>
        <v>50.007652123000391</v>
      </c>
      <c r="J79" s="4">
        <f t="shared" si="44"/>
        <v>1082853.7272169609</v>
      </c>
      <c r="K79" s="1">
        <f t="shared" si="45"/>
        <v>1371.09</v>
      </c>
      <c r="L79" s="5">
        <f t="shared" si="46"/>
        <v>0.14794520547945231</v>
      </c>
      <c r="M79" s="5">
        <f t="shared" si="47"/>
        <v>-0.43889986901823191</v>
      </c>
      <c r="N79" s="5">
        <f t="shared" si="48"/>
        <v>31.069549148797982</v>
      </c>
      <c r="O79" s="1">
        <f t="shared" si="49"/>
        <v>0</v>
      </c>
      <c r="P79" s="1">
        <f t="shared" si="50"/>
        <v>1371.09</v>
      </c>
      <c r="Q79" s="5">
        <f t="shared" si="51"/>
        <v>0.14794520547945231</v>
      </c>
      <c r="R79" s="5">
        <f t="shared" si="52"/>
        <v>-0.43889986901823191</v>
      </c>
      <c r="S79" s="5">
        <f t="shared" si="58"/>
        <v>31.069549148797982</v>
      </c>
      <c r="T79" s="5">
        <f t="shared" si="59"/>
        <v>-762.9258230229284</v>
      </c>
      <c r="U79" s="4">
        <f t="shared" si="60"/>
        <v>1082871.2012127233</v>
      </c>
      <c r="V79" s="4">
        <f t="shared" si="53"/>
        <v>17.474277740117643</v>
      </c>
      <c r="W79" s="4">
        <f t="shared" si="61"/>
        <v>1059167.4398574252</v>
      </c>
      <c r="X79" s="4">
        <f t="shared" si="65"/>
        <v>-1743.4283887974452</v>
      </c>
      <c r="Y79" s="9">
        <f>SUM($X$6:X79)</f>
        <v>59167.439857425168</v>
      </c>
      <c r="Z79" s="16">
        <f t="shared" si="23"/>
        <v>5.9167439857425168E-2</v>
      </c>
      <c r="AA79" s="16">
        <f t="shared" si="62"/>
        <v>8.4631888869747832E-2</v>
      </c>
      <c r="AB79" s="16">
        <f t="shared" si="63"/>
        <v>-1.6433316322600061E-3</v>
      </c>
      <c r="AC79" s="16">
        <f t="shared" si="64"/>
        <v>-4.0552783330216665E-3</v>
      </c>
    </row>
    <row r="80" spans="1:31" x14ac:dyDescent="0.15">
      <c r="A80" s="8">
        <v>41018</v>
      </c>
      <c r="B80" s="4">
        <v>1376.92</v>
      </c>
      <c r="C80" s="1">
        <v>17.675599999999999</v>
      </c>
      <c r="D80" s="1">
        <v>2.15</v>
      </c>
      <c r="E80" s="1">
        <v>0.4708</v>
      </c>
      <c r="F80" s="4">
        <f t="shared" si="54"/>
        <v>0.176756</v>
      </c>
      <c r="G80" s="4">
        <f t="shared" si="55"/>
        <v>2.1499999999999998E-2</v>
      </c>
      <c r="H80" s="4">
        <f t="shared" si="56"/>
        <v>4.7080000000000004E-3</v>
      </c>
      <c r="I80" s="3">
        <f t="shared" si="57"/>
        <v>51.23395162483439</v>
      </c>
      <c r="J80" s="4">
        <f t="shared" si="44"/>
        <v>1082871.2012127233</v>
      </c>
      <c r="K80" s="1">
        <f t="shared" si="45"/>
        <v>1371.09</v>
      </c>
      <c r="L80" s="5">
        <f t="shared" si="46"/>
        <v>0.14520547945205506</v>
      </c>
      <c r="M80" s="5">
        <f t="shared" si="47"/>
        <v>-0.47440625927965979</v>
      </c>
      <c r="N80" s="5">
        <f t="shared" si="48"/>
        <v>35.618671405773114</v>
      </c>
      <c r="O80" s="1">
        <f t="shared" si="49"/>
        <v>0</v>
      </c>
      <c r="P80" s="1">
        <f t="shared" si="50"/>
        <v>1371.09</v>
      </c>
      <c r="Q80" s="5">
        <f t="shared" si="51"/>
        <v>0.14520547945205506</v>
      </c>
      <c r="R80" s="5">
        <f t="shared" si="52"/>
        <v>-0.47440625927965979</v>
      </c>
      <c r="S80" s="5">
        <f t="shared" si="58"/>
        <v>35.618671405773114</v>
      </c>
      <c r="T80" s="5">
        <f t="shared" si="59"/>
        <v>-762.9258230229284</v>
      </c>
      <c r="U80" s="4">
        <f t="shared" si="60"/>
        <v>1082888.6754904634</v>
      </c>
      <c r="V80" s="4">
        <f t="shared" si="53"/>
        <v>17.47455972229816</v>
      </c>
      <c r="W80" s="4">
        <f t="shared" si="61"/>
        <v>1055714.2712932306</v>
      </c>
      <c r="X80" s="4">
        <f t="shared" si="65"/>
        <v>-3453.1685641945805</v>
      </c>
      <c r="Y80" s="9">
        <f>SUM($X$6:X80)</f>
        <v>55714.271293230588</v>
      </c>
      <c r="Z80" s="16">
        <f t="shared" si="23"/>
        <v>5.5714271293230588E-2</v>
      </c>
      <c r="AA80" s="16">
        <f t="shared" si="62"/>
        <v>7.8195229668144114E-2</v>
      </c>
      <c r="AB80" s="16">
        <f t="shared" si="63"/>
        <v>-3.2602669174379194E-3</v>
      </c>
      <c r="AC80" s="16">
        <f t="shared" si="64"/>
        <v>-5.9344181815556745E-3</v>
      </c>
    </row>
    <row r="81" spans="1:29" x14ac:dyDescent="0.15">
      <c r="A81" s="8">
        <v>41019</v>
      </c>
      <c r="B81" s="4">
        <v>1378.53</v>
      </c>
      <c r="C81" s="1">
        <v>17.0885</v>
      </c>
      <c r="D81" s="1">
        <v>2.15</v>
      </c>
      <c r="E81" s="1">
        <v>0.4708</v>
      </c>
      <c r="F81" s="4">
        <f t="shared" si="54"/>
        <v>0.17088500000000001</v>
      </c>
      <c r="G81" s="4">
        <f t="shared" si="55"/>
        <v>2.1499999999999998E-2</v>
      </c>
      <c r="H81" s="4">
        <f t="shared" si="56"/>
        <v>4.7080000000000004E-3</v>
      </c>
      <c r="I81" s="3">
        <f t="shared" si="57"/>
        <v>49.690319657894122</v>
      </c>
      <c r="J81" s="4">
        <f t="shared" si="44"/>
        <v>1082888.6754904634</v>
      </c>
      <c r="K81" s="1">
        <f t="shared" si="45"/>
        <v>1371.09</v>
      </c>
      <c r="L81" s="5">
        <f t="shared" si="46"/>
        <v>0.14246575342465781</v>
      </c>
      <c r="M81" s="5">
        <f t="shared" si="47"/>
        <v>-0.46705877767272014</v>
      </c>
      <c r="N81" s="5">
        <f t="shared" si="48"/>
        <v>33.271070318311281</v>
      </c>
      <c r="O81" s="1">
        <f t="shared" si="49"/>
        <v>0</v>
      </c>
      <c r="P81" s="1">
        <f t="shared" si="50"/>
        <v>1371.09</v>
      </c>
      <c r="Q81" s="5">
        <f t="shared" si="51"/>
        <v>0.14246575342465781</v>
      </c>
      <c r="R81" s="5">
        <f t="shared" si="52"/>
        <v>-0.46705877767272014</v>
      </c>
      <c r="S81" s="5">
        <f t="shared" si="58"/>
        <v>33.271070318311281</v>
      </c>
      <c r="T81" s="5">
        <f t="shared" si="59"/>
        <v>-762.9258230229284</v>
      </c>
      <c r="U81" s="4">
        <f t="shared" si="60"/>
        <v>1082906.1500501856</v>
      </c>
      <c r="V81" s="4">
        <f t="shared" si="53"/>
        <v>17.474841709029022</v>
      </c>
      <c r="W81" s="4">
        <f t="shared" si="61"/>
        <v>1057522.7913447344</v>
      </c>
      <c r="X81" s="4">
        <f t="shared" si="65"/>
        <v>1808.5200515037868</v>
      </c>
      <c r="Y81" s="9">
        <f>SUM($X$6:X81)</f>
        <v>57522.791344734374</v>
      </c>
      <c r="Z81" s="16">
        <f t="shared" si="23"/>
        <v>5.7522791344734377E-2</v>
      </c>
      <c r="AA81" s="16">
        <f t="shared" si="62"/>
        <v>7.9455937857265929E-2</v>
      </c>
      <c r="AB81" s="16">
        <f t="shared" si="63"/>
        <v>1.7130772034448136E-3</v>
      </c>
      <c r="AC81" s="16">
        <f t="shared" si="64"/>
        <v>1.1692763559247449E-3</v>
      </c>
    </row>
    <row r="82" spans="1:29" x14ac:dyDescent="0.15">
      <c r="A82" s="8">
        <v>41022</v>
      </c>
      <c r="B82" s="4">
        <v>1366.94</v>
      </c>
      <c r="C82" s="1">
        <v>17.7377</v>
      </c>
      <c r="D82" s="1">
        <v>2.17</v>
      </c>
      <c r="E82" s="1">
        <v>0.4708</v>
      </c>
      <c r="F82" s="4">
        <f t="shared" si="54"/>
        <v>0.17737700000000001</v>
      </c>
      <c r="G82" s="4">
        <f t="shared" si="55"/>
        <v>2.1700000000000001E-2</v>
      </c>
      <c r="H82" s="4">
        <f t="shared" si="56"/>
        <v>4.7080000000000004E-3</v>
      </c>
      <c r="I82" s="3">
        <f t="shared" si="57"/>
        <v>51.064778143160254</v>
      </c>
      <c r="J82" s="4">
        <f t="shared" si="44"/>
        <v>1082906.1500501856</v>
      </c>
      <c r="K82" s="1">
        <f t="shared" si="45"/>
        <v>1371.09</v>
      </c>
      <c r="L82" s="5">
        <f t="shared" si="46"/>
        <v>0.13424657534246603</v>
      </c>
      <c r="M82" s="5">
        <f t="shared" si="47"/>
        <v>-0.51812745465089194</v>
      </c>
      <c r="N82" s="5">
        <f t="shared" si="48"/>
        <v>39.174239798220732</v>
      </c>
      <c r="O82" s="1">
        <f t="shared" si="49"/>
        <v>0</v>
      </c>
      <c r="P82" s="1">
        <f t="shared" si="50"/>
        <v>1371.09</v>
      </c>
      <c r="Q82" s="5">
        <f t="shared" si="51"/>
        <v>0.13424657534246603</v>
      </c>
      <c r="R82" s="5">
        <f t="shared" si="52"/>
        <v>-0.51812745465089194</v>
      </c>
      <c r="S82" s="5">
        <f t="shared" si="58"/>
        <v>39.174239798220732</v>
      </c>
      <c r="T82" s="5">
        <f t="shared" si="59"/>
        <v>-762.9258230229284</v>
      </c>
      <c r="U82" s="4">
        <f t="shared" si="60"/>
        <v>1082923.6248918946</v>
      </c>
      <c r="V82" s="4">
        <f t="shared" si="53"/>
        <v>52.425371100930889</v>
      </c>
      <c r="W82" s="4">
        <f t="shared" si="61"/>
        <v>1053036.5857525396</v>
      </c>
      <c r="X82" s="4">
        <f t="shared" si="65"/>
        <v>-4486.2055921948049</v>
      </c>
      <c r="Y82" s="9">
        <f>SUM($X$6:X82)</f>
        <v>53036.58575253957</v>
      </c>
      <c r="Z82" s="16">
        <f t="shared" ref="Z82:Z145" si="66">Y82/$H$3</f>
        <v>5.303658575253957E-2</v>
      </c>
      <c r="AA82" s="16">
        <f t="shared" si="62"/>
        <v>7.0380404992717735E-2</v>
      </c>
      <c r="AB82" s="16">
        <f t="shared" si="63"/>
        <v>-4.2421833637175752E-3</v>
      </c>
      <c r="AC82" s="16">
        <f t="shared" si="64"/>
        <v>-8.40750654682881E-3</v>
      </c>
    </row>
    <row r="83" spans="1:29" x14ac:dyDescent="0.15">
      <c r="A83" s="8">
        <v>41023</v>
      </c>
      <c r="B83" s="4">
        <v>1371.97</v>
      </c>
      <c r="C83" s="1">
        <v>17.416899999999998</v>
      </c>
      <c r="D83" s="1">
        <v>2.16</v>
      </c>
      <c r="E83" s="1">
        <v>0.47099999999999997</v>
      </c>
      <c r="F83" s="4">
        <f t="shared" si="54"/>
        <v>0.17416899999999999</v>
      </c>
      <c r="G83" s="4">
        <f t="shared" si="55"/>
        <v>2.1600000000000001E-2</v>
      </c>
      <c r="H83" s="4">
        <f t="shared" si="56"/>
        <v>4.7099999999999998E-3</v>
      </c>
      <c r="I83" s="3">
        <f t="shared" si="57"/>
        <v>50.363251625182116</v>
      </c>
      <c r="J83" s="4">
        <f t="shared" si="44"/>
        <v>1082923.6248918946</v>
      </c>
      <c r="K83" s="1">
        <f t="shared" si="45"/>
        <v>1371.09</v>
      </c>
      <c r="L83" s="5">
        <f t="shared" si="46"/>
        <v>0.13150684931506879</v>
      </c>
      <c r="M83" s="5">
        <f t="shared" si="47"/>
        <v>-0.49596736165983429</v>
      </c>
      <c r="N83" s="5">
        <f t="shared" si="48"/>
        <v>35.585579164743919</v>
      </c>
      <c r="O83" s="1">
        <f t="shared" si="49"/>
        <v>0</v>
      </c>
      <c r="P83" s="1">
        <f t="shared" si="50"/>
        <v>1371.09</v>
      </c>
      <c r="Q83" s="5">
        <f t="shared" si="51"/>
        <v>0.13150684931506879</v>
      </c>
      <c r="R83" s="5">
        <f t="shared" si="52"/>
        <v>-0.49596736165983429</v>
      </c>
      <c r="S83" s="5">
        <f t="shared" si="58"/>
        <v>35.585579164743919</v>
      </c>
      <c r="T83" s="5">
        <f t="shared" si="59"/>
        <v>-762.9258230229284</v>
      </c>
      <c r="U83" s="4">
        <f t="shared" si="60"/>
        <v>1082976.0502629955</v>
      </c>
      <c r="V83" s="4">
        <f t="shared" si="53"/>
        <v>17.475969687805598</v>
      </c>
      <c r="W83" s="4">
        <f t="shared" si="61"/>
        <v>1055826.8929909857</v>
      </c>
      <c r="X83" s="4">
        <f t="shared" si="65"/>
        <v>2790.3072384460829</v>
      </c>
      <c r="Y83" s="9">
        <f>SUM($X$6:X83)</f>
        <v>55826.892990985652</v>
      </c>
      <c r="Z83" s="16">
        <f t="shared" si="66"/>
        <v>5.5826892990985651E-2</v>
      </c>
      <c r="AA83" s="16">
        <f t="shared" si="62"/>
        <v>7.4319139273017781E-2</v>
      </c>
      <c r="AB83" s="16">
        <f t="shared" si="63"/>
        <v>2.649772359477923E-3</v>
      </c>
      <c r="AC83" s="16">
        <f t="shared" si="64"/>
        <v>3.6797518545071272E-3</v>
      </c>
    </row>
    <row r="84" spans="1:29" x14ac:dyDescent="0.15">
      <c r="A84" s="8">
        <v>41024</v>
      </c>
      <c r="B84" s="4">
        <v>1390.69</v>
      </c>
      <c r="C84" s="1">
        <v>16.122</v>
      </c>
      <c r="D84" s="1">
        <v>2.13</v>
      </c>
      <c r="E84" s="1">
        <v>0.47099999999999997</v>
      </c>
      <c r="F84" s="4">
        <f t="shared" si="54"/>
        <v>0.16122</v>
      </c>
      <c r="G84" s="4">
        <f t="shared" si="55"/>
        <v>2.1299999999999999E-2</v>
      </c>
      <c r="H84" s="4">
        <f t="shared" si="56"/>
        <v>4.7099999999999998E-3</v>
      </c>
      <c r="I84" s="3">
        <f t="shared" si="57"/>
        <v>47.430468878234983</v>
      </c>
      <c r="J84" s="4">
        <f t="shared" si="44"/>
        <v>1082976.0502629955</v>
      </c>
      <c r="K84" s="1">
        <f t="shared" si="45"/>
        <v>1371.09</v>
      </c>
      <c r="L84" s="5">
        <f t="shared" si="46"/>
        <v>0.12876712328767154</v>
      </c>
      <c r="M84" s="5">
        <f t="shared" si="47"/>
        <v>-0.40508062851286858</v>
      </c>
      <c r="N84" s="5">
        <f t="shared" si="48"/>
        <v>24.18979882025446</v>
      </c>
      <c r="O84" s="1">
        <f t="shared" si="49"/>
        <v>0</v>
      </c>
      <c r="P84" s="1">
        <f t="shared" si="50"/>
        <v>1371.09</v>
      </c>
      <c r="Q84" s="5">
        <f t="shared" si="51"/>
        <v>0.12876712328767154</v>
      </c>
      <c r="R84" s="5">
        <f t="shared" si="52"/>
        <v>-0.40508062851286858</v>
      </c>
      <c r="S84" s="5">
        <f t="shared" si="58"/>
        <v>24.18979882025446</v>
      </c>
      <c r="T84" s="5">
        <f t="shared" si="59"/>
        <v>-762.9258230229284</v>
      </c>
      <c r="U84" s="4">
        <f t="shared" si="60"/>
        <v>1082993.5262326833</v>
      </c>
      <c r="V84" s="4">
        <f t="shared" si="53"/>
        <v>17.476251697289054</v>
      </c>
      <c r="W84" s="4">
        <f t="shared" si="61"/>
        <v>1064538.5040589815</v>
      </c>
      <c r="X84" s="4">
        <f t="shared" si="65"/>
        <v>8711.6110679958947</v>
      </c>
      <c r="Y84" s="9">
        <f>SUM($X$6:X84)</f>
        <v>64538.504058981547</v>
      </c>
      <c r="Z84" s="16">
        <f t="shared" si="66"/>
        <v>6.4538504058981552E-2</v>
      </c>
      <c r="AA84" s="16">
        <f t="shared" si="62"/>
        <v>8.8977808403677291E-2</v>
      </c>
      <c r="AB84" s="16">
        <f t="shared" si="63"/>
        <v>8.2509842530315916E-3</v>
      </c>
      <c r="AC84" s="16">
        <f t="shared" si="64"/>
        <v>1.3644613220405714E-2</v>
      </c>
    </row>
    <row r="85" spans="1:29" x14ac:dyDescent="0.15">
      <c r="A85" s="8">
        <v>41025</v>
      </c>
      <c r="B85" s="4">
        <v>1399.98</v>
      </c>
      <c r="C85" s="1">
        <v>15.3847</v>
      </c>
      <c r="D85" s="1">
        <v>2.12</v>
      </c>
      <c r="E85" s="1">
        <v>0.47620000000000001</v>
      </c>
      <c r="F85" s="4">
        <f t="shared" si="54"/>
        <v>0.15384700000000001</v>
      </c>
      <c r="G85" s="4">
        <f t="shared" si="55"/>
        <v>2.12E-2</v>
      </c>
      <c r="H85" s="4">
        <f t="shared" si="56"/>
        <v>4.7619999999999997E-3</v>
      </c>
      <c r="I85" s="3">
        <f t="shared" si="57"/>
        <v>45.674954521319428</v>
      </c>
      <c r="J85" s="4">
        <f t="shared" si="44"/>
        <v>1082993.5262326833</v>
      </c>
      <c r="K85" s="1">
        <f t="shared" si="45"/>
        <v>1371.09</v>
      </c>
      <c r="L85" s="5">
        <f t="shared" si="46"/>
        <v>0.12602739726027429</v>
      </c>
      <c r="M85" s="5">
        <f t="shared" si="47"/>
        <v>-0.35430867001704208</v>
      </c>
      <c r="N85" s="5">
        <f t="shared" si="48"/>
        <v>18.910794274716427</v>
      </c>
      <c r="O85" s="1">
        <f t="shared" si="49"/>
        <v>0</v>
      </c>
      <c r="P85" s="1">
        <f t="shared" si="50"/>
        <v>1371.09</v>
      </c>
      <c r="Q85" s="5">
        <f t="shared" si="51"/>
        <v>0.12602739726027429</v>
      </c>
      <c r="R85" s="5">
        <f t="shared" si="52"/>
        <v>-0.35430867001704208</v>
      </c>
      <c r="S85" s="5">
        <f t="shared" si="58"/>
        <v>18.910794274716427</v>
      </c>
      <c r="T85" s="5">
        <f t="shared" si="59"/>
        <v>-762.9258230229284</v>
      </c>
      <c r="U85" s="4">
        <f t="shared" si="60"/>
        <v>1083011.0024843807</v>
      </c>
      <c r="V85" s="4">
        <f t="shared" si="53"/>
        <v>17.476533711323292</v>
      </c>
      <c r="W85" s="4">
        <f t="shared" si="61"/>
        <v>1068583.4691983254</v>
      </c>
      <c r="X85" s="4">
        <f t="shared" si="65"/>
        <v>4044.9651393438689</v>
      </c>
      <c r="Y85" s="9">
        <f>SUM($X$6:X85)</f>
        <v>68583.469198325416</v>
      </c>
      <c r="Z85" s="16">
        <f t="shared" si="66"/>
        <v>6.858346919832542E-2</v>
      </c>
      <c r="AA85" s="16">
        <f t="shared" si="62"/>
        <v>9.6252329569479961E-2</v>
      </c>
      <c r="AB85" s="16">
        <f t="shared" si="63"/>
        <v>3.7997358704460302E-3</v>
      </c>
      <c r="AC85" s="16">
        <f t="shared" si="64"/>
        <v>6.6801371980815018E-3</v>
      </c>
    </row>
    <row r="86" spans="1:29" x14ac:dyDescent="0.15">
      <c r="A86" s="8">
        <v>41026</v>
      </c>
      <c r="B86" s="4">
        <v>1403.36</v>
      </c>
      <c r="C86" s="1">
        <v>15.295299999999999</v>
      </c>
      <c r="D86" s="1">
        <v>2.12</v>
      </c>
      <c r="E86" s="1">
        <v>0.47620000000000001</v>
      </c>
      <c r="F86" s="4">
        <f t="shared" si="54"/>
        <v>0.15295300000000001</v>
      </c>
      <c r="G86" s="4">
        <f t="shared" si="55"/>
        <v>2.12E-2</v>
      </c>
      <c r="H86" s="4">
        <f t="shared" si="56"/>
        <v>4.7619999999999997E-3</v>
      </c>
      <c r="I86" s="3">
        <f t="shared" si="57"/>
        <v>45.536660463411792</v>
      </c>
      <c r="J86" s="4">
        <f t="shared" si="44"/>
        <v>1083011.0024843807</v>
      </c>
      <c r="K86" s="1">
        <f t="shared" si="45"/>
        <v>1371.09</v>
      </c>
      <c r="L86" s="5">
        <f t="shared" si="46"/>
        <v>0.12328767123287702</v>
      </c>
      <c r="M86" s="5">
        <f t="shared" si="47"/>
        <v>-0.33553125674548728</v>
      </c>
      <c r="N86" s="5">
        <f t="shared" si="48"/>
        <v>17.253853785593975</v>
      </c>
      <c r="O86" s="1">
        <f t="shared" si="49"/>
        <v>0</v>
      </c>
      <c r="P86" s="1">
        <f t="shared" si="50"/>
        <v>1371.09</v>
      </c>
      <c r="Q86" s="5">
        <f t="shared" si="51"/>
        <v>0.12328767123287702</v>
      </c>
      <c r="R86" s="5">
        <f t="shared" si="52"/>
        <v>-0.33553125674548728</v>
      </c>
      <c r="S86" s="5">
        <f t="shared" si="58"/>
        <v>17.253853785593975</v>
      </c>
      <c r="T86" s="5">
        <f t="shared" si="59"/>
        <v>-762.9258230229284</v>
      </c>
      <c r="U86" s="4">
        <f t="shared" si="60"/>
        <v>1083028.4790180922</v>
      </c>
      <c r="V86" s="4">
        <f t="shared" si="53"/>
        <v>17.476815729908388</v>
      </c>
      <c r="W86" s="4">
        <f t="shared" si="61"/>
        <v>1069865.0684184006</v>
      </c>
      <c r="X86" s="4">
        <f t="shared" si="65"/>
        <v>1281.5992200751789</v>
      </c>
      <c r="Y86" s="9">
        <f>SUM($X$6:X86)</f>
        <v>69865.068418400595</v>
      </c>
      <c r="Z86" s="16">
        <f t="shared" si="66"/>
        <v>6.9865068418400594E-2</v>
      </c>
      <c r="AA86" s="16">
        <f t="shared" si="62"/>
        <v>9.8899033718071169E-2</v>
      </c>
      <c r="AB86" s="16">
        <f t="shared" si="63"/>
        <v>1.1993440447255492E-3</v>
      </c>
      <c r="AC86" s="16">
        <f t="shared" si="64"/>
        <v>2.4143202045742666E-3</v>
      </c>
    </row>
    <row r="87" spans="1:29" x14ac:dyDescent="0.15">
      <c r="A87" s="8">
        <v>41029</v>
      </c>
      <c r="B87" s="4">
        <v>1397.91</v>
      </c>
      <c r="C87" s="1">
        <v>16.005400000000002</v>
      </c>
      <c r="D87" s="1">
        <v>2.13</v>
      </c>
      <c r="E87" s="1">
        <v>0.47620000000000001</v>
      </c>
      <c r="F87" s="4">
        <f t="shared" si="54"/>
        <v>0.16005400000000003</v>
      </c>
      <c r="G87" s="4">
        <f t="shared" si="55"/>
        <v>2.1299999999999999E-2</v>
      </c>
      <c r="H87" s="4">
        <f t="shared" si="56"/>
        <v>4.7619999999999997E-3</v>
      </c>
      <c r="I87" s="3">
        <f t="shared" si="57"/>
        <v>47.344056435018501</v>
      </c>
      <c r="J87" s="4">
        <f t="shared" si="44"/>
        <v>1083028.4790180922</v>
      </c>
      <c r="K87" s="1">
        <f t="shared" si="45"/>
        <v>1371.09</v>
      </c>
      <c r="L87" s="5">
        <f t="shared" si="46"/>
        <v>0.11506849315068525</v>
      </c>
      <c r="M87" s="5">
        <f t="shared" si="47"/>
        <v>-0.36269063279310898</v>
      </c>
      <c r="N87" s="5">
        <f t="shared" si="48"/>
        <v>19.400722583502652</v>
      </c>
      <c r="O87" s="1">
        <f t="shared" si="49"/>
        <v>0</v>
      </c>
      <c r="P87" s="1">
        <f t="shared" si="50"/>
        <v>1371.09</v>
      </c>
      <c r="Q87" s="5">
        <f t="shared" si="51"/>
        <v>0.11506849315068525</v>
      </c>
      <c r="R87" s="5">
        <f t="shared" si="52"/>
        <v>-0.36269063279310898</v>
      </c>
      <c r="S87" s="5">
        <f t="shared" si="58"/>
        <v>19.400722583502652</v>
      </c>
      <c r="T87" s="5">
        <f t="shared" si="59"/>
        <v>-762.9258230229284</v>
      </c>
      <c r="U87" s="4">
        <f t="shared" si="60"/>
        <v>1083045.955833822</v>
      </c>
      <c r="V87" s="4">
        <f t="shared" si="53"/>
        <v>52.431293259133234</v>
      </c>
      <c r="W87" s="4">
        <f t="shared" si="61"/>
        <v>1068244.6435895637</v>
      </c>
      <c r="X87" s="4">
        <f t="shared" si="65"/>
        <v>-1620.4248288369272</v>
      </c>
      <c r="Y87" s="9">
        <f>SUM($X$6:X87)</f>
        <v>68244.643589563668</v>
      </c>
      <c r="Z87" s="16">
        <f t="shared" si="66"/>
        <v>6.8244643589563669E-2</v>
      </c>
      <c r="AA87" s="16">
        <f t="shared" si="62"/>
        <v>9.4631419040609011E-2</v>
      </c>
      <c r="AB87" s="16">
        <f t="shared" si="63"/>
        <v>-1.5146067262785095E-3</v>
      </c>
      <c r="AC87" s="16">
        <f t="shared" si="64"/>
        <v>-3.8835366548852887E-3</v>
      </c>
    </row>
    <row r="88" spans="1:29" x14ac:dyDescent="0.15">
      <c r="A88" s="8">
        <v>41030</v>
      </c>
      <c r="B88" s="4">
        <v>1405.82</v>
      </c>
      <c r="C88" s="1">
        <v>15.203799999999999</v>
      </c>
      <c r="D88" s="1">
        <v>2.12</v>
      </c>
      <c r="E88" s="1">
        <v>0.47620000000000001</v>
      </c>
      <c r="F88" s="4">
        <f t="shared" si="54"/>
        <v>0.15203800000000001</v>
      </c>
      <c r="G88" s="4">
        <f t="shared" si="55"/>
        <v>2.12E-2</v>
      </c>
      <c r="H88" s="4">
        <f t="shared" si="56"/>
        <v>4.7619999999999997E-3</v>
      </c>
      <c r="I88" s="3">
        <f t="shared" si="57"/>
        <v>45.361632620776319</v>
      </c>
      <c r="J88" s="4">
        <f t="shared" si="44"/>
        <v>1083045.955833822</v>
      </c>
      <c r="K88" s="1">
        <f t="shared" si="45"/>
        <v>1371.09</v>
      </c>
      <c r="L88" s="5">
        <f t="shared" si="46"/>
        <v>0.11232876712328799</v>
      </c>
      <c r="M88" s="5">
        <f t="shared" si="47"/>
        <v>-0.31481066527695833</v>
      </c>
      <c r="N88" s="5">
        <f t="shared" si="48"/>
        <v>14.984058667941628</v>
      </c>
      <c r="O88" s="1">
        <f t="shared" si="49"/>
        <v>0</v>
      </c>
      <c r="P88" s="1">
        <f t="shared" si="50"/>
        <v>1371.09</v>
      </c>
      <c r="Q88" s="5">
        <f t="shared" si="51"/>
        <v>0.11232876712328799</v>
      </c>
      <c r="R88" s="5">
        <f t="shared" si="52"/>
        <v>-0.31481066527695833</v>
      </c>
      <c r="S88" s="5">
        <f t="shared" si="58"/>
        <v>14.984058667941628</v>
      </c>
      <c r="T88" s="5">
        <f t="shared" si="59"/>
        <v>-762.9258230229284</v>
      </c>
      <c r="U88" s="4">
        <f t="shared" si="60"/>
        <v>1083098.3871270812</v>
      </c>
      <c r="V88" s="4">
        <f t="shared" si="53"/>
        <v>17.477943836105499</v>
      </c>
      <c r="W88" s="4">
        <f t="shared" si="61"/>
        <v>1071666.6618356179</v>
      </c>
      <c r="X88" s="4">
        <f t="shared" si="65"/>
        <v>3422.0182460541837</v>
      </c>
      <c r="Y88" s="9">
        <f>SUM($X$6:X88)</f>
        <v>71666.661835617851</v>
      </c>
      <c r="Z88" s="16">
        <f t="shared" si="66"/>
        <v>7.1666661835617845E-2</v>
      </c>
      <c r="AA88" s="16">
        <f t="shared" si="62"/>
        <v>0.10082533318716426</v>
      </c>
      <c r="AB88" s="16">
        <f t="shared" si="63"/>
        <v>3.2034031404598149E-3</v>
      </c>
      <c r="AC88" s="16">
        <f t="shared" si="64"/>
        <v>5.6584472533996134E-3</v>
      </c>
    </row>
    <row r="89" spans="1:29" x14ac:dyDescent="0.15">
      <c r="A89" s="8">
        <v>41031</v>
      </c>
      <c r="B89" s="4">
        <v>1402.31</v>
      </c>
      <c r="C89" s="1">
        <v>15.7616</v>
      </c>
      <c r="D89" s="1">
        <v>2.13</v>
      </c>
      <c r="E89" s="1">
        <v>0.47599999999999998</v>
      </c>
      <c r="F89" s="4">
        <f t="shared" si="54"/>
        <v>0.15761600000000001</v>
      </c>
      <c r="G89" s="4">
        <f t="shared" si="55"/>
        <v>2.1299999999999999E-2</v>
      </c>
      <c r="H89" s="4">
        <f t="shared" si="56"/>
        <v>4.7599999999999995E-3</v>
      </c>
      <c r="I89" s="3">
        <f t="shared" si="57"/>
        <v>46.816084312282356</v>
      </c>
      <c r="J89" s="4">
        <f t="shared" si="44"/>
        <v>1083098.3871270812</v>
      </c>
      <c r="K89" s="1">
        <f t="shared" si="45"/>
        <v>1371.09</v>
      </c>
      <c r="L89" s="5">
        <f t="shared" si="46"/>
        <v>0.10958904109589072</v>
      </c>
      <c r="M89" s="5">
        <f t="shared" si="47"/>
        <v>-0.3354171392566791</v>
      </c>
      <c r="N89" s="5">
        <f t="shared" si="48"/>
        <v>16.726424855217594</v>
      </c>
      <c r="O89" s="1">
        <f t="shared" si="49"/>
        <v>0</v>
      </c>
      <c r="P89" s="1">
        <f t="shared" si="50"/>
        <v>1371.09</v>
      </c>
      <c r="Q89" s="5">
        <f t="shared" si="51"/>
        <v>0.10958904109589072</v>
      </c>
      <c r="R89" s="5">
        <f t="shared" si="52"/>
        <v>-0.3354171392566791</v>
      </c>
      <c r="S89" s="5">
        <f t="shared" si="58"/>
        <v>16.726424855217594</v>
      </c>
      <c r="T89" s="5">
        <f t="shared" si="59"/>
        <v>-762.9258230229284</v>
      </c>
      <c r="U89" s="4">
        <f t="shared" si="60"/>
        <v>1083115.8650709172</v>
      </c>
      <c r="V89" s="4">
        <f t="shared" si="53"/>
        <v>17.478225877445759</v>
      </c>
      <c r="W89" s="4">
        <f t="shared" si="61"/>
        <v>1070354.843622019</v>
      </c>
      <c r="X89" s="4">
        <f t="shared" si="65"/>
        <v>-1311.8182135988027</v>
      </c>
      <c r="Y89" s="9">
        <f>SUM($X$6:X89)</f>
        <v>70354.843622019049</v>
      </c>
      <c r="Z89" s="16">
        <f t="shared" si="66"/>
        <v>7.0354843622019048E-2</v>
      </c>
      <c r="AA89" s="16">
        <f t="shared" si="62"/>
        <v>9.8076832725165625E-2</v>
      </c>
      <c r="AB89" s="16">
        <f t="shared" si="63"/>
        <v>-1.2240916511780241E-3</v>
      </c>
      <c r="AC89" s="16">
        <f t="shared" si="64"/>
        <v>-2.4967634547808332E-3</v>
      </c>
    </row>
    <row r="90" spans="1:29" x14ac:dyDescent="0.15">
      <c r="A90" s="8">
        <v>41032</v>
      </c>
      <c r="B90" s="4">
        <v>1391.57</v>
      </c>
      <c r="C90" s="1">
        <v>16.174700000000001</v>
      </c>
      <c r="D90" s="1">
        <v>2.15</v>
      </c>
      <c r="E90" s="1">
        <v>0.47620000000000001</v>
      </c>
      <c r="F90" s="4">
        <f t="shared" si="54"/>
        <v>0.161747</v>
      </c>
      <c r="G90" s="4">
        <f t="shared" si="55"/>
        <v>2.1499999999999998E-2</v>
      </c>
      <c r="H90" s="4">
        <f t="shared" si="56"/>
        <v>4.7619999999999997E-3</v>
      </c>
      <c r="I90" s="3">
        <f t="shared" si="57"/>
        <v>47.63092746340299</v>
      </c>
      <c r="J90" s="4">
        <f t="shared" si="44"/>
        <v>1083115.8650709172</v>
      </c>
      <c r="K90" s="1">
        <f t="shared" si="45"/>
        <v>1371.09</v>
      </c>
      <c r="L90" s="5">
        <f t="shared" si="46"/>
        <v>0.10684931506849346</v>
      </c>
      <c r="M90" s="5">
        <f t="shared" si="47"/>
        <v>-0.39151247272933265</v>
      </c>
      <c r="N90" s="5">
        <f t="shared" si="48"/>
        <v>20.979270351458108</v>
      </c>
      <c r="O90" s="1">
        <f t="shared" si="49"/>
        <v>0</v>
      </c>
      <c r="P90" s="1">
        <f t="shared" si="50"/>
        <v>1371.09</v>
      </c>
      <c r="Q90" s="5">
        <f t="shared" si="51"/>
        <v>0.10684931506849346</v>
      </c>
      <c r="R90" s="5">
        <f t="shared" si="52"/>
        <v>-0.39151247272933265</v>
      </c>
      <c r="S90" s="5">
        <f t="shared" si="58"/>
        <v>20.979270351458108</v>
      </c>
      <c r="T90" s="5">
        <f t="shared" si="59"/>
        <v>-762.9258230229284</v>
      </c>
      <c r="U90" s="4">
        <f t="shared" si="60"/>
        <v>1083133.3432967947</v>
      </c>
      <c r="V90" s="4">
        <f t="shared" si="53"/>
        <v>17.478507923337315</v>
      </c>
      <c r="W90" s="4">
        <f t="shared" si="61"/>
        <v>1067127.7161974879</v>
      </c>
      <c r="X90" s="4">
        <f t="shared" si="65"/>
        <v>-3227.1274245311506</v>
      </c>
      <c r="Y90" s="9">
        <f>SUM($X$6:X90)</f>
        <v>67127.716197487898</v>
      </c>
      <c r="Z90" s="16">
        <f t="shared" si="66"/>
        <v>6.7127716197487905E-2</v>
      </c>
      <c r="AA90" s="16">
        <f t="shared" si="62"/>
        <v>8.9666891140588539E-2</v>
      </c>
      <c r="AB90" s="16">
        <f t="shared" si="63"/>
        <v>-3.0150070733652567E-3</v>
      </c>
      <c r="AC90" s="16">
        <f t="shared" si="64"/>
        <v>-7.6587915653457579E-3</v>
      </c>
    </row>
    <row r="91" spans="1:29" x14ac:dyDescent="0.15">
      <c r="A91" s="8">
        <v>41033</v>
      </c>
      <c r="B91" s="4">
        <v>1369.1</v>
      </c>
      <c r="C91" s="1">
        <v>17.245000000000001</v>
      </c>
      <c r="D91" s="1">
        <v>2.1800000000000002</v>
      </c>
      <c r="E91" s="1">
        <v>0.47620000000000001</v>
      </c>
      <c r="F91" s="4">
        <f t="shared" si="54"/>
        <v>0.17245000000000002</v>
      </c>
      <c r="G91" s="4">
        <f t="shared" si="55"/>
        <v>2.18E-2</v>
      </c>
      <c r="H91" s="4">
        <f t="shared" si="56"/>
        <v>4.7619999999999997E-3</v>
      </c>
      <c r="I91" s="3">
        <f t="shared" si="57"/>
        <v>49.816212427974229</v>
      </c>
      <c r="J91" s="4">
        <f t="shared" si="44"/>
        <v>1083133.3432967947</v>
      </c>
      <c r="K91" s="1">
        <f t="shared" si="45"/>
        <v>1371.09</v>
      </c>
      <c r="L91" s="5">
        <f t="shared" si="46"/>
        <v>0.1041095890410962</v>
      </c>
      <c r="M91" s="5">
        <f t="shared" si="47"/>
        <v>-0.51086971309755569</v>
      </c>
      <c r="N91" s="5">
        <f t="shared" si="48"/>
        <v>32.625910724728982</v>
      </c>
      <c r="O91" s="1">
        <f t="shared" si="49"/>
        <v>0</v>
      </c>
      <c r="P91" s="1">
        <f t="shared" si="50"/>
        <v>1371.09</v>
      </c>
      <c r="Q91" s="5">
        <f t="shared" si="51"/>
        <v>0.1041095890410962</v>
      </c>
      <c r="R91" s="5">
        <f t="shared" si="52"/>
        <v>-0.51086971309755569</v>
      </c>
      <c r="S91" s="5">
        <f t="shared" si="58"/>
        <v>32.625910724728982</v>
      </c>
      <c r="T91" s="5">
        <f t="shared" si="59"/>
        <v>-762.9258230229284</v>
      </c>
      <c r="U91" s="4">
        <f t="shared" si="60"/>
        <v>1083150.8218047181</v>
      </c>
      <c r="V91" s="4">
        <f t="shared" si="53"/>
        <v>17.478789973780245</v>
      </c>
      <c r="W91" s="4">
        <f t="shared" si="61"/>
        <v>1058259.6720131817</v>
      </c>
      <c r="X91" s="4">
        <f t="shared" si="65"/>
        <v>-8868.0441843061708</v>
      </c>
      <c r="Y91" s="9">
        <f>SUM($X$6:X91)</f>
        <v>58259.672013181727</v>
      </c>
      <c r="Z91" s="16">
        <f t="shared" si="66"/>
        <v>5.8259672013181725E-2</v>
      </c>
      <c r="AA91" s="16">
        <f t="shared" si="62"/>
        <v>7.2071789892409102E-2</v>
      </c>
      <c r="AB91" s="16">
        <f t="shared" si="63"/>
        <v>-8.3101994725671684E-3</v>
      </c>
      <c r="AC91" s="16">
        <f t="shared" si="64"/>
        <v>-1.6147229388388674E-2</v>
      </c>
    </row>
    <row r="92" spans="1:29" x14ac:dyDescent="0.15">
      <c r="A92" s="8">
        <v>41036</v>
      </c>
      <c r="B92" s="4">
        <v>1369.58</v>
      </c>
      <c r="C92" s="1">
        <v>17.127199999999998</v>
      </c>
      <c r="D92" s="1">
        <v>2.1800000000000002</v>
      </c>
      <c r="E92" s="1">
        <v>0.47620000000000001</v>
      </c>
      <c r="F92" s="4">
        <f t="shared" si="54"/>
        <v>0.17127199999999998</v>
      </c>
      <c r="G92" s="4">
        <f t="shared" si="55"/>
        <v>2.18E-2</v>
      </c>
      <c r="H92" s="4">
        <f t="shared" si="56"/>
        <v>4.7619999999999997E-3</v>
      </c>
      <c r="I92" s="3">
        <f t="shared" si="57"/>
        <v>49.514048037697094</v>
      </c>
      <c r="J92" s="4">
        <f t="shared" ref="J92:J155" si="67">U91</f>
        <v>1083150.8218047181</v>
      </c>
      <c r="K92" s="1">
        <f t="shared" ref="K92:K155" si="68">P91</f>
        <v>1371.09</v>
      </c>
      <c r="L92" s="5">
        <f t="shared" ref="L92:L155" si="69">Q91-(A92-A91)/365</f>
        <v>9.5890410958904423E-2</v>
      </c>
      <c r="M92" s="5">
        <f t="shared" ref="M92:M155" si="70">BSM_Put(B92,K92,F92,H92,G92,L92,$G$3)</f>
        <v>-0.50893280906172123</v>
      </c>
      <c r="N92" s="5">
        <f t="shared" ref="N92:N155" si="71">BSM_Put(B92,K92,F92,H92,G92,L92,$F$3)</f>
        <v>30.864433270812295</v>
      </c>
      <c r="O92" s="1">
        <f t="shared" ref="O92:O155" si="72">IF(OR(M92&gt;-0.05,L92&lt;=0.00001),1,0)</f>
        <v>0</v>
      </c>
      <c r="P92" s="1">
        <f t="shared" ref="P92:P155" si="73">IF(O92,B92,K92)</f>
        <v>1371.09</v>
      </c>
      <c r="Q92" s="5">
        <f t="shared" ref="Q92:Q155" si="74">IF(O92,$B$3,L92)</f>
        <v>9.5890410958904423E-2</v>
      </c>
      <c r="R92" s="5">
        <f t="shared" ref="R92:R155" si="75">IF(O92,BSM_Put(B92,P92,F92,H92,G92,Q92,$G$3),M92)</f>
        <v>-0.50893280906172123</v>
      </c>
      <c r="S92" s="5">
        <f t="shared" si="58"/>
        <v>30.864433270812295</v>
      </c>
      <c r="T92" s="5">
        <f t="shared" si="59"/>
        <v>-762.9258230229284</v>
      </c>
      <c r="U92" s="4">
        <f t="shared" si="60"/>
        <v>1083168.3005946919</v>
      </c>
      <c r="V92" s="4">
        <f t="shared" ref="V92:V155" si="76">U92*$H$6*(A92-A91)/365</f>
        <v>52.437216086323851</v>
      </c>
      <c r="W92" s="4">
        <f t="shared" si="61"/>
        <v>1059621.0274394213</v>
      </c>
      <c r="X92" s="4">
        <f t="shared" si="65"/>
        <v>1361.3554262395483</v>
      </c>
      <c r="Y92" s="9">
        <f>SUM($X$6:X92)</f>
        <v>59621.027439421276</v>
      </c>
      <c r="Z92" s="16">
        <f t="shared" si="66"/>
        <v>5.9621027439421277E-2</v>
      </c>
      <c r="AA92" s="16">
        <f t="shared" si="62"/>
        <v>7.2447653203451673E-2</v>
      </c>
      <c r="AB92" s="16">
        <f t="shared" si="63"/>
        <v>1.2864096234998467E-3</v>
      </c>
      <c r="AC92" s="16">
        <f t="shared" si="64"/>
        <v>3.5059528157184883E-4</v>
      </c>
    </row>
    <row r="93" spans="1:29" x14ac:dyDescent="0.15">
      <c r="A93" s="8">
        <v>41037</v>
      </c>
      <c r="B93" s="4">
        <v>1363.72</v>
      </c>
      <c r="C93" s="1">
        <v>17.381799999999998</v>
      </c>
      <c r="D93" s="1">
        <v>2.19</v>
      </c>
      <c r="E93" s="1">
        <v>0.47620000000000001</v>
      </c>
      <c r="F93" s="4">
        <f t="shared" si="54"/>
        <v>0.17381799999999997</v>
      </c>
      <c r="G93" s="4">
        <f t="shared" si="55"/>
        <v>2.1899999999999999E-2</v>
      </c>
      <c r="H93" s="4">
        <f t="shared" si="56"/>
        <v>4.7619999999999997E-3</v>
      </c>
      <c r="I93" s="3">
        <f t="shared" si="57"/>
        <v>50.007035732983439</v>
      </c>
      <c r="J93" s="4">
        <f t="shared" si="67"/>
        <v>1083168.3005946919</v>
      </c>
      <c r="K93" s="1">
        <f t="shared" si="68"/>
        <v>1371.09</v>
      </c>
      <c r="L93" s="5">
        <f t="shared" si="69"/>
        <v>9.3150684931507161E-2</v>
      </c>
      <c r="M93" s="5">
        <f t="shared" si="70"/>
        <v>-0.54077325522472075</v>
      </c>
      <c r="N93" s="5">
        <f t="shared" si="71"/>
        <v>33.92125953761564</v>
      </c>
      <c r="O93" s="1">
        <f t="shared" si="72"/>
        <v>0</v>
      </c>
      <c r="P93" s="1">
        <f t="shared" si="73"/>
        <v>1371.09</v>
      </c>
      <c r="Q93" s="5">
        <f t="shared" si="74"/>
        <v>9.3150684931507161E-2</v>
      </c>
      <c r="R93" s="5">
        <f t="shared" si="75"/>
        <v>-0.54077325522472075</v>
      </c>
      <c r="S93" s="5">
        <f t="shared" si="58"/>
        <v>33.92125953761564</v>
      </c>
      <c r="T93" s="5">
        <f t="shared" si="59"/>
        <v>-762.9258230229284</v>
      </c>
      <c r="U93" s="4">
        <f t="shared" si="60"/>
        <v>1083220.7378107782</v>
      </c>
      <c r="V93" s="4">
        <f t="shared" si="76"/>
        <v>17.479918207412283</v>
      </c>
      <c r="W93" s="4">
        <f t="shared" si="61"/>
        <v>1057341.3329600685</v>
      </c>
      <c r="X93" s="4">
        <f t="shared" si="65"/>
        <v>-2279.6944793527946</v>
      </c>
      <c r="Y93" s="9">
        <f>SUM($X$6:X93)</f>
        <v>57341.332960068481</v>
      </c>
      <c r="Z93" s="16">
        <f t="shared" si="66"/>
        <v>5.7341332960068478E-2</v>
      </c>
      <c r="AA93" s="16">
        <f t="shared" si="62"/>
        <v>6.7858988614473939E-2</v>
      </c>
      <c r="AB93" s="16">
        <f t="shared" si="63"/>
        <v>-2.1514243491955669E-3</v>
      </c>
      <c r="AC93" s="16">
        <f t="shared" si="64"/>
        <v>-4.2786839761093914E-3</v>
      </c>
    </row>
    <row r="94" spans="1:29" x14ac:dyDescent="0.15">
      <c r="A94" s="8">
        <v>41038</v>
      </c>
      <c r="B94" s="4">
        <v>1354.58</v>
      </c>
      <c r="C94" s="1">
        <v>18.2532</v>
      </c>
      <c r="D94" s="1">
        <v>2.21</v>
      </c>
      <c r="E94" s="1">
        <v>0.47699999999999998</v>
      </c>
      <c r="F94" s="4">
        <f t="shared" si="54"/>
        <v>0.182532</v>
      </c>
      <c r="G94" s="4">
        <f t="shared" si="55"/>
        <v>2.2099999999999998E-2</v>
      </c>
      <c r="H94" s="4">
        <f t="shared" si="56"/>
        <v>4.7699999999999999E-3</v>
      </c>
      <c r="I94" s="3">
        <f t="shared" si="57"/>
        <v>52.042528058007051</v>
      </c>
      <c r="J94" s="4">
        <f t="shared" si="67"/>
        <v>1083220.7378107782</v>
      </c>
      <c r="K94" s="1">
        <f t="shared" si="68"/>
        <v>1371.09</v>
      </c>
      <c r="L94" s="5">
        <f t="shared" si="69"/>
        <v>9.0410958904109898E-2</v>
      </c>
      <c r="M94" s="5">
        <f t="shared" si="70"/>
        <v>-0.58660537157078507</v>
      </c>
      <c r="N94" s="5">
        <f t="shared" si="71"/>
        <v>40.032681343131436</v>
      </c>
      <c r="O94" s="1">
        <f t="shared" si="72"/>
        <v>0</v>
      </c>
      <c r="P94" s="1">
        <f t="shared" si="73"/>
        <v>1371.09</v>
      </c>
      <c r="Q94" s="5">
        <f t="shared" si="74"/>
        <v>9.0410958904109898E-2</v>
      </c>
      <c r="R94" s="5">
        <f t="shared" si="75"/>
        <v>-0.58660537157078507</v>
      </c>
      <c r="S94" s="5">
        <f t="shared" si="58"/>
        <v>40.032681343131436</v>
      </c>
      <c r="T94" s="5">
        <f t="shared" si="59"/>
        <v>-762.9258230229284</v>
      </c>
      <c r="U94" s="4">
        <f t="shared" si="60"/>
        <v>1083238.2177289857</v>
      </c>
      <c r="V94" s="4">
        <f t="shared" si="76"/>
        <v>17.480200280612948</v>
      </c>
      <c r="W94" s="4">
        <f t="shared" si="61"/>
        <v>1052696.2513674626</v>
      </c>
      <c r="X94" s="4">
        <f t="shared" si="65"/>
        <v>-4645.0815926059149</v>
      </c>
      <c r="Y94" s="9">
        <f>SUM($X$6:X94)</f>
        <v>52696.251367462566</v>
      </c>
      <c r="Z94" s="16">
        <f t="shared" si="66"/>
        <v>5.2696251367462567E-2</v>
      </c>
      <c r="AA94" s="16">
        <f t="shared" si="62"/>
        <v>6.0701924733371951E-2</v>
      </c>
      <c r="AB94" s="16">
        <f t="shared" si="63"/>
        <v>-4.3931712946488405E-3</v>
      </c>
      <c r="AC94" s="16">
        <f t="shared" si="64"/>
        <v>-6.702255594990247E-3</v>
      </c>
    </row>
    <row r="95" spans="1:29" x14ac:dyDescent="0.15">
      <c r="A95" s="8">
        <v>41039</v>
      </c>
      <c r="B95" s="4">
        <v>1357.99</v>
      </c>
      <c r="C95" s="1">
        <v>17.607600000000001</v>
      </c>
      <c r="D95" s="1">
        <v>2.2000000000000002</v>
      </c>
      <c r="E95" s="1">
        <v>0.47720000000000001</v>
      </c>
      <c r="F95" s="4">
        <f t="shared" si="54"/>
        <v>0.17607600000000001</v>
      </c>
      <c r="G95" s="4">
        <f t="shared" si="55"/>
        <v>2.2000000000000002E-2</v>
      </c>
      <c r="H95" s="4">
        <f t="shared" si="56"/>
        <v>4.7720000000000002E-3</v>
      </c>
      <c r="I95" s="3">
        <f t="shared" si="57"/>
        <v>50.419477288320422</v>
      </c>
      <c r="J95" s="4">
        <f t="shared" si="67"/>
        <v>1083238.2177289857</v>
      </c>
      <c r="K95" s="1">
        <f t="shared" si="68"/>
        <v>1371.09</v>
      </c>
      <c r="L95" s="5">
        <f t="shared" si="69"/>
        <v>8.7671232876712635E-2</v>
      </c>
      <c r="M95" s="5">
        <f t="shared" si="70"/>
        <v>-0.57308224893326942</v>
      </c>
      <c r="N95" s="5">
        <f t="shared" si="71"/>
        <v>36.557153226105918</v>
      </c>
      <c r="O95" s="1">
        <f t="shared" si="72"/>
        <v>0</v>
      </c>
      <c r="P95" s="1">
        <f t="shared" si="73"/>
        <v>1371.09</v>
      </c>
      <c r="Q95" s="5">
        <f t="shared" si="74"/>
        <v>8.7671232876712635E-2</v>
      </c>
      <c r="R95" s="5">
        <f t="shared" si="75"/>
        <v>-0.57308224893326942</v>
      </c>
      <c r="S95" s="5">
        <f t="shared" si="58"/>
        <v>36.557153226105918</v>
      </c>
      <c r="T95" s="5">
        <f t="shared" si="59"/>
        <v>-762.9258230229284</v>
      </c>
      <c r="U95" s="4">
        <f t="shared" si="60"/>
        <v>1083255.6979292664</v>
      </c>
      <c r="V95" s="4">
        <f t="shared" si="76"/>
        <v>17.480482358365421</v>
      </c>
      <c r="W95" s="4">
        <f t="shared" si="61"/>
        <v>1055365.3017168641</v>
      </c>
      <c r="X95" s="4">
        <f t="shared" si="65"/>
        <v>2669.0503494015429</v>
      </c>
      <c r="Y95" s="9">
        <f>SUM($X$6:X95)</f>
        <v>55365.301716864109</v>
      </c>
      <c r="Z95" s="16">
        <f t="shared" si="66"/>
        <v>5.5365301716864108E-2</v>
      </c>
      <c r="AA95" s="16">
        <f t="shared" si="62"/>
        <v>6.3372120338903465E-2</v>
      </c>
      <c r="AB95" s="16">
        <f t="shared" si="63"/>
        <v>2.5354420574162971E-3</v>
      </c>
      <c r="AC95" s="16">
        <f t="shared" si="64"/>
        <v>2.5173854626526909E-3</v>
      </c>
    </row>
    <row r="96" spans="1:29" x14ac:dyDescent="0.15">
      <c r="A96" s="8">
        <v>41040</v>
      </c>
      <c r="B96" s="4">
        <v>1353.39</v>
      </c>
      <c r="C96" s="1">
        <v>18.052900000000001</v>
      </c>
      <c r="D96" s="1">
        <v>2.21</v>
      </c>
      <c r="E96" s="1">
        <v>0.47720000000000001</v>
      </c>
      <c r="F96" s="4">
        <f t="shared" si="54"/>
        <v>0.18052900000000002</v>
      </c>
      <c r="G96" s="4">
        <f t="shared" si="55"/>
        <v>2.2099999999999998E-2</v>
      </c>
      <c r="H96" s="4">
        <f t="shared" si="56"/>
        <v>4.7720000000000002E-3</v>
      </c>
      <c r="I96" s="3">
        <f t="shared" si="57"/>
        <v>51.459422119860001</v>
      </c>
      <c r="J96" s="4">
        <f t="shared" si="67"/>
        <v>1083255.6979292664</v>
      </c>
      <c r="K96" s="1">
        <f t="shared" si="68"/>
        <v>1371.09</v>
      </c>
      <c r="L96" s="5">
        <f t="shared" si="69"/>
        <v>8.4931506849315372E-2</v>
      </c>
      <c r="M96" s="5">
        <f t="shared" si="70"/>
        <v>-0.59705752153599412</v>
      </c>
      <c r="N96" s="5">
        <f t="shared" si="71"/>
        <v>39.469760516489437</v>
      </c>
      <c r="O96" s="1">
        <f t="shared" si="72"/>
        <v>0</v>
      </c>
      <c r="P96" s="1">
        <f t="shared" si="73"/>
        <v>1371.09</v>
      </c>
      <c r="Q96" s="5">
        <f t="shared" si="74"/>
        <v>8.4931506849315372E-2</v>
      </c>
      <c r="R96" s="5">
        <f t="shared" si="75"/>
        <v>-0.59705752153599412</v>
      </c>
      <c r="S96" s="5">
        <f t="shared" si="58"/>
        <v>39.469760516489437</v>
      </c>
      <c r="T96" s="5">
        <f t="shared" si="59"/>
        <v>-762.9258230229284</v>
      </c>
      <c r="U96" s="4">
        <f t="shared" si="60"/>
        <v>1083273.1784116246</v>
      </c>
      <c r="V96" s="4">
        <f t="shared" si="76"/>
        <v>17.480764440669777</v>
      </c>
      <c r="W96" s="4">
        <f t="shared" si="61"/>
        <v>1053160.6788850641</v>
      </c>
      <c r="X96" s="4">
        <f t="shared" si="65"/>
        <v>-2204.6228318000212</v>
      </c>
      <c r="Y96" s="9">
        <f>SUM($X$6:X96)</f>
        <v>53160.678885064088</v>
      </c>
      <c r="Z96" s="16">
        <f t="shared" si="66"/>
        <v>5.3160678885064087E-2</v>
      </c>
      <c r="AA96" s="16">
        <f t="shared" si="62"/>
        <v>5.9770096941412429E-2</v>
      </c>
      <c r="AB96" s="16">
        <f t="shared" si="63"/>
        <v>-2.0889665675132103E-3</v>
      </c>
      <c r="AC96" s="16">
        <f t="shared" si="64"/>
        <v>-3.3873592589046377E-3</v>
      </c>
    </row>
    <row r="97" spans="1:29" x14ac:dyDescent="0.15">
      <c r="A97" s="8">
        <v>41043</v>
      </c>
      <c r="B97" s="4">
        <v>1338.35</v>
      </c>
      <c r="C97" s="1">
        <v>19.3597</v>
      </c>
      <c r="D97" s="1">
        <v>2.23</v>
      </c>
      <c r="E97" s="1">
        <v>0.47620000000000001</v>
      </c>
      <c r="F97" s="4">
        <f t="shared" si="54"/>
        <v>0.19359699999999999</v>
      </c>
      <c r="G97" s="4">
        <f t="shared" si="55"/>
        <v>2.23E-2</v>
      </c>
      <c r="H97" s="4">
        <f t="shared" si="56"/>
        <v>4.7619999999999997E-3</v>
      </c>
      <c r="I97" s="3">
        <f t="shared" si="57"/>
        <v>54.387176390268998</v>
      </c>
      <c r="J97" s="4">
        <f t="shared" si="67"/>
        <v>1083273.1784116246</v>
      </c>
      <c r="K97" s="1">
        <f t="shared" si="68"/>
        <v>1371.09</v>
      </c>
      <c r="L97" s="5">
        <f t="shared" si="69"/>
        <v>7.6712328767123597E-2</v>
      </c>
      <c r="M97" s="5">
        <f t="shared" si="70"/>
        <v>-0.67213813186860472</v>
      </c>
      <c r="N97" s="5">
        <f t="shared" si="71"/>
        <v>49.424971259486867</v>
      </c>
      <c r="O97" s="1">
        <f t="shared" si="72"/>
        <v>0</v>
      </c>
      <c r="P97" s="1">
        <f t="shared" si="73"/>
        <v>1371.09</v>
      </c>
      <c r="Q97" s="5">
        <f t="shared" si="74"/>
        <v>7.6712328767123597E-2</v>
      </c>
      <c r="R97" s="5">
        <f t="shared" si="75"/>
        <v>-0.67213813186860472</v>
      </c>
      <c r="S97" s="5">
        <f t="shared" si="58"/>
        <v>49.424971259486867</v>
      </c>
      <c r="T97" s="5">
        <f t="shared" si="59"/>
        <v>-762.9258230229284</v>
      </c>
      <c r="U97" s="4">
        <f t="shared" si="60"/>
        <v>1083290.6591760654</v>
      </c>
      <c r="V97" s="4">
        <f t="shared" si="76"/>
        <v>52.443139582578283</v>
      </c>
      <c r="W97" s="4">
        <f t="shared" si="61"/>
        <v>1045583.0723000368</v>
      </c>
      <c r="X97" s="4">
        <f t="shared" si="65"/>
        <v>-7577.6065850273008</v>
      </c>
      <c r="Y97" s="9">
        <f>SUM($X$6:X97)</f>
        <v>45583.072300036787</v>
      </c>
      <c r="Z97" s="16">
        <f t="shared" si="66"/>
        <v>4.5583072300036789E-2</v>
      </c>
      <c r="AA97" s="16">
        <f t="shared" si="62"/>
        <v>4.7993046528745684E-2</v>
      </c>
      <c r="AB97" s="16">
        <f t="shared" si="63"/>
        <v>-7.1951096703015789E-3</v>
      </c>
      <c r="AC97" s="16">
        <f t="shared" si="64"/>
        <v>-1.1112835176852342E-2</v>
      </c>
    </row>
    <row r="98" spans="1:29" x14ac:dyDescent="0.15">
      <c r="A98" s="8">
        <v>41044</v>
      </c>
      <c r="B98" s="4">
        <v>1330.66</v>
      </c>
      <c r="C98" s="1">
        <v>20.2453</v>
      </c>
      <c r="D98" s="1">
        <v>2.2400000000000002</v>
      </c>
      <c r="E98" s="1">
        <v>0.47620000000000001</v>
      </c>
      <c r="F98" s="4">
        <f t="shared" si="54"/>
        <v>0.20245299999999999</v>
      </c>
      <c r="G98" s="4">
        <f t="shared" si="55"/>
        <v>2.2400000000000003E-2</v>
      </c>
      <c r="H98" s="4">
        <f t="shared" si="56"/>
        <v>4.7619999999999997E-3</v>
      </c>
      <c r="I98" s="3">
        <f t="shared" si="57"/>
        <v>56.42543768421065</v>
      </c>
      <c r="J98" s="4">
        <f t="shared" si="67"/>
        <v>1083290.6591760654</v>
      </c>
      <c r="K98" s="1">
        <f t="shared" si="68"/>
        <v>1371.09</v>
      </c>
      <c r="L98" s="5">
        <f t="shared" si="69"/>
        <v>7.3972602739726334E-2</v>
      </c>
      <c r="M98" s="5">
        <f t="shared" si="70"/>
        <v>-0.70414446100207828</v>
      </c>
      <c r="N98" s="5">
        <f t="shared" si="71"/>
        <v>55.360167397226768</v>
      </c>
      <c r="O98" s="1">
        <f t="shared" si="72"/>
        <v>0</v>
      </c>
      <c r="P98" s="1">
        <f t="shared" si="73"/>
        <v>1371.09</v>
      </c>
      <c r="Q98" s="5">
        <f t="shared" si="74"/>
        <v>7.3972602739726334E-2</v>
      </c>
      <c r="R98" s="5">
        <f t="shared" si="75"/>
        <v>-0.70414446100207828</v>
      </c>
      <c r="S98" s="5">
        <f t="shared" si="58"/>
        <v>55.360167397226768</v>
      </c>
      <c r="T98" s="5">
        <f t="shared" si="59"/>
        <v>-762.9258230229284</v>
      </c>
      <c r="U98" s="4">
        <f t="shared" si="60"/>
        <v>1083343.102315648</v>
      </c>
      <c r="V98" s="4">
        <f t="shared" si="76"/>
        <v>17.48189280175114</v>
      </c>
      <c r="W98" s="4">
        <f t="shared" si="61"/>
        <v>1041107.4010414317</v>
      </c>
      <c r="X98" s="4">
        <f t="shared" si="65"/>
        <v>-4475.6712586050853</v>
      </c>
      <c r="Y98" s="9">
        <f>SUM($X$6:X98)</f>
        <v>41107.401041431702</v>
      </c>
      <c r="Z98" s="16">
        <f t="shared" si="66"/>
        <v>4.11074010414317E-2</v>
      </c>
      <c r="AA98" s="16">
        <f t="shared" si="62"/>
        <v>4.1971403066418285E-2</v>
      </c>
      <c r="AB98" s="16">
        <f t="shared" si="63"/>
        <v>-4.2805506106364764E-3</v>
      </c>
      <c r="AC98" s="16">
        <f t="shared" si="64"/>
        <v>-5.7458811222773024E-3</v>
      </c>
    </row>
    <row r="99" spans="1:29" x14ac:dyDescent="0.15">
      <c r="A99" s="8">
        <v>41045</v>
      </c>
      <c r="B99" s="4">
        <v>1324.8</v>
      </c>
      <c r="C99" s="1">
        <v>20.528099999999998</v>
      </c>
      <c r="D99" s="1">
        <v>2.25</v>
      </c>
      <c r="E99" s="1">
        <v>0.47699999999999998</v>
      </c>
      <c r="F99" s="4">
        <f t="shared" si="54"/>
        <v>0.20528099999999999</v>
      </c>
      <c r="G99" s="4">
        <f t="shared" si="55"/>
        <v>2.2499999999999999E-2</v>
      </c>
      <c r="H99" s="4">
        <f t="shared" si="56"/>
        <v>4.7699999999999999E-3</v>
      </c>
      <c r="I99" s="3">
        <f t="shared" si="57"/>
        <v>56.933968294587253</v>
      </c>
      <c r="J99" s="4">
        <f t="shared" si="67"/>
        <v>1083343.102315648</v>
      </c>
      <c r="K99" s="1">
        <f t="shared" si="68"/>
        <v>1371.09</v>
      </c>
      <c r="L99" s="5">
        <f t="shared" si="69"/>
        <v>7.1232876712329071E-2</v>
      </c>
      <c r="M99" s="5">
        <f t="shared" si="70"/>
        <v>-0.73202405725927</v>
      </c>
      <c r="N99" s="5">
        <f t="shared" si="71"/>
        <v>59.406880626022051</v>
      </c>
      <c r="O99" s="1">
        <f t="shared" si="72"/>
        <v>0</v>
      </c>
      <c r="P99" s="1">
        <f t="shared" si="73"/>
        <v>1371.09</v>
      </c>
      <c r="Q99" s="5">
        <f t="shared" si="74"/>
        <v>7.1232876712329071E-2</v>
      </c>
      <c r="R99" s="5">
        <f t="shared" si="75"/>
        <v>-0.73202405725927</v>
      </c>
      <c r="S99" s="5">
        <f t="shared" si="58"/>
        <v>59.406880626022051</v>
      </c>
      <c r="T99" s="5">
        <f t="shared" si="59"/>
        <v>-762.9258230229284</v>
      </c>
      <c r="U99" s="4">
        <f t="shared" si="60"/>
        <v>1083360.5842084498</v>
      </c>
      <c r="V99" s="4">
        <f t="shared" si="76"/>
        <v>17.482174906815803</v>
      </c>
      <c r="W99" s="4">
        <f t="shared" si="61"/>
        <v>1038037.5409136171</v>
      </c>
      <c r="X99" s="4">
        <f t="shared" si="65"/>
        <v>-3069.8601278145798</v>
      </c>
      <c r="Y99" s="9">
        <f>SUM($X$6:X99)</f>
        <v>38037.540913617122</v>
      </c>
      <c r="Z99" s="16">
        <f t="shared" si="66"/>
        <v>3.8037540913617121E-2</v>
      </c>
      <c r="AA99" s="16">
        <f t="shared" si="62"/>
        <v>3.7382738477440378E-2</v>
      </c>
      <c r="AB99" s="16">
        <f t="shared" si="63"/>
        <v>-2.9486488375202822E-3</v>
      </c>
      <c r="AC99" s="16">
        <f t="shared" si="64"/>
        <v>-4.4038296785054989E-3</v>
      </c>
    </row>
    <row r="100" spans="1:29" x14ac:dyDescent="0.15">
      <c r="A100" s="8">
        <v>41046</v>
      </c>
      <c r="B100" s="4">
        <v>1304.8599999999999</v>
      </c>
      <c r="C100" s="1">
        <v>21.2043</v>
      </c>
      <c r="D100" s="1">
        <v>2.29</v>
      </c>
      <c r="E100" s="1">
        <v>0.47720000000000001</v>
      </c>
      <c r="F100" s="4">
        <f t="shared" si="54"/>
        <v>0.21204300000000001</v>
      </c>
      <c r="G100" s="4">
        <f t="shared" si="55"/>
        <v>2.29E-2</v>
      </c>
      <c r="H100" s="4">
        <f t="shared" si="56"/>
        <v>4.7720000000000002E-3</v>
      </c>
      <c r="I100" s="3">
        <f t="shared" si="57"/>
        <v>57.888530069684158</v>
      </c>
      <c r="J100" s="4">
        <f t="shared" si="67"/>
        <v>1083360.5842084498</v>
      </c>
      <c r="K100" s="1">
        <f t="shared" si="68"/>
        <v>1371.09</v>
      </c>
      <c r="L100" s="5">
        <f t="shared" si="69"/>
        <v>6.8493150684931808E-2</v>
      </c>
      <c r="M100" s="5">
        <f t="shared" si="70"/>
        <v>-0.81113288267846051</v>
      </c>
      <c r="N100" s="5">
        <f t="shared" si="71"/>
        <v>75.07647209668967</v>
      </c>
      <c r="O100" s="1">
        <f t="shared" si="72"/>
        <v>0</v>
      </c>
      <c r="P100" s="1">
        <f t="shared" si="73"/>
        <v>1371.09</v>
      </c>
      <c r="Q100" s="5">
        <f t="shared" si="74"/>
        <v>6.8493150684931808E-2</v>
      </c>
      <c r="R100" s="5">
        <f t="shared" si="75"/>
        <v>-0.81113288267846051</v>
      </c>
      <c r="S100" s="5">
        <f t="shared" si="58"/>
        <v>75.07647209668967</v>
      </c>
      <c r="T100" s="5">
        <f t="shared" si="59"/>
        <v>-762.9258230229284</v>
      </c>
      <c r="U100" s="4">
        <f t="shared" si="60"/>
        <v>1083378.0663833567</v>
      </c>
      <c r="V100" s="4">
        <f t="shared" si="76"/>
        <v>17.482457016432797</v>
      </c>
      <c r="W100" s="4">
        <f t="shared" si="61"/>
        <v>1026100.2871193318</v>
      </c>
      <c r="X100" s="4">
        <f t="shared" si="65"/>
        <v>-11937.253794285352</v>
      </c>
      <c r="Y100" s="9">
        <f>SUM($X$6:X100)</f>
        <v>26100.28711933177</v>
      </c>
      <c r="Z100" s="16">
        <f t="shared" si="66"/>
        <v>2.610028711933177E-2</v>
      </c>
      <c r="AA100" s="16">
        <f t="shared" si="62"/>
        <v>2.1768750097881037E-2</v>
      </c>
      <c r="AB100" s="16">
        <f t="shared" si="63"/>
        <v>-1.1499828593654631E-2</v>
      </c>
      <c r="AC100" s="16">
        <f t="shared" si="64"/>
        <v>-1.5051328502415501E-2</v>
      </c>
    </row>
    <row r="101" spans="1:29" x14ac:dyDescent="0.15">
      <c r="A101" s="8">
        <v>41047</v>
      </c>
      <c r="B101" s="4">
        <v>1295.22</v>
      </c>
      <c r="C101" s="1">
        <v>22.3599</v>
      </c>
      <c r="D101" s="1">
        <v>2.31</v>
      </c>
      <c r="E101" s="1">
        <v>0.47720000000000001</v>
      </c>
      <c r="F101" s="4">
        <f t="shared" si="54"/>
        <v>0.22359899999999999</v>
      </c>
      <c r="G101" s="4">
        <f t="shared" si="55"/>
        <v>2.3099999999999999E-2</v>
      </c>
      <c r="H101" s="4">
        <f t="shared" si="56"/>
        <v>4.7720000000000002E-3</v>
      </c>
      <c r="I101" s="3">
        <f t="shared" si="57"/>
        <v>60.456866599626508</v>
      </c>
      <c r="J101" s="4">
        <f t="shared" si="67"/>
        <v>1083378.0663833567</v>
      </c>
      <c r="K101" s="1">
        <f t="shared" si="68"/>
        <v>1371.09</v>
      </c>
      <c r="L101" s="5">
        <f t="shared" si="69"/>
        <v>6.5753424657534545E-2</v>
      </c>
      <c r="M101" s="5">
        <f t="shared" si="70"/>
        <v>-0.83646237260605127</v>
      </c>
      <c r="N101" s="5">
        <f t="shared" si="71"/>
        <v>83.598079826141415</v>
      </c>
      <c r="O101" s="1">
        <f t="shared" si="72"/>
        <v>0</v>
      </c>
      <c r="P101" s="1">
        <f t="shared" si="73"/>
        <v>1371.09</v>
      </c>
      <c r="Q101" s="5">
        <f t="shared" si="74"/>
        <v>6.5753424657534545E-2</v>
      </c>
      <c r="R101" s="5">
        <f t="shared" si="75"/>
        <v>-0.83646237260605127</v>
      </c>
      <c r="S101" s="5">
        <f t="shared" si="58"/>
        <v>83.598079826141415</v>
      </c>
      <c r="T101" s="5">
        <f t="shared" si="59"/>
        <v>-762.9258230229284</v>
      </c>
      <c r="U101" s="4">
        <f t="shared" si="60"/>
        <v>1083395.5488403731</v>
      </c>
      <c r="V101" s="4">
        <f t="shared" si="76"/>
        <v>17.482739130602184</v>
      </c>
      <c r="W101" s="4">
        <f t="shared" si="61"/>
        <v>1019616.4149858777</v>
      </c>
      <c r="X101" s="4">
        <f t="shared" si="65"/>
        <v>-6483.8721334540751</v>
      </c>
      <c r="Y101" s="9">
        <f>SUM($X$6:X101)</f>
        <v>19616.414985877695</v>
      </c>
      <c r="Z101" s="16">
        <f t="shared" si="66"/>
        <v>1.9616414985877694E-2</v>
      </c>
      <c r="AA101" s="16">
        <f t="shared" si="62"/>
        <v>1.4220161934443238E-2</v>
      </c>
      <c r="AB101" s="16">
        <f t="shared" si="63"/>
        <v>-6.3189458329232723E-3</v>
      </c>
      <c r="AC101" s="16">
        <f t="shared" si="64"/>
        <v>-7.387765737320382E-3</v>
      </c>
    </row>
    <row r="102" spans="1:29" x14ac:dyDescent="0.15">
      <c r="A102" s="8">
        <v>41050</v>
      </c>
      <c r="B102" s="4">
        <v>1315.99</v>
      </c>
      <c r="C102" s="1">
        <v>20.670200000000001</v>
      </c>
      <c r="D102" s="1">
        <v>2.27</v>
      </c>
      <c r="E102" s="1">
        <v>0.47720000000000001</v>
      </c>
      <c r="F102" s="4">
        <f t="shared" si="54"/>
        <v>0.20670200000000002</v>
      </c>
      <c r="G102" s="4">
        <f t="shared" si="55"/>
        <v>2.2700000000000001E-2</v>
      </c>
      <c r="H102" s="4">
        <f t="shared" si="56"/>
        <v>4.7720000000000002E-3</v>
      </c>
      <c r="I102" s="3">
        <f t="shared" si="57"/>
        <v>56.957811670613779</v>
      </c>
      <c r="J102" s="4">
        <f t="shared" si="67"/>
        <v>1083395.5488403731</v>
      </c>
      <c r="K102" s="1">
        <f t="shared" si="68"/>
        <v>1371.09</v>
      </c>
      <c r="L102" s="5">
        <f t="shared" si="69"/>
        <v>5.7534246575342764E-2</v>
      </c>
      <c r="M102" s="5">
        <f t="shared" si="70"/>
        <v>-0.79379301152816728</v>
      </c>
      <c r="N102" s="5">
        <f t="shared" si="71"/>
        <v>63.783264229050872</v>
      </c>
      <c r="O102" s="1">
        <f t="shared" si="72"/>
        <v>0</v>
      </c>
      <c r="P102" s="1">
        <f t="shared" si="73"/>
        <v>1371.09</v>
      </c>
      <c r="Q102" s="5">
        <f t="shared" si="74"/>
        <v>5.7534246575342764E-2</v>
      </c>
      <c r="R102" s="5">
        <f t="shared" si="75"/>
        <v>-0.79379301152816728</v>
      </c>
      <c r="S102" s="5">
        <f t="shared" si="58"/>
        <v>63.783264229050872</v>
      </c>
      <c r="T102" s="5">
        <f t="shared" si="59"/>
        <v>-762.9258230229284</v>
      </c>
      <c r="U102" s="4">
        <f t="shared" si="60"/>
        <v>1083413.0315795036</v>
      </c>
      <c r="V102" s="4">
        <f t="shared" si="76"/>
        <v>52.449063747972126</v>
      </c>
      <c r="W102" s="4">
        <f t="shared" si="61"/>
        <v>1034751.1322224661</v>
      </c>
      <c r="X102" s="4">
        <f t="shared" si="65"/>
        <v>15134.71723658836</v>
      </c>
      <c r="Y102" s="9">
        <f>SUM($X$6:X102)</f>
        <v>34751.132222466054</v>
      </c>
      <c r="Z102" s="16">
        <f t="shared" si="66"/>
        <v>3.4751132222466057E-2</v>
      </c>
      <c r="AA102" s="16">
        <f t="shared" si="62"/>
        <v>3.0484080622680269E-2</v>
      </c>
      <c r="AB102" s="16">
        <f t="shared" si="63"/>
        <v>1.4843540192316328E-2</v>
      </c>
      <c r="AC102" s="16">
        <f t="shared" si="64"/>
        <v>1.6035885795463306E-2</v>
      </c>
    </row>
    <row r="103" spans="1:29" x14ac:dyDescent="0.15">
      <c r="A103" s="8">
        <v>41051</v>
      </c>
      <c r="B103" s="4">
        <v>1316.63</v>
      </c>
      <c r="C103" s="1">
        <v>20.537299999999998</v>
      </c>
      <c r="D103" s="1">
        <v>2.27</v>
      </c>
      <c r="E103" s="1">
        <v>0.47720000000000001</v>
      </c>
      <c r="F103" s="4">
        <f t="shared" si="54"/>
        <v>0.20537299999999997</v>
      </c>
      <c r="G103" s="4">
        <f t="shared" si="55"/>
        <v>2.2700000000000001E-2</v>
      </c>
      <c r="H103" s="4">
        <f t="shared" si="56"/>
        <v>4.7720000000000002E-3</v>
      </c>
      <c r="I103" s="3">
        <f t="shared" si="57"/>
        <v>56.638933471690557</v>
      </c>
      <c r="J103" s="4">
        <f t="shared" si="67"/>
        <v>1083413.0315795036</v>
      </c>
      <c r="K103" s="1">
        <f t="shared" si="68"/>
        <v>1371.09</v>
      </c>
      <c r="L103" s="5">
        <f t="shared" si="69"/>
        <v>5.4794520547945501E-2</v>
      </c>
      <c r="M103" s="5">
        <f t="shared" si="70"/>
        <v>-0.7984067560331517</v>
      </c>
      <c r="N103" s="5">
        <f t="shared" si="71"/>
        <v>62.66405940671762</v>
      </c>
      <c r="O103" s="1">
        <f t="shared" si="72"/>
        <v>0</v>
      </c>
      <c r="P103" s="1">
        <f t="shared" si="73"/>
        <v>1371.09</v>
      </c>
      <c r="Q103" s="5">
        <f t="shared" si="74"/>
        <v>5.4794520547945501E-2</v>
      </c>
      <c r="R103" s="5">
        <f t="shared" si="75"/>
        <v>-0.7984067560331517</v>
      </c>
      <c r="S103" s="5">
        <f t="shared" si="58"/>
        <v>62.66405940671762</v>
      </c>
      <c r="T103" s="5">
        <f t="shared" si="59"/>
        <v>-762.9258230229284</v>
      </c>
      <c r="U103" s="4">
        <f t="shared" si="60"/>
        <v>1083465.4806432514</v>
      </c>
      <c r="V103" s="4">
        <f t="shared" si="76"/>
        <v>17.483867619147262</v>
      </c>
      <c r="W103" s="4">
        <f t="shared" si="61"/>
        <v>1035657.4515464237</v>
      </c>
      <c r="X103" s="4">
        <f t="shared" si="65"/>
        <v>906.31932395766489</v>
      </c>
      <c r="Y103" s="9">
        <f>SUM($X$6:X103)</f>
        <v>35657.451546423719</v>
      </c>
      <c r="Z103" s="16">
        <f t="shared" si="66"/>
        <v>3.5657451546423719E-2</v>
      </c>
      <c r="AA103" s="16">
        <f t="shared" si="62"/>
        <v>3.0985231704070415E-2</v>
      </c>
      <c r="AB103" s="16">
        <f t="shared" si="63"/>
        <v>8.7588145181445522E-4</v>
      </c>
      <c r="AC103" s="16">
        <f t="shared" si="64"/>
        <v>4.8632588393536427E-4</v>
      </c>
    </row>
    <row r="104" spans="1:29" x14ac:dyDescent="0.15">
      <c r="A104" s="8">
        <v>41052</v>
      </c>
      <c r="B104" s="4">
        <v>1318.86</v>
      </c>
      <c r="C104" s="1">
        <v>20.967700000000001</v>
      </c>
      <c r="D104" s="1">
        <v>2.27</v>
      </c>
      <c r="E104" s="1">
        <v>0.47689999999999999</v>
      </c>
      <c r="F104" s="4">
        <f t="shared" si="54"/>
        <v>0.209677</v>
      </c>
      <c r="G104" s="4">
        <f t="shared" si="55"/>
        <v>2.2700000000000001E-2</v>
      </c>
      <c r="H104" s="4">
        <f t="shared" si="56"/>
        <v>4.7689999999999998E-3</v>
      </c>
      <c r="I104" s="3">
        <f t="shared" si="57"/>
        <v>57.859690696531622</v>
      </c>
      <c r="J104" s="4">
        <f t="shared" si="67"/>
        <v>1083465.4806432514</v>
      </c>
      <c r="K104" s="1">
        <f t="shared" si="68"/>
        <v>1371.09</v>
      </c>
      <c r="L104" s="5">
        <f t="shared" si="69"/>
        <v>5.2054794520548238E-2</v>
      </c>
      <c r="M104" s="5">
        <f t="shared" si="70"/>
        <v>-0.78936254764731262</v>
      </c>
      <c r="N104" s="5">
        <f t="shared" si="71"/>
        <v>60.75521855711051</v>
      </c>
      <c r="O104" s="1">
        <f t="shared" si="72"/>
        <v>0</v>
      </c>
      <c r="P104" s="1">
        <f t="shared" si="73"/>
        <v>1371.09</v>
      </c>
      <c r="Q104" s="5">
        <f t="shared" si="74"/>
        <v>5.2054794520548238E-2</v>
      </c>
      <c r="R104" s="5">
        <f t="shared" si="75"/>
        <v>-0.78936254764731262</v>
      </c>
      <c r="S104" s="5">
        <f t="shared" si="58"/>
        <v>60.75521855711051</v>
      </c>
      <c r="T104" s="5">
        <f t="shared" si="59"/>
        <v>-762.9258230229284</v>
      </c>
      <c r="U104" s="4">
        <f t="shared" si="60"/>
        <v>1083482.9645108706</v>
      </c>
      <c r="V104" s="4">
        <f t="shared" si="76"/>
        <v>17.484149756079525</v>
      </c>
      <c r="W104" s="4">
        <f t="shared" si="61"/>
        <v>1037131.2393902492</v>
      </c>
      <c r="X104" s="4">
        <f t="shared" si="65"/>
        <v>1473.7878438255284</v>
      </c>
      <c r="Y104" s="9">
        <f>SUM($X$6:X104)</f>
        <v>37131.239390249248</v>
      </c>
      <c r="Z104" s="16">
        <f t="shared" si="66"/>
        <v>3.7131239390249246E-2</v>
      </c>
      <c r="AA104" s="16">
        <f t="shared" si="62"/>
        <v>3.2731430003288771E-2</v>
      </c>
      <c r="AB104" s="16">
        <f t="shared" si="63"/>
        <v>1.4230456620815085E-3</v>
      </c>
      <c r="AC104" s="16">
        <f t="shared" si="64"/>
        <v>1.6937180529076434E-3</v>
      </c>
    </row>
    <row r="105" spans="1:29" x14ac:dyDescent="0.15">
      <c r="A105" s="8">
        <v>41053</v>
      </c>
      <c r="B105" s="4">
        <v>1320.68</v>
      </c>
      <c r="C105" s="1">
        <v>20.715199999999999</v>
      </c>
      <c r="D105" s="1">
        <v>2.27</v>
      </c>
      <c r="E105" s="1">
        <v>0.47720000000000001</v>
      </c>
      <c r="F105" s="4">
        <f t="shared" si="54"/>
        <v>0.207152</v>
      </c>
      <c r="G105" s="4">
        <f t="shared" si="55"/>
        <v>2.2700000000000001E-2</v>
      </c>
      <c r="H105" s="4">
        <f t="shared" si="56"/>
        <v>4.7720000000000002E-3</v>
      </c>
      <c r="I105" s="3">
        <f t="shared" si="57"/>
        <v>57.278513297791235</v>
      </c>
      <c r="J105" s="4">
        <f t="shared" si="67"/>
        <v>1083482.9645108706</v>
      </c>
      <c r="K105" s="1">
        <f t="shared" si="68"/>
        <v>1371.09</v>
      </c>
      <c r="L105" s="5">
        <f t="shared" si="69"/>
        <v>4.9315068493150975E-2</v>
      </c>
      <c r="M105" s="5">
        <f t="shared" si="70"/>
        <v>-0.7902914573769334</v>
      </c>
      <c r="N105" s="5">
        <f t="shared" si="71"/>
        <v>58.570793537545725</v>
      </c>
      <c r="O105" s="1">
        <f t="shared" si="72"/>
        <v>0</v>
      </c>
      <c r="P105" s="1">
        <f t="shared" si="73"/>
        <v>1371.09</v>
      </c>
      <c r="Q105" s="5">
        <f t="shared" si="74"/>
        <v>4.9315068493150975E-2</v>
      </c>
      <c r="R105" s="5">
        <f t="shared" si="75"/>
        <v>-0.7902914573769334</v>
      </c>
      <c r="S105" s="5">
        <f t="shared" si="58"/>
        <v>58.570793537545725</v>
      </c>
      <c r="T105" s="5">
        <f t="shared" si="59"/>
        <v>-762.9258230229284</v>
      </c>
      <c r="U105" s="4">
        <f t="shared" si="60"/>
        <v>1083500.4486606268</v>
      </c>
      <c r="V105" s="4">
        <f t="shared" si="76"/>
        <v>17.484431897564633</v>
      </c>
      <c r="W105" s="4">
        <f t="shared" si="61"/>
        <v>1038815.2777958887</v>
      </c>
      <c r="X105" s="4">
        <f t="shared" si="65"/>
        <v>1684.0384056394687</v>
      </c>
      <c r="Y105" s="9">
        <f>SUM($X$6:X105)</f>
        <v>38815.277795888716</v>
      </c>
      <c r="Z105" s="16">
        <f t="shared" si="66"/>
        <v>3.8815277795888718E-2</v>
      </c>
      <c r="AA105" s="16">
        <f t="shared" si="62"/>
        <v>3.4156578390991905E-2</v>
      </c>
      <c r="AB105" s="16">
        <f t="shared" si="63"/>
        <v>1.6237466789926697E-3</v>
      </c>
      <c r="AC105" s="16">
        <f t="shared" si="64"/>
        <v>1.3799796794202294E-3</v>
      </c>
    </row>
    <row r="106" spans="1:29" x14ac:dyDescent="0.15">
      <c r="A106" s="8">
        <v>41054</v>
      </c>
      <c r="B106" s="4">
        <v>1317.82</v>
      </c>
      <c r="C106" s="1">
        <v>20.7499</v>
      </c>
      <c r="D106" s="1">
        <v>2.27</v>
      </c>
      <c r="E106" s="1">
        <v>0.47720000000000001</v>
      </c>
      <c r="F106" s="4">
        <f t="shared" si="54"/>
        <v>0.20749899999999999</v>
      </c>
      <c r="G106" s="4">
        <f t="shared" si="55"/>
        <v>2.2700000000000001E-2</v>
      </c>
      <c r="H106" s="4">
        <f t="shared" si="56"/>
        <v>4.7720000000000002E-3</v>
      </c>
      <c r="I106" s="3">
        <f t="shared" si="57"/>
        <v>57.245046184039133</v>
      </c>
      <c r="J106" s="4">
        <f t="shared" si="67"/>
        <v>1083500.4486606268</v>
      </c>
      <c r="K106" s="1">
        <f t="shared" si="68"/>
        <v>1371.09</v>
      </c>
      <c r="L106" s="5">
        <f t="shared" si="69"/>
        <v>4.6575342465753712E-2</v>
      </c>
      <c r="M106" s="5">
        <f t="shared" si="70"/>
        <v>-0.81002916469020514</v>
      </c>
      <c r="N106" s="5">
        <f t="shared" si="71"/>
        <v>60.359150714944761</v>
      </c>
      <c r="O106" s="1">
        <f t="shared" si="72"/>
        <v>0</v>
      </c>
      <c r="P106" s="1">
        <f t="shared" si="73"/>
        <v>1371.09</v>
      </c>
      <c r="Q106" s="5">
        <f t="shared" si="74"/>
        <v>4.6575342465753712E-2</v>
      </c>
      <c r="R106" s="5">
        <f t="shared" si="75"/>
        <v>-0.81002916469020514</v>
      </c>
      <c r="S106" s="5">
        <f t="shared" si="58"/>
        <v>60.359150714944761</v>
      </c>
      <c r="T106" s="5">
        <f t="shared" si="59"/>
        <v>-762.9258230229284</v>
      </c>
      <c r="U106" s="4">
        <f t="shared" si="60"/>
        <v>1083517.9330925243</v>
      </c>
      <c r="V106" s="4">
        <f t="shared" si="76"/>
        <v>17.484714043602651</v>
      </c>
      <c r="W106" s="4">
        <f t="shared" si="61"/>
        <v>1037468.3783563601</v>
      </c>
      <c r="X106" s="4">
        <f t="shared" si="65"/>
        <v>-1346.8994395285845</v>
      </c>
      <c r="Y106" s="9">
        <f>SUM($X$6:X106)</f>
        <v>37468.378356360132</v>
      </c>
      <c r="Z106" s="16">
        <f t="shared" si="66"/>
        <v>3.7468378356360132E-2</v>
      </c>
      <c r="AA106" s="16">
        <f t="shared" si="62"/>
        <v>3.1917059496029937E-2</v>
      </c>
      <c r="AB106" s="16">
        <f t="shared" si="63"/>
        <v>-1.2965726133585317E-3</v>
      </c>
      <c r="AC106" s="16">
        <f t="shared" si="64"/>
        <v>-2.1655510797468935E-3</v>
      </c>
    </row>
    <row r="107" spans="1:29" x14ac:dyDescent="0.15">
      <c r="A107" s="8">
        <v>41058</v>
      </c>
      <c r="B107" s="4">
        <v>1332.42</v>
      </c>
      <c r="C107" s="1">
        <v>19.791699999999999</v>
      </c>
      <c r="D107" s="1">
        <v>2.25</v>
      </c>
      <c r="E107" s="1">
        <v>0.47720000000000001</v>
      </c>
      <c r="F107" s="4">
        <f t="shared" si="54"/>
        <v>0.19791699999999998</v>
      </c>
      <c r="G107" s="4">
        <f t="shared" si="55"/>
        <v>2.2499999999999999E-2</v>
      </c>
      <c r="H107" s="4">
        <f t="shared" si="56"/>
        <v>4.7720000000000002E-3</v>
      </c>
      <c r="I107" s="3">
        <f t="shared" si="57"/>
        <v>55.317543228245214</v>
      </c>
      <c r="J107" s="4">
        <f t="shared" si="67"/>
        <v>1083517.9330925243</v>
      </c>
      <c r="K107" s="1">
        <f t="shared" si="68"/>
        <v>1371.09</v>
      </c>
      <c r="L107" s="5">
        <f t="shared" si="69"/>
        <v>3.5616438356164667E-2</v>
      </c>
      <c r="M107" s="5">
        <f t="shared" si="70"/>
        <v>-0.77699516387533762</v>
      </c>
      <c r="N107" s="5">
        <f t="shared" si="71"/>
        <v>45.754897517405631</v>
      </c>
      <c r="O107" s="1">
        <f t="shared" si="72"/>
        <v>0</v>
      </c>
      <c r="P107" s="1">
        <f t="shared" si="73"/>
        <v>1371.09</v>
      </c>
      <c r="Q107" s="5">
        <f t="shared" si="74"/>
        <v>3.5616438356164667E-2</v>
      </c>
      <c r="R107" s="5">
        <f t="shared" si="75"/>
        <v>-0.77699516387533762</v>
      </c>
      <c r="S107" s="5">
        <f t="shared" si="58"/>
        <v>45.754897517405631</v>
      </c>
      <c r="T107" s="5">
        <f t="shared" si="59"/>
        <v>-762.9258230229284</v>
      </c>
      <c r="U107" s="4">
        <f t="shared" si="60"/>
        <v>1083535.4178065679</v>
      </c>
      <c r="V107" s="4">
        <f t="shared" si="76"/>
        <v>69.939984776774622</v>
      </c>
      <c r="W107" s="4">
        <f t="shared" si="61"/>
        <v>1048627.8249607715</v>
      </c>
      <c r="X107" s="4">
        <f t="shared" si="65"/>
        <v>11159.446604411351</v>
      </c>
      <c r="Y107" s="9">
        <f>SUM($X$6:X107)</f>
        <v>48627.824960771482</v>
      </c>
      <c r="Z107" s="16">
        <f t="shared" si="66"/>
        <v>4.8627824960771483E-2</v>
      </c>
      <c r="AA107" s="16">
        <f t="shared" si="62"/>
        <v>4.3349568540240968E-2</v>
      </c>
      <c r="AB107" s="16">
        <f t="shared" si="63"/>
        <v>1.0756420954334081E-2</v>
      </c>
      <c r="AC107" s="16">
        <f t="shared" si="64"/>
        <v>1.1078903036833662E-2</v>
      </c>
    </row>
    <row r="108" spans="1:29" x14ac:dyDescent="0.15">
      <c r="A108" s="8">
        <v>41059</v>
      </c>
      <c r="B108" s="4">
        <v>1313.32</v>
      </c>
      <c r="C108" s="1">
        <v>20.898599999999998</v>
      </c>
      <c r="D108" s="1">
        <v>2.2800000000000002</v>
      </c>
      <c r="E108" s="1">
        <v>0.47689999999999999</v>
      </c>
      <c r="F108" s="4">
        <f t="shared" si="54"/>
        <v>0.20898599999999998</v>
      </c>
      <c r="G108" s="4">
        <f t="shared" si="55"/>
        <v>2.2800000000000001E-2</v>
      </c>
      <c r="H108" s="4">
        <f t="shared" si="56"/>
        <v>4.7689999999999998E-3</v>
      </c>
      <c r="I108" s="3">
        <f t="shared" si="57"/>
        <v>57.453060217590036</v>
      </c>
      <c r="J108" s="4">
        <f t="shared" si="67"/>
        <v>1083535.4178065679</v>
      </c>
      <c r="K108" s="1">
        <f t="shared" si="68"/>
        <v>1371.09</v>
      </c>
      <c r="L108" s="5">
        <f t="shared" si="69"/>
        <v>3.2876712328767405E-2</v>
      </c>
      <c r="M108" s="5">
        <f t="shared" si="70"/>
        <v>-0.8706823837302905</v>
      </c>
      <c r="N108" s="5">
        <f t="shared" si="71"/>
        <v>61.684586734958287</v>
      </c>
      <c r="O108" s="1">
        <f t="shared" si="72"/>
        <v>0</v>
      </c>
      <c r="P108" s="1">
        <f t="shared" si="73"/>
        <v>1371.09</v>
      </c>
      <c r="Q108" s="5">
        <f t="shared" si="74"/>
        <v>3.2876712328767405E-2</v>
      </c>
      <c r="R108" s="5">
        <f t="shared" si="75"/>
        <v>-0.8706823837302905</v>
      </c>
      <c r="S108" s="5">
        <f t="shared" si="58"/>
        <v>61.684586734958287</v>
      </c>
      <c r="T108" s="5">
        <f t="shared" si="59"/>
        <v>-762.9258230229284</v>
      </c>
      <c r="U108" s="4">
        <f t="shared" si="60"/>
        <v>1083605.3577913446</v>
      </c>
      <c r="V108" s="4">
        <f t="shared" si="76"/>
        <v>17.486124814769916</v>
      </c>
      <c r="W108" s="4">
        <f t="shared" si="61"/>
        <v>1036544.5936887474</v>
      </c>
      <c r="X108" s="4">
        <f t="shared" si="65"/>
        <v>-12083.231272024103</v>
      </c>
      <c r="Y108" s="9">
        <f>SUM($X$6:X108)</f>
        <v>36544.59368874738</v>
      </c>
      <c r="Z108" s="16">
        <f t="shared" si="66"/>
        <v>3.6544593688747379E-2</v>
      </c>
      <c r="AA108" s="16">
        <f t="shared" si="62"/>
        <v>2.8393340955006025E-2</v>
      </c>
      <c r="AB108" s="16">
        <f t="shared" si="63"/>
        <v>-1.1522897814080156E-2</v>
      </c>
      <c r="AC108" s="16">
        <f t="shared" si="64"/>
        <v>-1.4334819351255712E-2</v>
      </c>
    </row>
    <row r="109" spans="1:29" x14ac:dyDescent="0.15">
      <c r="A109" s="8">
        <v>41060</v>
      </c>
      <c r="B109" s="4">
        <v>1310.33</v>
      </c>
      <c r="C109" s="1">
        <v>20.772400000000001</v>
      </c>
      <c r="D109" s="1">
        <v>2.2800000000000002</v>
      </c>
      <c r="E109" s="1">
        <v>0.47720000000000001</v>
      </c>
      <c r="F109" s="4">
        <f t="shared" si="54"/>
        <v>0.20772400000000002</v>
      </c>
      <c r="G109" s="4">
        <f t="shared" si="55"/>
        <v>2.2800000000000001E-2</v>
      </c>
      <c r="H109" s="4">
        <f t="shared" si="56"/>
        <v>4.7720000000000002E-3</v>
      </c>
      <c r="I109" s="3">
        <f t="shared" si="57"/>
        <v>56.994211074779066</v>
      </c>
      <c r="J109" s="4">
        <f t="shared" si="67"/>
        <v>1083605.3577913446</v>
      </c>
      <c r="K109" s="1">
        <f t="shared" si="68"/>
        <v>1371.09</v>
      </c>
      <c r="L109" s="5">
        <f t="shared" si="69"/>
        <v>3.0136986301370145E-2</v>
      </c>
      <c r="M109" s="5">
        <f t="shared" si="70"/>
        <v>-0.89446304088013096</v>
      </c>
      <c r="N109" s="5">
        <f t="shared" si="71"/>
        <v>63.796411205631266</v>
      </c>
      <c r="O109" s="1">
        <f t="shared" si="72"/>
        <v>0</v>
      </c>
      <c r="P109" s="1">
        <f t="shared" si="73"/>
        <v>1371.09</v>
      </c>
      <c r="Q109" s="5">
        <f t="shared" si="74"/>
        <v>3.0136986301370145E-2</v>
      </c>
      <c r="R109" s="5">
        <f t="shared" si="75"/>
        <v>-0.89446304088013096</v>
      </c>
      <c r="S109" s="5">
        <f t="shared" si="58"/>
        <v>63.796411205631266</v>
      </c>
      <c r="T109" s="5">
        <f t="shared" si="59"/>
        <v>-762.9258230229284</v>
      </c>
      <c r="U109" s="4">
        <f t="shared" si="60"/>
        <v>1083622.8439161594</v>
      </c>
      <c r="V109" s="4">
        <f t="shared" si="76"/>
        <v>17.486406988126515</v>
      </c>
      <c r="W109" s="4">
        <f t="shared" si="61"/>
        <v>1034950.914391194</v>
      </c>
      <c r="X109" s="4">
        <f t="shared" si="65"/>
        <v>-1593.6792975533754</v>
      </c>
      <c r="Y109" s="9">
        <f>SUM($X$6:X109)</f>
        <v>34950.914391194005</v>
      </c>
      <c r="Z109" s="16">
        <f t="shared" si="66"/>
        <v>3.4950914391194007E-2</v>
      </c>
      <c r="AA109" s="16">
        <f t="shared" si="62"/>
        <v>2.6052025746636794E-2</v>
      </c>
      <c r="AB109" s="16">
        <f t="shared" si="63"/>
        <v>-1.5374922673437085E-3</v>
      </c>
      <c r="AC109" s="16">
        <f t="shared" si="64"/>
        <v>-2.2766728596229475E-3</v>
      </c>
    </row>
    <row r="110" spans="1:29" x14ac:dyDescent="0.15">
      <c r="A110" s="8">
        <v>41061</v>
      </c>
      <c r="B110" s="4">
        <v>1278.04</v>
      </c>
      <c r="C110" s="1">
        <v>23.4772</v>
      </c>
      <c r="D110" s="1">
        <v>2.34</v>
      </c>
      <c r="E110" s="1">
        <v>0.47820000000000001</v>
      </c>
      <c r="F110" s="4">
        <f t="shared" si="54"/>
        <v>0.23477200000000001</v>
      </c>
      <c r="G110" s="4">
        <f t="shared" si="55"/>
        <v>2.3399999999999997E-2</v>
      </c>
      <c r="H110" s="4">
        <f t="shared" si="56"/>
        <v>4.7819999999999998E-3</v>
      </c>
      <c r="I110" s="3">
        <f t="shared" si="57"/>
        <v>62.527720568110055</v>
      </c>
      <c r="J110" s="4">
        <f t="shared" si="67"/>
        <v>1083622.8439161594</v>
      </c>
      <c r="K110" s="1">
        <f t="shared" si="68"/>
        <v>1371.09</v>
      </c>
      <c r="L110" s="5">
        <f t="shared" si="69"/>
        <v>2.7397260273972886E-2</v>
      </c>
      <c r="M110" s="5">
        <f t="shared" si="70"/>
        <v>-0.96362588759150503</v>
      </c>
      <c r="N110" s="5">
        <f t="shared" si="71"/>
        <v>94.384379102383505</v>
      </c>
      <c r="O110" s="1">
        <f t="shared" si="72"/>
        <v>0</v>
      </c>
      <c r="P110" s="1">
        <f t="shared" si="73"/>
        <v>1371.09</v>
      </c>
      <c r="Q110" s="5">
        <f t="shared" si="74"/>
        <v>2.7397260273972886E-2</v>
      </c>
      <c r="R110" s="5">
        <f t="shared" si="75"/>
        <v>-0.96362588759150503</v>
      </c>
      <c r="S110" s="5">
        <f t="shared" si="58"/>
        <v>94.384379102383505</v>
      </c>
      <c r="T110" s="5">
        <f t="shared" si="59"/>
        <v>-762.9258230229284</v>
      </c>
      <c r="U110" s="4">
        <f t="shared" si="60"/>
        <v>1083640.3303231476</v>
      </c>
      <c r="V110" s="4">
        <f t="shared" si="76"/>
        <v>17.486689166036545</v>
      </c>
      <c r="W110" s="4">
        <f t="shared" si="61"/>
        <v>1011632.0502159536</v>
      </c>
      <c r="X110" s="4">
        <f t="shared" si="65"/>
        <v>-23318.864175240393</v>
      </c>
      <c r="Y110" s="9">
        <f>SUM($X$6:X110)</f>
        <v>11632.050215953612</v>
      </c>
      <c r="Z110" s="16">
        <f t="shared" si="66"/>
        <v>1.1632050215953612E-2</v>
      </c>
      <c r="AA110" s="16">
        <f t="shared" si="62"/>
        <v>7.6738759337855562E-4</v>
      </c>
      <c r="AB110" s="16">
        <f t="shared" si="63"/>
        <v>-2.253137211725411E-2</v>
      </c>
      <c r="AC110" s="16">
        <f t="shared" si="64"/>
        <v>-2.4642647272061211E-2</v>
      </c>
    </row>
    <row r="111" spans="1:29" x14ac:dyDescent="0.15">
      <c r="A111" s="8">
        <v>41064</v>
      </c>
      <c r="B111" s="4">
        <v>1278.18</v>
      </c>
      <c r="C111" s="1">
        <v>23.416699999999999</v>
      </c>
      <c r="D111" s="1">
        <v>2.34</v>
      </c>
      <c r="E111" s="1">
        <v>0.47820000000000001</v>
      </c>
      <c r="F111" s="4">
        <f t="shared" si="54"/>
        <v>0.23416699999999999</v>
      </c>
      <c r="G111" s="4">
        <f t="shared" si="55"/>
        <v>2.3399999999999997E-2</v>
      </c>
      <c r="H111" s="4">
        <f t="shared" si="56"/>
        <v>4.7819999999999998E-3</v>
      </c>
      <c r="I111" s="3">
        <f t="shared" si="57"/>
        <v>62.381454023437534</v>
      </c>
      <c r="J111" s="4">
        <f t="shared" si="67"/>
        <v>1083640.3303231476</v>
      </c>
      <c r="K111" s="1">
        <f t="shared" si="68"/>
        <v>1371.09</v>
      </c>
      <c r="L111" s="5">
        <f t="shared" si="69"/>
        <v>1.9178082191781104E-2</v>
      </c>
      <c r="M111" s="5">
        <f t="shared" si="70"/>
        <v>-0.98411731291950921</v>
      </c>
      <c r="N111" s="5">
        <f t="shared" si="71"/>
        <v>93.582983189248893</v>
      </c>
      <c r="O111" s="1">
        <f t="shared" si="72"/>
        <v>0</v>
      </c>
      <c r="P111" s="1">
        <f t="shared" si="73"/>
        <v>1371.09</v>
      </c>
      <c r="Q111" s="5">
        <f t="shared" si="74"/>
        <v>1.9178082191781104E-2</v>
      </c>
      <c r="R111" s="5">
        <f t="shared" si="75"/>
        <v>-0.98411731291950921</v>
      </c>
      <c r="S111" s="5">
        <f t="shared" si="58"/>
        <v>93.582983189248893</v>
      </c>
      <c r="T111" s="5">
        <f t="shared" si="59"/>
        <v>-762.9258230229284</v>
      </c>
      <c r="U111" s="4">
        <f t="shared" si="60"/>
        <v>1083657.8170123135</v>
      </c>
      <c r="V111" s="4">
        <f t="shared" si="76"/>
        <v>52.460914045500211</v>
      </c>
      <c r="W111" s="4">
        <f t="shared" si="61"/>
        <v>1012260.942541715</v>
      </c>
      <c r="X111" s="4">
        <f t="shared" si="65"/>
        <v>628.89232576137874</v>
      </c>
      <c r="Y111" s="9">
        <f>SUM($X$6:X111)</f>
        <v>12260.942541714991</v>
      </c>
      <c r="Z111" s="16">
        <f t="shared" si="66"/>
        <v>1.2260942541714991E-2</v>
      </c>
      <c r="AA111" s="16">
        <f t="shared" si="62"/>
        <v>8.7701439243271129E-4</v>
      </c>
      <c r="AB111" s="16">
        <f t="shared" si="63"/>
        <v>6.2166113225369717E-4</v>
      </c>
      <c r="AC111" s="16">
        <f t="shared" si="64"/>
        <v>1.095427373165942E-4</v>
      </c>
    </row>
    <row r="112" spans="1:29" x14ac:dyDescent="0.15">
      <c r="A112" s="8">
        <v>41065</v>
      </c>
      <c r="B112" s="4">
        <v>1285.5</v>
      </c>
      <c r="C112" s="1">
        <v>22.4832</v>
      </c>
      <c r="D112" s="1">
        <v>2.33</v>
      </c>
      <c r="E112" s="1">
        <v>0.47820000000000001</v>
      </c>
      <c r="F112" s="4">
        <f t="shared" si="54"/>
        <v>0.224832</v>
      </c>
      <c r="G112" s="4">
        <f t="shared" si="55"/>
        <v>2.3300000000000001E-2</v>
      </c>
      <c r="H112" s="4">
        <f t="shared" si="56"/>
        <v>4.7819999999999998E-3</v>
      </c>
      <c r="I112" s="3">
        <f t="shared" si="57"/>
        <v>60.346803918986581</v>
      </c>
      <c r="J112" s="4">
        <f t="shared" si="67"/>
        <v>1083657.8170123135</v>
      </c>
      <c r="K112" s="1">
        <f t="shared" si="68"/>
        <v>1371.09</v>
      </c>
      <c r="L112" s="5">
        <f t="shared" si="69"/>
        <v>1.6438356164383845E-2</v>
      </c>
      <c r="M112" s="5">
        <f t="shared" si="70"/>
        <v>-0.98682268567303333</v>
      </c>
      <c r="N112" s="5">
        <f t="shared" si="71"/>
        <v>86.13806912746027</v>
      </c>
      <c r="O112" s="1">
        <f t="shared" si="72"/>
        <v>0</v>
      </c>
      <c r="P112" s="1">
        <f t="shared" si="73"/>
        <v>1371.09</v>
      </c>
      <c r="Q112" s="5">
        <f t="shared" si="74"/>
        <v>1.6438356164383845E-2</v>
      </c>
      <c r="R112" s="5">
        <f t="shared" si="75"/>
        <v>-0.98682268567303333</v>
      </c>
      <c r="S112" s="5">
        <f t="shared" si="58"/>
        <v>86.13806912746027</v>
      </c>
      <c r="T112" s="5">
        <f t="shared" si="59"/>
        <v>-762.9258230229284</v>
      </c>
      <c r="U112" s="4">
        <f t="shared" si="60"/>
        <v>1083710.2779263591</v>
      </c>
      <c r="V112" s="4">
        <f t="shared" si="76"/>
        <v>17.487817909551381</v>
      </c>
      <c r="W112" s="4">
        <f t="shared" si="61"/>
        <v>1017993.3206436855</v>
      </c>
      <c r="X112" s="4">
        <f t="shared" si="65"/>
        <v>5732.3781019705348</v>
      </c>
      <c r="Y112" s="9">
        <f>SUM($X$6:X112)</f>
        <v>17993.320643685525</v>
      </c>
      <c r="Z112" s="16">
        <f t="shared" si="66"/>
        <v>1.7993320643685525E-2</v>
      </c>
      <c r="AA112" s="16">
        <f t="shared" si="62"/>
        <v>6.6089298858315621E-3</v>
      </c>
      <c r="AB112" s="16">
        <f t="shared" si="63"/>
        <v>5.6629450579975382E-3</v>
      </c>
      <c r="AC112" s="16">
        <f t="shared" si="64"/>
        <v>5.7268929258789342E-3</v>
      </c>
    </row>
    <row r="113" spans="1:29" x14ac:dyDescent="0.15">
      <c r="A113" s="8">
        <v>41066</v>
      </c>
      <c r="B113" s="4">
        <v>1315.13</v>
      </c>
      <c r="C113" s="1">
        <v>21.057300000000001</v>
      </c>
      <c r="D113" s="1">
        <v>2.2800000000000002</v>
      </c>
      <c r="E113" s="1">
        <v>0.47799999999999998</v>
      </c>
      <c r="F113" s="4">
        <f t="shared" si="54"/>
        <v>0.21057300000000001</v>
      </c>
      <c r="G113" s="4">
        <f t="shared" si="55"/>
        <v>2.2800000000000001E-2</v>
      </c>
      <c r="H113" s="4">
        <f t="shared" si="56"/>
        <v>4.7799999999999995E-3</v>
      </c>
      <c r="I113" s="3">
        <f t="shared" si="57"/>
        <v>57.943676004803997</v>
      </c>
      <c r="J113" s="4">
        <f t="shared" si="67"/>
        <v>1083710.2779263591</v>
      </c>
      <c r="K113" s="1">
        <f t="shared" si="68"/>
        <v>1371.09</v>
      </c>
      <c r="L113" s="5">
        <f t="shared" si="69"/>
        <v>1.3698630136986585E-2</v>
      </c>
      <c r="M113" s="5">
        <f t="shared" si="70"/>
        <v>-0.95404197646201339</v>
      </c>
      <c r="N113" s="5">
        <f t="shared" si="71"/>
        <v>56.884817745869015</v>
      </c>
      <c r="O113" s="1">
        <f t="shared" si="72"/>
        <v>0</v>
      </c>
      <c r="P113" s="1">
        <f t="shared" si="73"/>
        <v>1371.09</v>
      </c>
      <c r="Q113" s="5">
        <f t="shared" si="74"/>
        <v>1.3698630136986585E-2</v>
      </c>
      <c r="R113" s="5">
        <f t="shared" si="75"/>
        <v>-0.95404197646201339</v>
      </c>
      <c r="S113" s="5">
        <f t="shared" si="58"/>
        <v>56.884817745869015</v>
      </c>
      <c r="T113" s="5">
        <f t="shared" si="59"/>
        <v>-762.9258230229284</v>
      </c>
      <c r="U113" s="4">
        <f t="shared" si="60"/>
        <v>1083727.7657442687</v>
      </c>
      <c r="V113" s="4">
        <f t="shared" si="76"/>
        <v>17.488100110229428</v>
      </c>
      <c r="W113" s="4">
        <f t="shared" si="61"/>
        <v>1040328.8693479922</v>
      </c>
      <c r="X113" s="4">
        <f t="shared" si="65"/>
        <v>22335.548704306711</v>
      </c>
      <c r="Y113" s="9">
        <f>SUM($X$6:X113)</f>
        <v>40328.869347992237</v>
      </c>
      <c r="Z113" s="16">
        <f t="shared" si="66"/>
        <v>4.0328869347992236E-2</v>
      </c>
      <c r="AA113" s="16">
        <f t="shared" si="62"/>
        <v>2.9810658857062446E-2</v>
      </c>
      <c r="AB113" s="16">
        <f t="shared" si="63"/>
        <v>2.1940761546631524E-2</v>
      </c>
      <c r="AC113" s="16">
        <f t="shared" si="64"/>
        <v>2.3049397121742598E-2</v>
      </c>
    </row>
    <row r="114" spans="1:29" x14ac:dyDescent="0.15">
      <c r="A114" s="8">
        <v>41067</v>
      </c>
      <c r="B114" s="4">
        <v>1314.99</v>
      </c>
      <c r="C114" s="1">
        <v>19.743600000000001</v>
      </c>
      <c r="D114" s="1">
        <v>2.2800000000000002</v>
      </c>
      <c r="E114" s="1">
        <v>0.47820000000000001</v>
      </c>
      <c r="F114" s="4">
        <f t="shared" si="54"/>
        <v>0.197436</v>
      </c>
      <c r="G114" s="4">
        <f t="shared" si="55"/>
        <v>2.2800000000000001E-2</v>
      </c>
      <c r="H114" s="4">
        <f t="shared" si="56"/>
        <v>4.7819999999999998E-3</v>
      </c>
      <c r="I114" s="3">
        <f t="shared" si="57"/>
        <v>54.515600447396409</v>
      </c>
      <c r="J114" s="4">
        <f t="shared" si="67"/>
        <v>1083727.7657442687</v>
      </c>
      <c r="K114" s="1">
        <f t="shared" si="68"/>
        <v>1371.09</v>
      </c>
      <c r="L114" s="5">
        <f t="shared" si="69"/>
        <v>1.0958904109589326E-2</v>
      </c>
      <c r="M114" s="5">
        <f t="shared" si="70"/>
        <v>-0.97808993286396984</v>
      </c>
      <c r="N114" s="5">
        <f t="shared" si="71"/>
        <v>56.573501339360128</v>
      </c>
      <c r="O114" s="1">
        <f t="shared" si="72"/>
        <v>0</v>
      </c>
      <c r="P114" s="1">
        <f t="shared" si="73"/>
        <v>1371.09</v>
      </c>
      <c r="Q114" s="5">
        <f t="shared" si="74"/>
        <v>1.0958904109589326E-2</v>
      </c>
      <c r="R114" s="5">
        <f t="shared" si="75"/>
        <v>-0.97808993286396984</v>
      </c>
      <c r="S114" s="5">
        <f t="shared" si="58"/>
        <v>56.573501339360128</v>
      </c>
      <c r="T114" s="5">
        <f t="shared" si="59"/>
        <v>-762.9258230229284</v>
      </c>
      <c r="U114" s="4">
        <f t="shared" si="60"/>
        <v>1083745.253844379</v>
      </c>
      <c r="V114" s="4">
        <f t="shared" si="76"/>
        <v>17.488382315461347</v>
      </c>
      <c r="W114" s="4">
        <f t="shared" si="61"/>
        <v>1040583.8687737589</v>
      </c>
      <c r="X114" s="4">
        <f t="shared" si="65"/>
        <v>254.99942576664034</v>
      </c>
      <c r="Y114" s="9">
        <f>SUM($X$6:X114)</f>
        <v>40583.868773758877</v>
      </c>
      <c r="Z114" s="16">
        <f t="shared" si="66"/>
        <v>4.0583868773758879E-2</v>
      </c>
      <c r="AA114" s="16">
        <f t="shared" si="62"/>
        <v>2.9701032058008288E-2</v>
      </c>
      <c r="AB114" s="16">
        <f t="shared" si="63"/>
        <v>2.4511424538901504E-4</v>
      </c>
      <c r="AC114" s="16">
        <f t="shared" si="64"/>
        <v>-1.0645335442131199E-4</v>
      </c>
    </row>
    <row r="115" spans="1:29" x14ac:dyDescent="0.15">
      <c r="A115" s="8">
        <v>41068</v>
      </c>
      <c r="B115" s="4">
        <v>1325.66</v>
      </c>
      <c r="C115" s="1">
        <v>19.755400000000002</v>
      </c>
      <c r="D115" s="1">
        <v>2.2599999999999998</v>
      </c>
      <c r="E115" s="1">
        <v>0.47820000000000001</v>
      </c>
      <c r="F115" s="4">
        <f t="shared" si="54"/>
        <v>0.19755400000000001</v>
      </c>
      <c r="G115" s="4">
        <f t="shared" si="55"/>
        <v>2.2599999999999999E-2</v>
      </c>
      <c r="H115" s="4">
        <f t="shared" si="56"/>
        <v>4.7819999999999998E-3</v>
      </c>
      <c r="I115" s="3">
        <f t="shared" si="57"/>
        <v>54.956171937979768</v>
      </c>
      <c r="J115" s="4">
        <f t="shared" si="67"/>
        <v>1083745.253844379</v>
      </c>
      <c r="K115" s="1">
        <f t="shared" si="68"/>
        <v>1371.09</v>
      </c>
      <c r="L115" s="5">
        <f t="shared" si="69"/>
        <v>8.2191780821920662E-3</v>
      </c>
      <c r="M115" s="5">
        <f t="shared" si="70"/>
        <v>-0.96980577789838063</v>
      </c>
      <c r="N115" s="5">
        <f t="shared" si="71"/>
        <v>45.896554670193339</v>
      </c>
      <c r="O115" s="1">
        <f t="shared" si="72"/>
        <v>0</v>
      </c>
      <c r="P115" s="1">
        <f t="shared" si="73"/>
        <v>1371.09</v>
      </c>
      <c r="Q115" s="5">
        <f t="shared" si="74"/>
        <v>8.2191780821920662E-3</v>
      </c>
      <c r="R115" s="5">
        <f t="shared" si="75"/>
        <v>-0.96980577789838063</v>
      </c>
      <c r="S115" s="5">
        <f t="shared" si="58"/>
        <v>45.896554670193339</v>
      </c>
      <c r="T115" s="5">
        <f t="shared" si="59"/>
        <v>-762.9258230229284</v>
      </c>
      <c r="U115" s="4">
        <f t="shared" si="60"/>
        <v>1083762.7422266945</v>
      </c>
      <c r="V115" s="4">
        <f t="shared" si="76"/>
        <v>17.488664525247206</v>
      </c>
      <c r="W115" s="4">
        <f t="shared" si="61"/>
        <v>1048747.0754810204</v>
      </c>
      <c r="X115" s="4">
        <f t="shared" si="65"/>
        <v>8163.2067072615027</v>
      </c>
      <c r="Y115" s="9">
        <f>SUM($X$6:X115)</f>
        <v>48747.07548102038</v>
      </c>
      <c r="Z115" s="16">
        <f t="shared" si="66"/>
        <v>4.8747075481020377E-2</v>
      </c>
      <c r="AA115" s="16">
        <f t="shared" si="62"/>
        <v>3.8056160243058385E-2</v>
      </c>
      <c r="AB115" s="16">
        <f t="shared" si="63"/>
        <v>7.8448330329021522E-3</v>
      </c>
      <c r="AC115" s="16">
        <f t="shared" si="64"/>
        <v>8.1141301454764475E-3</v>
      </c>
    </row>
    <row r="116" spans="1:29" x14ac:dyDescent="0.15">
      <c r="A116" s="8">
        <v>41071</v>
      </c>
      <c r="B116" s="4">
        <v>1308.93</v>
      </c>
      <c r="C116" s="1">
        <v>20.788</v>
      </c>
      <c r="D116" s="1">
        <v>2.29</v>
      </c>
      <c r="E116" s="1">
        <v>0.47820000000000001</v>
      </c>
      <c r="F116" s="4">
        <f t="shared" si="54"/>
        <v>0.20788000000000001</v>
      </c>
      <c r="G116" s="4">
        <f t="shared" si="55"/>
        <v>2.29E-2</v>
      </c>
      <c r="H116" s="4">
        <f t="shared" si="56"/>
        <v>4.7819999999999998E-3</v>
      </c>
      <c r="I116" s="3">
        <f t="shared" si="57"/>
        <v>56.988120067432355</v>
      </c>
      <c r="J116" s="4">
        <f t="shared" si="67"/>
        <v>1083762.7422266945</v>
      </c>
      <c r="K116" s="1">
        <f t="shared" si="68"/>
        <v>1371.09</v>
      </c>
      <c r="L116" s="5">
        <f t="shared" si="69"/>
        <v>2.8622937353617317E-16</v>
      </c>
      <c r="M116" s="5">
        <f t="shared" si="70"/>
        <v>-1</v>
      </c>
      <c r="N116" s="5">
        <f t="shared" si="71"/>
        <v>62.159999999999854</v>
      </c>
      <c r="O116" s="1">
        <f t="shared" si="72"/>
        <v>1</v>
      </c>
      <c r="P116" s="1">
        <f t="shared" si="73"/>
        <v>1308.93</v>
      </c>
      <c r="Q116" s="5">
        <f t="shared" si="74"/>
        <v>0.24931506849315069</v>
      </c>
      <c r="R116" s="5">
        <f t="shared" si="75"/>
        <v>-0.4938292246617571</v>
      </c>
      <c r="S116" s="5">
        <f t="shared" si="58"/>
        <v>56.988120067432355</v>
      </c>
      <c r="T116" s="5">
        <f t="shared" si="59"/>
        <v>-791.74537451780407</v>
      </c>
      <c r="U116" s="4">
        <f t="shared" si="60"/>
        <v>1081476.8421979696</v>
      </c>
      <c r="V116" s="4">
        <f t="shared" si="76"/>
        <v>52.355330963392113</v>
      </c>
      <c r="W116" s="4">
        <f t="shared" si="61"/>
        <v>1036356.7617321147</v>
      </c>
      <c r="X116" s="4">
        <f t="shared" si="65"/>
        <v>-12390.313748905668</v>
      </c>
      <c r="Y116" s="9">
        <f>SUM($X$6:X116)</f>
        <v>36356.761732114712</v>
      </c>
      <c r="Z116" s="16">
        <f t="shared" si="66"/>
        <v>3.635676173211471E-2</v>
      </c>
      <c r="AA116" s="16">
        <f t="shared" si="62"/>
        <v>2.4955757756096125E-2</v>
      </c>
      <c r="AB116" s="16">
        <f t="shared" si="63"/>
        <v>-1.1814396472307398E-2</v>
      </c>
      <c r="AC116" s="16">
        <f t="shared" si="64"/>
        <v>-1.2620128841482746E-2</v>
      </c>
    </row>
    <row r="117" spans="1:29" x14ac:dyDescent="0.15">
      <c r="A117" s="8">
        <v>41072</v>
      </c>
      <c r="B117" s="4">
        <v>1324.18</v>
      </c>
      <c r="C117" s="1">
        <v>20.927700000000002</v>
      </c>
      <c r="D117" s="1">
        <v>2.2599999999999998</v>
      </c>
      <c r="E117" s="1">
        <v>0.47820000000000001</v>
      </c>
      <c r="F117" s="4">
        <f t="shared" si="54"/>
        <v>0.20927700000000002</v>
      </c>
      <c r="G117" s="4">
        <f t="shared" si="55"/>
        <v>2.2599999999999999E-2</v>
      </c>
      <c r="H117" s="4">
        <f t="shared" si="56"/>
        <v>4.7819999999999998E-3</v>
      </c>
      <c r="I117" s="3">
        <f t="shared" si="57"/>
        <v>57.969581534048636</v>
      </c>
      <c r="J117" s="4">
        <f t="shared" si="67"/>
        <v>1081476.8421979696</v>
      </c>
      <c r="K117" s="1">
        <f t="shared" si="68"/>
        <v>1308.93</v>
      </c>
      <c r="L117" s="5">
        <f t="shared" si="69"/>
        <v>0.24657534246575344</v>
      </c>
      <c r="M117" s="5">
        <f t="shared" si="70"/>
        <v>-0.44927663611238522</v>
      </c>
      <c r="N117" s="5">
        <f t="shared" si="71"/>
        <v>49.785545873738329</v>
      </c>
      <c r="O117" s="1">
        <f t="shared" si="72"/>
        <v>0</v>
      </c>
      <c r="P117" s="1">
        <f t="shared" si="73"/>
        <v>1308.93</v>
      </c>
      <c r="Q117" s="5">
        <f t="shared" si="74"/>
        <v>0.24657534246575344</v>
      </c>
      <c r="R117" s="5">
        <f t="shared" si="75"/>
        <v>-0.44927663611238522</v>
      </c>
      <c r="S117" s="5">
        <f t="shared" si="58"/>
        <v>49.785545873738329</v>
      </c>
      <c r="T117" s="5">
        <f t="shared" si="59"/>
        <v>-791.74537451780407</v>
      </c>
      <c r="U117" s="4">
        <f t="shared" si="60"/>
        <v>1081529.1975289329</v>
      </c>
      <c r="V117" s="4">
        <f t="shared" si="76"/>
        <v>17.45262184505593</v>
      </c>
      <c r="W117" s="4">
        <f t="shared" si="61"/>
        <v>1042111.7218655567</v>
      </c>
      <c r="X117" s="4">
        <f t="shared" si="65"/>
        <v>5754.9601334419567</v>
      </c>
      <c r="Y117" s="9">
        <f>SUM($X$6:X117)</f>
        <v>42111.721865556668</v>
      </c>
      <c r="Z117" s="16">
        <f t="shared" si="66"/>
        <v>4.2111721865556666E-2</v>
      </c>
      <c r="AA117" s="16">
        <f t="shared" si="62"/>
        <v>3.6897248367343836E-2</v>
      </c>
      <c r="AB117" s="16">
        <f t="shared" si="63"/>
        <v>5.55306854352299E-3</v>
      </c>
      <c r="AC117" s="16">
        <f t="shared" si="64"/>
        <v>1.1650737625388676E-2</v>
      </c>
    </row>
    <row r="118" spans="1:29" x14ac:dyDescent="0.15">
      <c r="A118" s="8">
        <v>41073</v>
      </c>
      <c r="B118" s="4">
        <v>1314.88</v>
      </c>
      <c r="C118" s="1">
        <v>22.242599999999999</v>
      </c>
      <c r="D118" s="1">
        <v>2.2800000000000002</v>
      </c>
      <c r="E118" s="1">
        <v>0.47799999999999998</v>
      </c>
      <c r="F118" s="4">
        <f t="shared" si="54"/>
        <v>0.22242599999999998</v>
      </c>
      <c r="G118" s="4">
        <f t="shared" si="55"/>
        <v>2.2800000000000001E-2</v>
      </c>
      <c r="H118" s="4">
        <f t="shared" si="56"/>
        <v>4.7799999999999995E-3</v>
      </c>
      <c r="I118" s="3">
        <f t="shared" si="57"/>
        <v>61.019370391939255</v>
      </c>
      <c r="J118" s="4">
        <f t="shared" si="67"/>
        <v>1081529.1975289329</v>
      </c>
      <c r="K118" s="1">
        <f t="shared" si="68"/>
        <v>1308.93</v>
      </c>
      <c r="L118" s="5">
        <f t="shared" si="69"/>
        <v>0.24383561643835619</v>
      </c>
      <c r="M118" s="5">
        <f t="shared" si="70"/>
        <v>-0.47494156490851958</v>
      </c>
      <c r="N118" s="5">
        <f t="shared" si="71"/>
        <v>57.169606345789816</v>
      </c>
      <c r="O118" s="1">
        <f t="shared" si="72"/>
        <v>0</v>
      </c>
      <c r="P118" s="1">
        <f t="shared" si="73"/>
        <v>1308.93</v>
      </c>
      <c r="Q118" s="5">
        <f t="shared" si="74"/>
        <v>0.24383561643835619</v>
      </c>
      <c r="R118" s="5">
        <f t="shared" si="75"/>
        <v>-0.47494156490851958</v>
      </c>
      <c r="S118" s="5">
        <f t="shared" si="58"/>
        <v>57.169606345789816</v>
      </c>
      <c r="T118" s="5">
        <f t="shared" si="59"/>
        <v>-791.74537451780407</v>
      </c>
      <c r="U118" s="4">
        <f t="shared" si="60"/>
        <v>1081546.650150778</v>
      </c>
      <c r="V118" s="4">
        <f t="shared" si="76"/>
        <v>17.452903477775568</v>
      </c>
      <c r="W118" s="4">
        <f t="shared" si="61"/>
        <v>1036282.8787634952</v>
      </c>
      <c r="X118" s="4">
        <f t="shared" si="65"/>
        <v>-5828.8431020614225</v>
      </c>
      <c r="Y118" s="9">
        <f>SUM($X$6:X118)</f>
        <v>36282.878763495246</v>
      </c>
      <c r="Z118" s="16">
        <f t="shared" si="66"/>
        <v>3.6282878763495244E-2</v>
      </c>
      <c r="AA118" s="16">
        <f t="shared" si="62"/>
        <v>2.961489671589445E-2</v>
      </c>
      <c r="AB118" s="16">
        <f t="shared" si="63"/>
        <v>-5.5932996239854253E-3</v>
      </c>
      <c r="AC118" s="16">
        <f t="shared" si="64"/>
        <v>-7.0232143666268589E-3</v>
      </c>
    </row>
    <row r="119" spans="1:29" x14ac:dyDescent="0.15">
      <c r="A119" s="8">
        <v>41074</v>
      </c>
      <c r="B119" s="4">
        <v>1329.1</v>
      </c>
      <c r="C119" s="1">
        <v>21.183700000000002</v>
      </c>
      <c r="D119" s="1">
        <v>2.2599999999999998</v>
      </c>
      <c r="E119" s="1">
        <v>0.47820000000000001</v>
      </c>
      <c r="F119" s="4">
        <f t="shared" si="54"/>
        <v>0.21183700000000003</v>
      </c>
      <c r="G119" s="4">
        <f t="shared" si="55"/>
        <v>2.2599999999999999E-2</v>
      </c>
      <c r="H119" s="4">
        <f t="shared" si="56"/>
        <v>4.7819999999999998E-3</v>
      </c>
      <c r="I119" s="3">
        <f t="shared" si="57"/>
        <v>58.858893266949636</v>
      </c>
      <c r="J119" s="4">
        <f t="shared" si="67"/>
        <v>1081546.650150778</v>
      </c>
      <c r="K119" s="1">
        <f t="shared" si="68"/>
        <v>1308.93</v>
      </c>
      <c r="L119" s="5">
        <f t="shared" si="69"/>
        <v>0.24109589041095894</v>
      </c>
      <c r="M119" s="5">
        <f t="shared" si="70"/>
        <v>-0.43496047279074962</v>
      </c>
      <c r="N119" s="5">
        <f t="shared" si="71"/>
        <v>47.604356932153443</v>
      </c>
      <c r="O119" s="1">
        <f t="shared" si="72"/>
        <v>0</v>
      </c>
      <c r="P119" s="1">
        <f t="shared" si="73"/>
        <v>1308.93</v>
      </c>
      <c r="Q119" s="5">
        <f t="shared" si="74"/>
        <v>0.24109589041095894</v>
      </c>
      <c r="R119" s="5">
        <f t="shared" si="75"/>
        <v>-0.43496047279074962</v>
      </c>
      <c r="S119" s="5">
        <f t="shared" si="58"/>
        <v>47.604356932153443</v>
      </c>
      <c r="T119" s="5">
        <f t="shared" si="59"/>
        <v>-791.74537451780407</v>
      </c>
      <c r="U119" s="4">
        <f t="shared" si="60"/>
        <v>1081564.1030542557</v>
      </c>
      <c r="V119" s="4">
        <f t="shared" si="76"/>
        <v>17.453185115039904</v>
      </c>
      <c r="W119" s="4">
        <f t="shared" si="61"/>
        <v>1043873.5736463286</v>
      </c>
      <c r="X119" s="4">
        <f t="shared" si="65"/>
        <v>7590.6948828333989</v>
      </c>
      <c r="Y119" s="9">
        <f>SUM($X$6:X119)</f>
        <v>43873.573646328645</v>
      </c>
      <c r="Z119" s="16">
        <f t="shared" si="66"/>
        <v>4.3873573646328642E-2</v>
      </c>
      <c r="AA119" s="16">
        <f t="shared" si="62"/>
        <v>4.0749847305529864E-2</v>
      </c>
      <c r="AB119" s="16">
        <f t="shared" si="63"/>
        <v>7.3249254990014924E-3</v>
      </c>
      <c r="AC119" s="16">
        <f t="shared" si="64"/>
        <v>1.0814675103431339E-2</v>
      </c>
    </row>
    <row r="120" spans="1:29" x14ac:dyDescent="0.15">
      <c r="A120" s="8">
        <v>41075</v>
      </c>
      <c r="B120" s="4">
        <v>1342.84</v>
      </c>
      <c r="C120" s="1">
        <v>19.377199999999998</v>
      </c>
      <c r="D120" s="1">
        <v>2.23</v>
      </c>
      <c r="E120" s="1">
        <v>0.47820000000000001</v>
      </c>
      <c r="F120" s="4">
        <f t="shared" si="54"/>
        <v>0.19377199999999997</v>
      </c>
      <c r="G120" s="4">
        <f t="shared" si="55"/>
        <v>2.23E-2</v>
      </c>
      <c r="H120" s="4">
        <f t="shared" si="56"/>
        <v>4.7819999999999998E-3</v>
      </c>
      <c r="I120" s="3">
        <f t="shared" si="57"/>
        <v>54.612596655185939</v>
      </c>
      <c r="J120" s="4">
        <f t="shared" si="67"/>
        <v>1081564.1030542557</v>
      </c>
      <c r="K120" s="1">
        <f t="shared" si="68"/>
        <v>1308.93</v>
      </c>
      <c r="L120" s="5">
        <f t="shared" si="69"/>
        <v>0.23835616438356169</v>
      </c>
      <c r="M120" s="5">
        <f t="shared" si="70"/>
        <v>-0.39014618034898313</v>
      </c>
      <c r="N120" s="5">
        <f t="shared" si="71"/>
        <v>36.987461405843945</v>
      </c>
      <c r="O120" s="1">
        <f t="shared" si="72"/>
        <v>0</v>
      </c>
      <c r="P120" s="1">
        <f t="shared" si="73"/>
        <v>1308.93</v>
      </c>
      <c r="Q120" s="5">
        <f t="shared" si="74"/>
        <v>0.23835616438356169</v>
      </c>
      <c r="R120" s="5">
        <f t="shared" si="75"/>
        <v>-0.39014618034898313</v>
      </c>
      <c r="S120" s="5">
        <f t="shared" si="58"/>
        <v>36.987461405843945</v>
      </c>
      <c r="T120" s="5">
        <f t="shared" si="59"/>
        <v>-791.74537451780407</v>
      </c>
      <c r="U120" s="4">
        <f t="shared" si="60"/>
        <v>1081581.5562393707</v>
      </c>
      <c r="V120" s="4">
        <f t="shared" si="76"/>
        <v>17.453466756849021</v>
      </c>
      <c r="W120" s="4">
        <f t="shared" si="61"/>
        <v>1052296.9047561381</v>
      </c>
      <c r="X120" s="4">
        <f t="shared" si="65"/>
        <v>8423.3311098094564</v>
      </c>
      <c r="Y120" s="9">
        <f>SUM($X$6:X120)</f>
        <v>52296.904756138101</v>
      </c>
      <c r="Z120" s="16">
        <f t="shared" si="66"/>
        <v>5.2296904756138102E-2</v>
      </c>
      <c r="AA120" s="16">
        <f t="shared" si="62"/>
        <v>5.1508934584122888E-2</v>
      </c>
      <c r="AB120" s="16">
        <f t="shared" si="63"/>
        <v>8.0693019944801641E-3</v>
      </c>
      <c r="AC120" s="16">
        <f t="shared" si="64"/>
        <v>1.0337822586712821E-2</v>
      </c>
    </row>
    <row r="121" spans="1:29" x14ac:dyDescent="0.15">
      <c r="A121" s="8">
        <v>41078</v>
      </c>
      <c r="B121" s="4">
        <v>1344.78</v>
      </c>
      <c r="C121" s="1">
        <v>18.1754</v>
      </c>
      <c r="D121" s="1">
        <v>2.23</v>
      </c>
      <c r="E121" s="1">
        <v>0.47820000000000001</v>
      </c>
      <c r="F121" s="4">
        <f t="shared" si="54"/>
        <v>0.181754</v>
      </c>
      <c r="G121" s="4">
        <f t="shared" si="55"/>
        <v>2.23E-2</v>
      </c>
      <c r="H121" s="4">
        <f t="shared" si="56"/>
        <v>4.7819999999999998E-3</v>
      </c>
      <c r="I121" s="3">
        <f t="shared" si="57"/>
        <v>51.490002497165499</v>
      </c>
      <c r="J121" s="4">
        <f t="shared" si="67"/>
        <v>1081581.5562393707</v>
      </c>
      <c r="K121" s="1">
        <f t="shared" si="68"/>
        <v>1308.93</v>
      </c>
      <c r="L121" s="5">
        <f t="shared" si="69"/>
        <v>0.23013698630136992</v>
      </c>
      <c r="M121" s="5">
        <f t="shared" si="70"/>
        <v>-0.37738334056659079</v>
      </c>
      <c r="N121" s="5">
        <f t="shared" si="71"/>
        <v>32.380244740147305</v>
      </c>
      <c r="O121" s="1">
        <f t="shared" si="72"/>
        <v>0</v>
      </c>
      <c r="P121" s="1">
        <f t="shared" si="73"/>
        <v>1308.93</v>
      </c>
      <c r="Q121" s="5">
        <f t="shared" si="74"/>
        <v>0.23013698630136992</v>
      </c>
      <c r="R121" s="5">
        <f t="shared" si="75"/>
        <v>-0.37738334056659079</v>
      </c>
      <c r="S121" s="5">
        <f t="shared" si="58"/>
        <v>32.380244740147305</v>
      </c>
      <c r="T121" s="5">
        <f t="shared" si="59"/>
        <v>-791.74537451780407</v>
      </c>
      <c r="U121" s="4">
        <f t="shared" si="60"/>
        <v>1081599.0097061275</v>
      </c>
      <c r="V121" s="4">
        <f t="shared" si="76"/>
        <v>52.36124520960896</v>
      </c>
      <c r="W121" s="4">
        <f t="shared" si="61"/>
        <v>1055962.1007073615</v>
      </c>
      <c r="X121" s="4">
        <f t="shared" si="65"/>
        <v>3665.1959512233734</v>
      </c>
      <c r="Y121" s="9">
        <f>SUM($X$6:X121)</f>
        <v>55962.100707361475</v>
      </c>
      <c r="Z121" s="16">
        <f t="shared" si="66"/>
        <v>5.5962100707361476E-2</v>
      </c>
      <c r="AA121" s="16">
        <f t="shared" si="62"/>
        <v>5.3028048799586572E-2</v>
      </c>
      <c r="AB121" s="16">
        <f t="shared" si="63"/>
        <v>3.4830435542075027E-3</v>
      </c>
      <c r="AC121" s="16">
        <f t="shared" si="64"/>
        <v>1.4446992940335816E-3</v>
      </c>
    </row>
    <row r="122" spans="1:29" x14ac:dyDescent="0.15">
      <c r="A122" s="8">
        <v>41079</v>
      </c>
      <c r="B122" s="4">
        <v>1357.98</v>
      </c>
      <c r="C122" s="1">
        <v>17.404699999999998</v>
      </c>
      <c r="D122" s="1">
        <v>2.21</v>
      </c>
      <c r="E122" s="1">
        <v>0.47820000000000001</v>
      </c>
      <c r="F122" s="4">
        <f t="shared" si="54"/>
        <v>0.17404699999999998</v>
      </c>
      <c r="G122" s="4">
        <f t="shared" si="55"/>
        <v>2.2099999999999998E-2</v>
      </c>
      <c r="H122" s="4">
        <f t="shared" si="56"/>
        <v>4.7819999999999998E-3</v>
      </c>
      <c r="I122" s="3">
        <f t="shared" si="57"/>
        <v>49.888359908303116</v>
      </c>
      <c r="J122" s="4">
        <f t="shared" si="67"/>
        <v>1081599.0097061275</v>
      </c>
      <c r="K122" s="1">
        <f t="shared" si="68"/>
        <v>1308.93</v>
      </c>
      <c r="L122" s="5">
        <f t="shared" si="69"/>
        <v>0.22739726027397267</v>
      </c>
      <c r="M122" s="5">
        <f t="shared" si="70"/>
        <v>-0.32928743187864562</v>
      </c>
      <c r="N122" s="5">
        <f t="shared" si="71"/>
        <v>25.570347079278946</v>
      </c>
      <c r="O122" s="1">
        <f t="shared" si="72"/>
        <v>0</v>
      </c>
      <c r="P122" s="1">
        <f t="shared" si="73"/>
        <v>1308.93</v>
      </c>
      <c r="Q122" s="5">
        <f t="shared" si="74"/>
        <v>0.22739726027397267</v>
      </c>
      <c r="R122" s="5">
        <f t="shared" si="75"/>
        <v>-0.32928743187864562</v>
      </c>
      <c r="S122" s="5">
        <f t="shared" si="58"/>
        <v>25.570347079278946</v>
      </c>
      <c r="T122" s="5">
        <f t="shared" si="59"/>
        <v>-791.74537451780407</v>
      </c>
      <c r="U122" s="4">
        <f t="shared" si="60"/>
        <v>1081651.370951337</v>
      </c>
      <c r="V122" s="4">
        <f t="shared" si="76"/>
        <v>17.454593355899657</v>
      </c>
      <c r="W122" s="4">
        <f t="shared" si="61"/>
        <v>1061406.1669265032</v>
      </c>
      <c r="X122" s="4">
        <f t="shared" si="65"/>
        <v>5444.0662191417068</v>
      </c>
      <c r="Y122" s="9">
        <f>SUM($X$6:X122)</f>
        <v>61406.166926503181</v>
      </c>
      <c r="Z122" s="16">
        <f t="shared" si="66"/>
        <v>6.1406166926503185E-2</v>
      </c>
      <c r="AA122" s="16">
        <f t="shared" si="62"/>
        <v>6.3364289853256761E-2</v>
      </c>
      <c r="AB122" s="16">
        <f t="shared" si="63"/>
        <v>5.1555507678683436E-3</v>
      </c>
      <c r="AC122" s="16">
        <f t="shared" si="64"/>
        <v>9.8157319412841108E-3</v>
      </c>
    </row>
    <row r="123" spans="1:29" x14ac:dyDescent="0.15">
      <c r="A123" s="8">
        <v>41080</v>
      </c>
      <c r="B123" s="4">
        <v>1355.69</v>
      </c>
      <c r="C123" s="1">
        <v>17.5776</v>
      </c>
      <c r="D123" s="1">
        <v>2.21</v>
      </c>
      <c r="E123" s="1">
        <v>0.4778</v>
      </c>
      <c r="F123" s="4">
        <f t="shared" si="54"/>
        <v>0.17577600000000002</v>
      </c>
      <c r="G123" s="4">
        <f t="shared" si="55"/>
        <v>2.2099999999999998E-2</v>
      </c>
      <c r="H123" s="4">
        <f t="shared" si="56"/>
        <v>4.7780000000000001E-3</v>
      </c>
      <c r="I123" s="3">
        <f t="shared" si="57"/>
        <v>50.269300726932244</v>
      </c>
      <c r="J123" s="4">
        <f t="shared" si="67"/>
        <v>1081651.370951337</v>
      </c>
      <c r="K123" s="1">
        <f t="shared" si="68"/>
        <v>1308.93</v>
      </c>
      <c r="L123" s="5">
        <f t="shared" si="69"/>
        <v>0.22465753424657542</v>
      </c>
      <c r="M123" s="5">
        <f t="shared" si="70"/>
        <v>-0.3369363015324372</v>
      </c>
      <c r="N123" s="5">
        <f t="shared" si="71"/>
        <v>26.468868814886907</v>
      </c>
      <c r="O123" s="1">
        <f t="shared" si="72"/>
        <v>0</v>
      </c>
      <c r="P123" s="1">
        <f t="shared" si="73"/>
        <v>1308.93</v>
      </c>
      <c r="Q123" s="5">
        <f t="shared" si="74"/>
        <v>0.22465753424657542</v>
      </c>
      <c r="R123" s="5">
        <f t="shared" si="75"/>
        <v>-0.3369363015324372</v>
      </c>
      <c r="S123" s="5">
        <f t="shared" si="58"/>
        <v>26.468868814886907</v>
      </c>
      <c r="T123" s="5">
        <f t="shared" si="59"/>
        <v>-791.74537451780407</v>
      </c>
      <c r="U123" s="4">
        <f t="shared" si="60"/>
        <v>1081668.825544693</v>
      </c>
      <c r="V123" s="4">
        <f t="shared" si="76"/>
        <v>17.454875020433537</v>
      </c>
      <c r="W123" s="4">
        <f t="shared" si="61"/>
        <v>1060712.2210917878</v>
      </c>
      <c r="X123" s="4">
        <f t="shared" si="65"/>
        <v>-693.94583471538499</v>
      </c>
      <c r="Y123" s="9">
        <f>SUM($X$6:X123)</f>
        <v>60712.221091787796</v>
      </c>
      <c r="Z123" s="16">
        <f t="shared" si="66"/>
        <v>6.0712221091787796E-2</v>
      </c>
      <c r="AA123" s="16">
        <f t="shared" si="62"/>
        <v>6.1571108640157954E-2</v>
      </c>
      <c r="AB123" s="16">
        <f t="shared" si="63"/>
        <v>-6.5379857055554219E-4</v>
      </c>
      <c r="AC123" s="16">
        <f t="shared" si="64"/>
        <v>-1.6863282228014873E-3</v>
      </c>
    </row>
    <row r="124" spans="1:29" x14ac:dyDescent="0.15">
      <c r="A124" s="8">
        <v>41081</v>
      </c>
      <c r="B124" s="4">
        <v>1325.51</v>
      </c>
      <c r="C124" s="1">
        <v>19.067</v>
      </c>
      <c r="D124" s="1">
        <v>2.2599999999999998</v>
      </c>
      <c r="E124" s="1">
        <v>0.47799999999999998</v>
      </c>
      <c r="F124" s="4">
        <f t="shared" si="54"/>
        <v>0.19067000000000001</v>
      </c>
      <c r="G124" s="4">
        <f t="shared" si="55"/>
        <v>2.2599999999999999E-2</v>
      </c>
      <c r="H124" s="4">
        <f t="shared" si="56"/>
        <v>4.7799999999999995E-3</v>
      </c>
      <c r="I124" s="3">
        <f t="shared" si="57"/>
        <v>53.142886873126564</v>
      </c>
      <c r="J124" s="4">
        <f t="shared" si="67"/>
        <v>1081668.825544693</v>
      </c>
      <c r="K124" s="1">
        <f t="shared" si="68"/>
        <v>1308.93</v>
      </c>
      <c r="L124" s="5">
        <f t="shared" si="69"/>
        <v>0.22191780821917817</v>
      </c>
      <c r="M124" s="5">
        <f t="shared" si="70"/>
        <v>-0.44170598518107368</v>
      </c>
      <c r="N124" s="5">
        <f t="shared" si="71"/>
        <v>41.589739387517227</v>
      </c>
      <c r="O124" s="1">
        <f t="shared" si="72"/>
        <v>0</v>
      </c>
      <c r="P124" s="1">
        <f t="shared" si="73"/>
        <v>1308.93</v>
      </c>
      <c r="Q124" s="5">
        <f t="shared" si="74"/>
        <v>0.22191780821917817</v>
      </c>
      <c r="R124" s="5">
        <f t="shared" si="75"/>
        <v>-0.44170598518107368</v>
      </c>
      <c r="S124" s="5">
        <f t="shared" si="58"/>
        <v>41.589739387517227</v>
      </c>
      <c r="T124" s="5">
        <f t="shared" si="59"/>
        <v>-791.74537451780407</v>
      </c>
      <c r="U124" s="4">
        <f t="shared" si="60"/>
        <v>1081686.2804197136</v>
      </c>
      <c r="V124" s="4">
        <f t="shared" si="76"/>
        <v>17.455156689512638</v>
      </c>
      <c r="W124" s="4">
        <f t="shared" si="61"/>
        <v>1048757.7966322459</v>
      </c>
      <c r="X124" s="4">
        <f t="shared" si="65"/>
        <v>-11954.424459541915</v>
      </c>
      <c r="Y124" s="9">
        <f>SUM($X$6:X124)</f>
        <v>48757.796632245881</v>
      </c>
      <c r="Z124" s="16">
        <f t="shared" si="66"/>
        <v>4.875779663224588E-2</v>
      </c>
      <c r="AA124" s="16">
        <f t="shared" si="62"/>
        <v>3.7938702958357516E-2</v>
      </c>
      <c r="AB124" s="16">
        <f t="shared" si="63"/>
        <v>-1.1270186410445297E-2</v>
      </c>
      <c r="AC124" s="16">
        <f t="shared" si="64"/>
        <v>-2.2261726500896268E-2</v>
      </c>
    </row>
    <row r="125" spans="1:29" x14ac:dyDescent="0.15">
      <c r="A125" s="8">
        <v>41082</v>
      </c>
      <c r="B125" s="4">
        <v>1335.02</v>
      </c>
      <c r="C125" s="1">
        <v>17.954599999999999</v>
      </c>
      <c r="D125" s="1">
        <v>2.2400000000000002</v>
      </c>
      <c r="E125" s="1">
        <v>0.47189999999999999</v>
      </c>
      <c r="F125" s="4">
        <f t="shared" si="54"/>
        <v>0.17954599999999998</v>
      </c>
      <c r="G125" s="4">
        <f t="shared" si="55"/>
        <v>2.2400000000000003E-2</v>
      </c>
      <c r="H125" s="4">
        <f t="shared" si="56"/>
        <v>4.7190000000000001E-3</v>
      </c>
      <c r="I125" s="3">
        <f t="shared" si="57"/>
        <v>50.560241098128124</v>
      </c>
      <c r="J125" s="4">
        <f t="shared" si="67"/>
        <v>1081686.2804197136</v>
      </c>
      <c r="K125" s="1">
        <f t="shared" si="68"/>
        <v>1308.93</v>
      </c>
      <c r="L125" s="5">
        <f t="shared" si="69"/>
        <v>0.21917808219178092</v>
      </c>
      <c r="M125" s="5">
        <f t="shared" si="70"/>
        <v>-0.40676364751798944</v>
      </c>
      <c r="N125" s="5">
        <f t="shared" si="71"/>
        <v>34.51709531100461</v>
      </c>
      <c r="O125" s="1">
        <f t="shared" si="72"/>
        <v>0</v>
      </c>
      <c r="P125" s="1">
        <f t="shared" si="73"/>
        <v>1308.93</v>
      </c>
      <c r="Q125" s="5">
        <f t="shared" si="74"/>
        <v>0.21917808219178092</v>
      </c>
      <c r="R125" s="5">
        <f t="shared" si="75"/>
        <v>-0.40676364751798944</v>
      </c>
      <c r="S125" s="5">
        <f t="shared" si="58"/>
        <v>34.51709531100461</v>
      </c>
      <c r="T125" s="5">
        <f t="shared" si="59"/>
        <v>-791.74537451780407</v>
      </c>
      <c r="U125" s="4">
        <f t="shared" si="60"/>
        <v>1081703.7355764031</v>
      </c>
      <c r="V125" s="4">
        <f t="shared" si="76"/>
        <v>17.455438363137024</v>
      </c>
      <c r="W125" s="4">
        <f t="shared" si="61"/>
        <v>1054374.9850221251</v>
      </c>
      <c r="X125" s="4">
        <f t="shared" si="65"/>
        <v>5617.1883898791857</v>
      </c>
      <c r="Y125" s="9">
        <f>SUM($X$6:X125)</f>
        <v>54374.985022125067</v>
      </c>
      <c r="Z125" s="16">
        <f t="shared" si="66"/>
        <v>5.4374985022125066E-2</v>
      </c>
      <c r="AA125" s="16">
        <f t="shared" si="62"/>
        <v>4.5385494808388049E-2</v>
      </c>
      <c r="AB125" s="16">
        <f t="shared" si="63"/>
        <v>5.356039695644705E-3</v>
      </c>
      <c r="AC125" s="16">
        <f t="shared" si="64"/>
        <v>7.1745969475899771E-3</v>
      </c>
    </row>
    <row r="126" spans="1:29" x14ac:dyDescent="0.15">
      <c r="A126" s="8">
        <v>41085</v>
      </c>
      <c r="B126" s="4">
        <v>1313.72</v>
      </c>
      <c r="C126" s="1">
        <v>18.9754</v>
      </c>
      <c r="D126" s="1">
        <v>2.2800000000000002</v>
      </c>
      <c r="E126" s="1">
        <v>0.4708</v>
      </c>
      <c r="F126" s="4">
        <f t="shared" si="54"/>
        <v>0.18975400000000001</v>
      </c>
      <c r="G126" s="4">
        <f t="shared" si="55"/>
        <v>2.2800000000000001E-2</v>
      </c>
      <c r="H126" s="4">
        <f t="shared" si="56"/>
        <v>4.7080000000000004E-3</v>
      </c>
      <c r="I126" s="3">
        <f t="shared" si="57"/>
        <v>52.477066164902979</v>
      </c>
      <c r="J126" s="4">
        <f t="shared" si="67"/>
        <v>1081703.7355764031</v>
      </c>
      <c r="K126" s="1">
        <f t="shared" si="68"/>
        <v>1308.93</v>
      </c>
      <c r="L126" s="5">
        <f t="shared" si="69"/>
        <v>0.21095890410958915</v>
      </c>
      <c r="M126" s="5">
        <f t="shared" si="70"/>
        <v>-0.48105075086871651</v>
      </c>
      <c r="N126" s="5">
        <f t="shared" si="71"/>
        <v>45.554922096875949</v>
      </c>
      <c r="O126" s="1">
        <f t="shared" si="72"/>
        <v>0</v>
      </c>
      <c r="P126" s="1">
        <f t="shared" si="73"/>
        <v>1308.93</v>
      </c>
      <c r="Q126" s="5">
        <f t="shared" si="74"/>
        <v>0.21095890410958915</v>
      </c>
      <c r="R126" s="5">
        <f t="shared" si="75"/>
        <v>-0.48105075086871651</v>
      </c>
      <c r="S126" s="5">
        <f t="shared" si="58"/>
        <v>45.554922096875949</v>
      </c>
      <c r="T126" s="5">
        <f t="shared" si="59"/>
        <v>-791.74537451780407</v>
      </c>
      <c r="U126" s="4">
        <f t="shared" si="60"/>
        <v>1081721.1910147662</v>
      </c>
      <c r="V126" s="4">
        <f t="shared" si="76"/>
        <v>52.367160123920321</v>
      </c>
      <c r="W126" s="4">
        <f t="shared" si="61"/>
        <v>1045653.2921580458</v>
      </c>
      <c r="X126" s="4">
        <f t="shared" si="65"/>
        <v>-8721.6928640792612</v>
      </c>
      <c r="Y126" s="9">
        <f>SUM($X$6:X126)</f>
        <v>45653.292158045806</v>
      </c>
      <c r="Z126" s="16">
        <f t="shared" si="66"/>
        <v>4.5653292158045804E-2</v>
      </c>
      <c r="AA126" s="16">
        <f t="shared" si="62"/>
        <v>2.8706560380874886E-2</v>
      </c>
      <c r="AB126" s="16">
        <f t="shared" si="63"/>
        <v>-8.2719079909660837E-3</v>
      </c>
      <c r="AC126" s="16">
        <f t="shared" si="64"/>
        <v>-1.5954817156297249E-2</v>
      </c>
    </row>
    <row r="127" spans="1:29" x14ac:dyDescent="0.15">
      <c r="A127" s="8">
        <v>41086</v>
      </c>
      <c r="B127" s="4">
        <v>1319.99</v>
      </c>
      <c r="C127" s="1">
        <v>18.607600000000001</v>
      </c>
      <c r="D127" s="1">
        <v>2.27</v>
      </c>
      <c r="E127" s="1">
        <v>0.4708</v>
      </c>
      <c r="F127" s="4">
        <f t="shared" si="54"/>
        <v>0.18607600000000002</v>
      </c>
      <c r="G127" s="4">
        <f t="shared" si="55"/>
        <v>2.2700000000000001E-2</v>
      </c>
      <c r="H127" s="4">
        <f t="shared" si="56"/>
        <v>4.7080000000000004E-3</v>
      </c>
      <c r="I127" s="3">
        <f t="shared" si="57"/>
        <v>51.749529565205457</v>
      </c>
      <c r="J127" s="4">
        <f t="shared" si="67"/>
        <v>1081721.1910147662</v>
      </c>
      <c r="K127" s="1">
        <f t="shared" si="68"/>
        <v>1308.93</v>
      </c>
      <c r="L127" s="5">
        <f t="shared" si="69"/>
        <v>0.2082191780821919</v>
      </c>
      <c r="M127" s="5">
        <f t="shared" si="70"/>
        <v>-0.45901790899318456</v>
      </c>
      <c r="N127" s="5">
        <f t="shared" si="71"/>
        <v>41.392875014795202</v>
      </c>
      <c r="O127" s="1">
        <f t="shared" si="72"/>
        <v>0</v>
      </c>
      <c r="P127" s="1">
        <f t="shared" si="73"/>
        <v>1308.93</v>
      </c>
      <c r="Q127" s="5">
        <f t="shared" si="74"/>
        <v>0.2082191780821919</v>
      </c>
      <c r="R127" s="5">
        <f t="shared" si="75"/>
        <v>-0.45901790899318456</v>
      </c>
      <c r="S127" s="5">
        <f t="shared" si="58"/>
        <v>41.392875014795202</v>
      </c>
      <c r="T127" s="5">
        <f t="shared" si="59"/>
        <v>-791.74537451780407</v>
      </c>
      <c r="U127" s="4">
        <f t="shared" si="60"/>
        <v>1081773.5581748902</v>
      </c>
      <c r="V127" s="4">
        <f t="shared" si="76"/>
        <v>17.456565089452337</v>
      </c>
      <c r="W127" s="4">
        <f t="shared" si="61"/>
        <v>1049000.9408439326</v>
      </c>
      <c r="X127" s="4">
        <f t="shared" si="65"/>
        <v>3347.6486858867574</v>
      </c>
      <c r="Y127" s="9">
        <f>SUM($X$6:X127)</f>
        <v>49000.940843932563</v>
      </c>
      <c r="Z127" s="16">
        <f t="shared" si="66"/>
        <v>4.9000940843932562E-2</v>
      </c>
      <c r="AA127" s="16">
        <f t="shared" si="62"/>
        <v>3.3616274881368195E-2</v>
      </c>
      <c r="AB127" s="16">
        <f t="shared" si="63"/>
        <v>3.2014901220057319E-3</v>
      </c>
      <c r="AC127" s="16">
        <f t="shared" si="64"/>
        <v>4.7727065128033231E-3</v>
      </c>
    </row>
    <row r="128" spans="1:29" x14ac:dyDescent="0.15">
      <c r="A128" s="8">
        <v>41087</v>
      </c>
      <c r="B128" s="4">
        <v>1331.85</v>
      </c>
      <c r="C128" s="1">
        <v>18.761500000000002</v>
      </c>
      <c r="D128" s="1">
        <v>2.25</v>
      </c>
      <c r="E128" s="1">
        <v>0.47099999999999997</v>
      </c>
      <c r="F128" s="4">
        <f t="shared" si="54"/>
        <v>0.187615</v>
      </c>
      <c r="G128" s="4">
        <f t="shared" si="55"/>
        <v>2.2499999999999999E-2</v>
      </c>
      <c r="H128" s="4">
        <f t="shared" si="56"/>
        <v>4.7099999999999998E-3</v>
      </c>
      <c r="I128" s="3">
        <f t="shared" si="57"/>
        <v>52.587093569756341</v>
      </c>
      <c r="J128" s="4">
        <f t="shared" si="67"/>
        <v>1081773.5581748902</v>
      </c>
      <c r="K128" s="1">
        <f t="shared" si="68"/>
        <v>1308.93</v>
      </c>
      <c r="L128" s="5">
        <f t="shared" si="69"/>
        <v>0.20547945205479465</v>
      </c>
      <c r="M128" s="5">
        <f t="shared" si="70"/>
        <v>-0.41737797266657523</v>
      </c>
      <c r="N128" s="5">
        <f t="shared" si="71"/>
        <v>36.216109443935004</v>
      </c>
      <c r="O128" s="1">
        <f t="shared" si="72"/>
        <v>0</v>
      </c>
      <c r="P128" s="1">
        <f t="shared" si="73"/>
        <v>1308.93</v>
      </c>
      <c r="Q128" s="5">
        <f t="shared" si="74"/>
        <v>0.20547945205479465</v>
      </c>
      <c r="R128" s="5">
        <f t="shared" si="75"/>
        <v>-0.41737797266657523</v>
      </c>
      <c r="S128" s="5">
        <f t="shared" si="58"/>
        <v>36.216109443935004</v>
      </c>
      <c r="T128" s="5">
        <f t="shared" si="59"/>
        <v>-791.74537451780407</v>
      </c>
      <c r="U128" s="4">
        <f t="shared" si="60"/>
        <v>1081791.0147399798</v>
      </c>
      <c r="V128" s="4">
        <f t="shared" si="76"/>
        <v>17.456846785804053</v>
      </c>
      <c r="W128" s="4">
        <f t="shared" si="61"/>
        <v>1053117.0776047136</v>
      </c>
      <c r="X128" s="4">
        <f t="shared" si="65"/>
        <v>4116.1367607810535</v>
      </c>
      <c r="Y128" s="9">
        <f>SUM($X$6:X128)</f>
        <v>53117.077604713617</v>
      </c>
      <c r="Z128" s="16">
        <f t="shared" si="66"/>
        <v>5.3117077604713618E-2</v>
      </c>
      <c r="AA128" s="16">
        <f t="shared" si="62"/>
        <v>4.2903230858377807E-2</v>
      </c>
      <c r="AB128" s="16">
        <f t="shared" si="63"/>
        <v>3.923863745507775E-3</v>
      </c>
      <c r="AC128" s="16">
        <f t="shared" si="64"/>
        <v>8.9849165523980482E-3</v>
      </c>
    </row>
    <row r="129" spans="1:29" x14ac:dyDescent="0.15">
      <c r="A129" s="8">
        <v>41088</v>
      </c>
      <c r="B129" s="4">
        <v>1329.04</v>
      </c>
      <c r="C129" s="1">
        <v>19.267399999999999</v>
      </c>
      <c r="D129" s="1">
        <v>2.2599999999999998</v>
      </c>
      <c r="E129" s="1">
        <v>0.4708</v>
      </c>
      <c r="F129" s="4">
        <f t="shared" si="54"/>
        <v>0.19267399999999998</v>
      </c>
      <c r="G129" s="4">
        <f t="shared" si="55"/>
        <v>2.2599999999999999E-2</v>
      </c>
      <c r="H129" s="4">
        <f t="shared" si="56"/>
        <v>4.7080000000000004E-3</v>
      </c>
      <c r="I129" s="3">
        <f t="shared" si="57"/>
        <v>53.824784302310732</v>
      </c>
      <c r="J129" s="4">
        <f t="shared" si="67"/>
        <v>1081791.0147399798</v>
      </c>
      <c r="K129" s="1">
        <f t="shared" si="68"/>
        <v>1308.93</v>
      </c>
      <c r="L129" s="5">
        <f t="shared" si="69"/>
        <v>0.2027397260273974</v>
      </c>
      <c r="M129" s="5">
        <f t="shared" si="70"/>
        <v>-0.42766764452726663</v>
      </c>
      <c r="N129" s="5">
        <f t="shared" si="71"/>
        <v>38.274891465079627</v>
      </c>
      <c r="O129" s="1">
        <f t="shared" si="72"/>
        <v>0</v>
      </c>
      <c r="P129" s="1">
        <f t="shared" si="73"/>
        <v>1308.93</v>
      </c>
      <c r="Q129" s="5">
        <f t="shared" si="74"/>
        <v>0.2027397260273974</v>
      </c>
      <c r="R129" s="5">
        <f t="shared" si="75"/>
        <v>-0.42766764452726663</v>
      </c>
      <c r="S129" s="5">
        <f t="shared" si="58"/>
        <v>38.274891465079627</v>
      </c>
      <c r="T129" s="5">
        <f t="shared" si="59"/>
        <v>-791.74537451780407</v>
      </c>
      <c r="U129" s="4">
        <f t="shared" si="60"/>
        <v>1081808.4715867655</v>
      </c>
      <c r="V129" s="4">
        <f t="shared" si="76"/>
        <v>17.457128486701503</v>
      </c>
      <c r="W129" s="4">
        <f t="shared" si="61"/>
        <v>1051504.5033091176</v>
      </c>
      <c r="X129" s="4">
        <f t="shared" si="65"/>
        <v>-1612.5742955959868</v>
      </c>
      <c r="Y129" s="9">
        <f>SUM($X$6:X129)</f>
        <v>51504.50330911763</v>
      </c>
      <c r="Z129" s="16">
        <f t="shared" si="66"/>
        <v>5.1504503309117627E-2</v>
      </c>
      <c r="AA129" s="16">
        <f t="shared" si="62"/>
        <v>4.0702864391649586E-2</v>
      </c>
      <c r="AB129" s="16">
        <f t="shared" si="63"/>
        <v>-1.5312393369061525E-3</v>
      </c>
      <c r="AC129" s="16">
        <f t="shared" si="64"/>
        <v>-2.109847205015539E-3</v>
      </c>
    </row>
    <row r="130" spans="1:29" x14ac:dyDescent="0.15">
      <c r="A130" s="8">
        <v>41089</v>
      </c>
      <c r="B130" s="4">
        <v>1362.16</v>
      </c>
      <c r="C130" s="1">
        <v>17.128</v>
      </c>
      <c r="D130" s="1">
        <v>2.21</v>
      </c>
      <c r="E130" s="1">
        <v>0.4708</v>
      </c>
      <c r="F130" s="4">
        <f t="shared" si="54"/>
        <v>0.17127999999999999</v>
      </c>
      <c r="G130" s="4">
        <f t="shared" si="55"/>
        <v>2.2099999999999998E-2</v>
      </c>
      <c r="H130" s="4">
        <f t="shared" si="56"/>
        <v>4.7080000000000004E-3</v>
      </c>
      <c r="I130" s="3">
        <f t="shared" si="57"/>
        <v>49.308753648873555</v>
      </c>
      <c r="J130" s="4">
        <f t="shared" si="67"/>
        <v>1081808.4715867655</v>
      </c>
      <c r="K130" s="1">
        <f t="shared" si="68"/>
        <v>1308.93</v>
      </c>
      <c r="L130" s="5">
        <f t="shared" si="69"/>
        <v>0.20000000000000015</v>
      </c>
      <c r="M130" s="5">
        <f t="shared" si="70"/>
        <v>-0.3025359888467079</v>
      </c>
      <c r="N130" s="5">
        <f t="shared" si="71"/>
        <v>20.967464740130186</v>
      </c>
      <c r="O130" s="1">
        <f t="shared" si="72"/>
        <v>0</v>
      </c>
      <c r="P130" s="1">
        <f t="shared" si="73"/>
        <v>1308.93</v>
      </c>
      <c r="Q130" s="5">
        <f t="shared" si="74"/>
        <v>0.20000000000000015</v>
      </c>
      <c r="R130" s="5">
        <f t="shared" si="75"/>
        <v>-0.3025359888467079</v>
      </c>
      <c r="S130" s="5">
        <f t="shared" si="58"/>
        <v>20.967464740130186</v>
      </c>
      <c r="T130" s="5">
        <f t="shared" si="59"/>
        <v>-791.74537451780407</v>
      </c>
      <c r="U130" s="4">
        <f t="shared" si="60"/>
        <v>1081825.9287152521</v>
      </c>
      <c r="V130" s="4">
        <f t="shared" si="76"/>
        <v>17.457410192144753</v>
      </c>
      <c r="W130" s="4">
        <f t="shared" si="61"/>
        <v>1065225.0354918889</v>
      </c>
      <c r="X130" s="4">
        <f t="shared" si="65"/>
        <v>13720.532182771247</v>
      </c>
      <c r="Y130" s="9">
        <f>SUM($X$6:X130)</f>
        <v>65225.035491888877</v>
      </c>
      <c r="Z130" s="16">
        <f t="shared" si="66"/>
        <v>6.5225035491888878E-2</v>
      </c>
      <c r="AA130" s="16">
        <f t="shared" si="62"/>
        <v>6.6637432853585685E-2</v>
      </c>
      <c r="AB130" s="16">
        <f t="shared" si="63"/>
        <v>1.3048476863001824E-2</v>
      </c>
      <c r="AC130" s="16">
        <f t="shared" si="64"/>
        <v>2.4920243183049508E-2</v>
      </c>
    </row>
    <row r="131" spans="1:29" x14ac:dyDescent="0.15">
      <c r="A131" s="8">
        <v>41092</v>
      </c>
      <c r="B131" s="4">
        <v>1365.51</v>
      </c>
      <c r="C131" s="1">
        <v>16.492000000000001</v>
      </c>
      <c r="D131" s="1">
        <v>2.21</v>
      </c>
      <c r="E131" s="1">
        <v>0.4708</v>
      </c>
      <c r="F131" s="4">
        <f t="shared" si="54"/>
        <v>0.16492000000000001</v>
      </c>
      <c r="G131" s="4">
        <f t="shared" si="55"/>
        <v>2.2099999999999998E-2</v>
      </c>
      <c r="H131" s="4">
        <f t="shared" si="56"/>
        <v>4.7080000000000004E-3</v>
      </c>
      <c r="I131" s="3">
        <f t="shared" si="57"/>
        <v>47.709646497160328</v>
      </c>
      <c r="J131" s="4">
        <f t="shared" si="67"/>
        <v>1081825.9287152521</v>
      </c>
      <c r="K131" s="1">
        <f t="shared" si="68"/>
        <v>1308.93</v>
      </c>
      <c r="L131" s="5">
        <f t="shared" si="69"/>
        <v>0.19178082191780838</v>
      </c>
      <c r="M131" s="5">
        <f t="shared" si="70"/>
        <v>-0.2811596236242534</v>
      </c>
      <c r="N131" s="5">
        <f t="shared" si="71"/>
        <v>17.888823409475407</v>
      </c>
      <c r="O131" s="1">
        <f t="shared" si="72"/>
        <v>0</v>
      </c>
      <c r="P131" s="1">
        <f t="shared" si="73"/>
        <v>1308.93</v>
      </c>
      <c r="Q131" s="5">
        <f t="shared" si="74"/>
        <v>0.19178082191780838</v>
      </c>
      <c r="R131" s="5">
        <f t="shared" si="75"/>
        <v>-0.2811596236242534</v>
      </c>
      <c r="S131" s="5">
        <f t="shared" si="58"/>
        <v>17.888823409475407</v>
      </c>
      <c r="T131" s="5">
        <f t="shared" si="59"/>
        <v>-791.74537451780407</v>
      </c>
      <c r="U131" s="4">
        <f t="shared" si="60"/>
        <v>1081843.3861254442</v>
      </c>
      <c r="V131" s="4">
        <f t="shared" si="76"/>
        <v>52.373075706401643</v>
      </c>
      <c r="W131" s="4">
        <f t="shared" si="61"/>
        <v>1067679.9929354263</v>
      </c>
      <c r="X131" s="4">
        <f t="shared" si="65"/>
        <v>2454.9574435374234</v>
      </c>
      <c r="Y131" s="9">
        <f>SUM($X$6:X131)</f>
        <v>67679.9929354263</v>
      </c>
      <c r="Z131" s="16">
        <f t="shared" si="66"/>
        <v>6.76799929354263E-2</v>
      </c>
      <c r="AA131" s="16">
        <f t="shared" si="62"/>
        <v>6.9260645545236754E-2</v>
      </c>
      <c r="AB131" s="16">
        <f t="shared" si="63"/>
        <v>2.3046373881025037E-3</v>
      </c>
      <c r="AC131" s="16">
        <f t="shared" si="64"/>
        <v>2.4593293005226325E-3</v>
      </c>
    </row>
    <row r="132" spans="1:29" x14ac:dyDescent="0.15">
      <c r="A132" s="8">
        <v>41093</v>
      </c>
      <c r="B132" s="4">
        <v>1374.02</v>
      </c>
      <c r="C132" s="1">
        <v>16.091899999999999</v>
      </c>
      <c r="D132" s="1">
        <v>2.2000000000000002</v>
      </c>
      <c r="E132" s="1">
        <v>0.4708</v>
      </c>
      <c r="F132" s="4">
        <f t="shared" si="54"/>
        <v>0.16091899999999998</v>
      </c>
      <c r="G132" s="4">
        <f t="shared" si="55"/>
        <v>2.2000000000000002E-2</v>
      </c>
      <c r="H132" s="4">
        <f t="shared" si="56"/>
        <v>4.7080000000000004E-3</v>
      </c>
      <c r="I132" s="3">
        <f t="shared" si="57"/>
        <v>46.900782397164647</v>
      </c>
      <c r="J132" s="4">
        <f t="shared" si="67"/>
        <v>1081843.3861254442</v>
      </c>
      <c r="K132" s="1">
        <f t="shared" si="68"/>
        <v>1308.93</v>
      </c>
      <c r="L132" s="5">
        <f t="shared" si="69"/>
        <v>0.18904109589041113</v>
      </c>
      <c r="M132" s="5">
        <f t="shared" si="70"/>
        <v>-0.24662415102714361</v>
      </c>
      <c r="N132" s="5">
        <f t="shared" si="71"/>
        <v>14.611462708416244</v>
      </c>
      <c r="O132" s="1">
        <f t="shared" si="72"/>
        <v>0</v>
      </c>
      <c r="P132" s="1">
        <f t="shared" si="73"/>
        <v>1308.93</v>
      </c>
      <c r="Q132" s="5">
        <f t="shared" si="74"/>
        <v>0.18904109589041113</v>
      </c>
      <c r="R132" s="5">
        <f t="shared" si="75"/>
        <v>-0.24662415102714361</v>
      </c>
      <c r="S132" s="5">
        <f t="shared" si="58"/>
        <v>14.611462708416244</v>
      </c>
      <c r="T132" s="5">
        <f t="shared" si="59"/>
        <v>-791.74537451780407</v>
      </c>
      <c r="U132" s="4">
        <f t="shared" si="60"/>
        <v>1081895.7592011506</v>
      </c>
      <c r="V132" s="4">
        <f t="shared" si="76"/>
        <v>17.458537045739114</v>
      </c>
      <c r="W132" s="4">
        <f t="shared" si="61"/>
        <v>1070327.2011868227</v>
      </c>
      <c r="X132" s="4">
        <f t="shared" si="65"/>
        <v>2647.2082513964269</v>
      </c>
      <c r="Y132" s="9">
        <f>SUM($X$6:X132)</f>
        <v>70327.201186822727</v>
      </c>
      <c r="Z132" s="16">
        <f t="shared" si="66"/>
        <v>7.032720118682273E-2</v>
      </c>
      <c r="AA132" s="16">
        <f t="shared" si="62"/>
        <v>7.592438883059531E-2</v>
      </c>
      <c r="AB132" s="16">
        <f t="shared" si="63"/>
        <v>2.4794023199014195E-3</v>
      </c>
      <c r="AC132" s="16">
        <f t="shared" si="64"/>
        <v>6.232103756105771E-3</v>
      </c>
    </row>
    <row r="133" spans="1:29" x14ac:dyDescent="0.15">
      <c r="A133" s="8">
        <v>41095</v>
      </c>
      <c r="B133" s="4">
        <v>1367.58</v>
      </c>
      <c r="C133" s="1">
        <v>16.7118</v>
      </c>
      <c r="D133" s="1">
        <v>2.21</v>
      </c>
      <c r="E133" s="1">
        <v>0.4698</v>
      </c>
      <c r="F133" s="4">
        <f t="shared" si="54"/>
        <v>0.16711799999999999</v>
      </c>
      <c r="G133" s="4">
        <f t="shared" si="55"/>
        <v>2.2099999999999998E-2</v>
      </c>
      <c r="H133" s="4">
        <f t="shared" si="56"/>
        <v>4.6979999999999999E-3</v>
      </c>
      <c r="I133" s="3">
        <f t="shared" si="57"/>
        <v>48.379251534692116</v>
      </c>
      <c r="J133" s="4">
        <f t="shared" si="67"/>
        <v>1081895.7592011506</v>
      </c>
      <c r="K133" s="1">
        <f t="shared" si="68"/>
        <v>1308.93</v>
      </c>
      <c r="L133" s="5">
        <f t="shared" si="69"/>
        <v>0.1835616438356166</v>
      </c>
      <c r="M133" s="5">
        <f t="shared" si="70"/>
        <v>-0.2720241749576679</v>
      </c>
      <c r="N133" s="5">
        <f t="shared" si="71"/>
        <v>16.979437220133985</v>
      </c>
      <c r="O133" s="1">
        <f t="shared" si="72"/>
        <v>0</v>
      </c>
      <c r="P133" s="1">
        <f t="shared" si="73"/>
        <v>1308.93</v>
      </c>
      <c r="Q133" s="5">
        <f t="shared" si="74"/>
        <v>0.1835616438356166</v>
      </c>
      <c r="R133" s="5">
        <f t="shared" si="75"/>
        <v>-0.2720241749576679</v>
      </c>
      <c r="S133" s="5">
        <f t="shared" si="58"/>
        <v>16.979437220133985</v>
      </c>
      <c r="T133" s="5">
        <f t="shared" si="59"/>
        <v>-791.74537451780407</v>
      </c>
      <c r="U133" s="4">
        <f t="shared" si="60"/>
        <v>1081913.2177381963</v>
      </c>
      <c r="V133" s="4">
        <f t="shared" si="76"/>
        <v>34.917637547824519</v>
      </c>
      <c r="W133" s="4">
        <f t="shared" si="61"/>
        <v>1068469.8268572397</v>
      </c>
      <c r="X133" s="4">
        <f t="shared" si="65"/>
        <v>-1857.3743295830209</v>
      </c>
      <c r="Y133" s="9">
        <f>SUM($X$6:X133)</f>
        <v>68469.826857239706</v>
      </c>
      <c r="Z133" s="16">
        <f t="shared" si="66"/>
        <v>6.8469826857239707E-2</v>
      </c>
      <c r="AA133" s="16">
        <f t="shared" si="62"/>
        <v>7.0881556074107704E-2</v>
      </c>
      <c r="AB133" s="16">
        <f t="shared" si="63"/>
        <v>-1.735333202336153E-3</v>
      </c>
      <c r="AC133" s="16">
        <f t="shared" si="64"/>
        <v>-4.6869768998996043E-3</v>
      </c>
    </row>
    <row r="134" spans="1:29" x14ac:dyDescent="0.15">
      <c r="A134" s="8">
        <v>41096</v>
      </c>
      <c r="B134" s="4">
        <v>1354.68</v>
      </c>
      <c r="C134" s="1">
        <v>16.981200000000001</v>
      </c>
      <c r="D134" s="1">
        <v>2.23</v>
      </c>
      <c r="E134" s="1">
        <v>0.46779999999999999</v>
      </c>
      <c r="F134" s="4">
        <f t="shared" si="54"/>
        <v>0.16981200000000002</v>
      </c>
      <c r="G134" s="4">
        <f t="shared" si="55"/>
        <v>2.23E-2</v>
      </c>
      <c r="H134" s="4">
        <f t="shared" si="56"/>
        <v>4.6779999999999999E-3</v>
      </c>
      <c r="I134" s="3">
        <f t="shared" si="57"/>
        <v>48.683307244435447</v>
      </c>
      <c r="J134" s="4">
        <f t="shared" si="67"/>
        <v>1081913.2177381963</v>
      </c>
      <c r="K134" s="1">
        <f t="shared" si="68"/>
        <v>1308.93</v>
      </c>
      <c r="L134" s="5">
        <f t="shared" si="69"/>
        <v>0.18082191780821935</v>
      </c>
      <c r="M134" s="5">
        <f t="shared" si="70"/>
        <v>-0.31869425858879152</v>
      </c>
      <c r="N134" s="5">
        <f t="shared" si="71"/>
        <v>21.068766573259015</v>
      </c>
      <c r="O134" s="1">
        <f t="shared" si="72"/>
        <v>0</v>
      </c>
      <c r="P134" s="1">
        <f t="shared" si="73"/>
        <v>1308.93</v>
      </c>
      <c r="Q134" s="5">
        <f t="shared" si="74"/>
        <v>0.18082191780821935</v>
      </c>
      <c r="R134" s="5">
        <f t="shared" si="75"/>
        <v>-0.31869425858879152</v>
      </c>
      <c r="S134" s="5">
        <f t="shared" si="58"/>
        <v>21.068766573259015</v>
      </c>
      <c r="T134" s="5">
        <f t="shared" si="59"/>
        <v>-791.74537451780407</v>
      </c>
      <c r="U134" s="4">
        <f t="shared" si="60"/>
        <v>1081948.135375744</v>
      </c>
      <c r="V134" s="4">
        <f t="shared" si="76"/>
        <v>17.459382239351047</v>
      </c>
      <c r="W134" s="4">
        <f t="shared" si="61"/>
        <v>1065267.0368945708</v>
      </c>
      <c r="X134" s="4">
        <f t="shared" si="65"/>
        <v>-3202.7899626689032</v>
      </c>
      <c r="Y134" s="9">
        <f>SUM($X$6:X134)</f>
        <v>65267.036894570803</v>
      </c>
      <c r="Z134" s="16">
        <f t="shared" si="66"/>
        <v>6.5267036894570807E-2</v>
      </c>
      <c r="AA134" s="16">
        <f t="shared" si="62"/>
        <v>6.0780229589839259E-2</v>
      </c>
      <c r="AB134" s="16">
        <f t="shared" si="63"/>
        <v>-2.9975483463950303E-3</v>
      </c>
      <c r="AC134" s="16">
        <f t="shared" si="64"/>
        <v>-9.4327205721053721E-3</v>
      </c>
    </row>
    <row r="135" spans="1:29" x14ac:dyDescent="0.15">
      <c r="A135" s="8">
        <v>41099</v>
      </c>
      <c r="B135" s="4">
        <v>1352.46</v>
      </c>
      <c r="C135" s="1">
        <v>17.2563</v>
      </c>
      <c r="D135" s="1">
        <v>2.2400000000000002</v>
      </c>
      <c r="E135" s="1">
        <v>0.46779999999999999</v>
      </c>
      <c r="F135" s="4">
        <f t="shared" ref="F135:F198" si="77">C135/100</f>
        <v>0.17256299999999999</v>
      </c>
      <c r="G135" s="4">
        <f t="shared" ref="G135:G198" si="78">D135/100</f>
        <v>2.2400000000000003E-2</v>
      </c>
      <c r="H135" s="4">
        <f t="shared" ref="H135:H198" si="79">E135/100</f>
        <v>4.6779999999999999E-3</v>
      </c>
      <c r="I135" s="3">
        <f t="shared" ref="I135:I198" si="80">BSM_Put(B135,B135,F135,H135,G135,$B$3,$F$3)</f>
        <v>49.357401936738327</v>
      </c>
      <c r="J135" s="4">
        <f t="shared" si="67"/>
        <v>1081948.135375744</v>
      </c>
      <c r="K135" s="1">
        <f t="shared" si="68"/>
        <v>1308.93</v>
      </c>
      <c r="L135" s="5">
        <f t="shared" si="69"/>
        <v>0.17260273972602758</v>
      </c>
      <c r="M135" s="5">
        <f t="shared" si="70"/>
        <v>-0.32527271669353935</v>
      </c>
      <c r="N135" s="5">
        <f t="shared" si="71"/>
        <v>21.478304860560687</v>
      </c>
      <c r="O135" s="1">
        <f t="shared" si="72"/>
        <v>0</v>
      </c>
      <c r="P135" s="1">
        <f t="shared" si="73"/>
        <v>1308.93</v>
      </c>
      <c r="Q135" s="5">
        <f t="shared" si="74"/>
        <v>0.17260273972602758</v>
      </c>
      <c r="R135" s="5">
        <f t="shared" si="75"/>
        <v>-0.32527271669353935</v>
      </c>
      <c r="S135" s="5">
        <f t="shared" ref="S135:S198" si="81">BSM_Put(B135,P135,F135,H135,G135,Q135,$F$3)</f>
        <v>21.478304860560687</v>
      </c>
      <c r="T135" s="5">
        <f t="shared" si="59"/>
        <v>-791.74537451780407</v>
      </c>
      <c r="U135" s="4">
        <f t="shared" si="60"/>
        <v>1081965.5947579832</v>
      </c>
      <c r="V135" s="4">
        <f t="shared" si="76"/>
        <v>52.378991943489211</v>
      </c>
      <c r="W135" s="4">
        <f t="shared" si="61"/>
        <v>1064960.2462321511</v>
      </c>
      <c r="X135" s="4">
        <f t="shared" si="65"/>
        <v>-306.79066241974942</v>
      </c>
      <c r="Y135" s="9">
        <f>SUM($X$6:X135)</f>
        <v>64960.246232151054</v>
      </c>
      <c r="Z135" s="16">
        <f t="shared" si="66"/>
        <v>6.4960246232151048E-2</v>
      </c>
      <c r="AA135" s="16">
        <f t="shared" si="62"/>
        <v>5.904186177626744E-2</v>
      </c>
      <c r="AB135" s="16">
        <f t="shared" si="63"/>
        <v>-2.8799413836562036E-4</v>
      </c>
      <c r="AC135" s="16">
        <f t="shared" si="64"/>
        <v>-1.6387633979980712E-3</v>
      </c>
    </row>
    <row r="136" spans="1:29" x14ac:dyDescent="0.15">
      <c r="A136" s="8">
        <v>41100</v>
      </c>
      <c r="B136" s="4">
        <v>1341.47</v>
      </c>
      <c r="C136" s="1">
        <v>17.860700000000001</v>
      </c>
      <c r="D136" s="1">
        <v>2.25</v>
      </c>
      <c r="E136" s="1">
        <v>0.46779999999999999</v>
      </c>
      <c r="F136" s="4">
        <f t="shared" si="77"/>
        <v>0.17860700000000002</v>
      </c>
      <c r="G136" s="4">
        <f t="shared" si="78"/>
        <v>2.2499999999999999E-2</v>
      </c>
      <c r="H136" s="4">
        <f t="shared" si="79"/>
        <v>4.6779999999999999E-3</v>
      </c>
      <c r="I136" s="3">
        <f t="shared" si="80"/>
        <v>50.579057935139858</v>
      </c>
      <c r="J136" s="4">
        <f t="shared" si="67"/>
        <v>1081965.5947579832</v>
      </c>
      <c r="K136" s="1">
        <f t="shared" si="68"/>
        <v>1308.93</v>
      </c>
      <c r="L136" s="5">
        <f t="shared" si="69"/>
        <v>0.16986301369863033</v>
      </c>
      <c r="M136" s="5">
        <f t="shared" si="70"/>
        <v>-0.36956123290072468</v>
      </c>
      <c r="N136" s="5">
        <f t="shared" si="71"/>
        <v>26.234164143229084</v>
      </c>
      <c r="O136" s="1">
        <f t="shared" si="72"/>
        <v>0</v>
      </c>
      <c r="P136" s="1">
        <f t="shared" si="73"/>
        <v>1308.93</v>
      </c>
      <c r="Q136" s="5">
        <f t="shared" si="74"/>
        <v>0.16986301369863033</v>
      </c>
      <c r="R136" s="5">
        <f t="shared" si="75"/>
        <v>-0.36956123290072468</v>
      </c>
      <c r="S136" s="5">
        <f t="shared" si="81"/>
        <v>26.234164143229084</v>
      </c>
      <c r="T136" s="5">
        <f t="shared" ref="T136:T199" si="82">IF(O136,-(J136+IF(L136&lt;=0.00001, MAX(K136-B136,0),N136)*T135)/P136,T135)</f>
        <v>-791.74537451780407</v>
      </c>
      <c r="U136" s="4">
        <f t="shared" ref="U136:U199" si="83">IF(O136,(J136+IF(L136&lt;=0.00001, MAX(K136-B136,0),N136)*T135)-(S136*T136),U135)+V135</f>
        <v>1082017.9737499268</v>
      </c>
      <c r="V136" s="4">
        <f t="shared" si="76"/>
        <v>17.460509220238542</v>
      </c>
      <c r="W136" s="4">
        <f t="shared" ref="W136:W199" si="84">S136*T136+U136</f>
        <v>1061247.1956351844</v>
      </c>
      <c r="X136" s="4">
        <f t="shared" si="65"/>
        <v>-3713.050596966641</v>
      </c>
      <c r="Y136" s="9">
        <f>SUM($X$6:X136)</f>
        <v>61247.195635184413</v>
      </c>
      <c r="Z136" s="16">
        <f t="shared" si="66"/>
        <v>6.1247195635184416E-2</v>
      </c>
      <c r="AA136" s="16">
        <f t="shared" ref="AA136:AA199" si="85">(B136-$B$6)/$B$6</f>
        <v>5.0436158050522359E-2</v>
      </c>
      <c r="AB136" s="16">
        <f t="shared" ref="AB136:AB199" si="86">X136/W135</f>
        <v>-3.4865626300169253E-3</v>
      </c>
      <c r="AC136" s="16">
        <f t="shared" ref="AC136:AC199" si="87">(B136-B135)/B135</f>
        <v>-8.1259334841695934E-3</v>
      </c>
    </row>
    <row r="137" spans="1:29" x14ac:dyDescent="0.15">
      <c r="A137" s="8">
        <v>41101</v>
      </c>
      <c r="B137" s="4">
        <v>1341.45</v>
      </c>
      <c r="C137" s="1">
        <v>17.756399999999999</v>
      </c>
      <c r="D137" s="1">
        <v>2.25</v>
      </c>
      <c r="E137" s="1">
        <v>0.46600000000000003</v>
      </c>
      <c r="F137" s="4">
        <f t="shared" si="77"/>
        <v>0.177564</v>
      </c>
      <c r="G137" s="4">
        <f t="shared" si="78"/>
        <v>2.2499999999999999E-2</v>
      </c>
      <c r="H137" s="4">
        <f t="shared" si="79"/>
        <v>4.6600000000000001E-3</v>
      </c>
      <c r="I137" s="3">
        <f t="shared" si="80"/>
        <v>50.304395921204922</v>
      </c>
      <c r="J137" s="4">
        <f t="shared" si="67"/>
        <v>1082017.9737499268</v>
      </c>
      <c r="K137" s="1">
        <f t="shared" si="68"/>
        <v>1308.93</v>
      </c>
      <c r="L137" s="5">
        <f t="shared" si="69"/>
        <v>0.16712328767123308</v>
      </c>
      <c r="M137" s="5">
        <f t="shared" si="70"/>
        <v>-0.36806632591149602</v>
      </c>
      <c r="N137" s="5">
        <f t="shared" si="71"/>
        <v>25.703282000946587</v>
      </c>
      <c r="O137" s="1">
        <f t="shared" si="72"/>
        <v>0</v>
      </c>
      <c r="P137" s="1">
        <f t="shared" si="73"/>
        <v>1308.93</v>
      </c>
      <c r="Q137" s="5">
        <f t="shared" si="74"/>
        <v>0.16712328767123308</v>
      </c>
      <c r="R137" s="5">
        <f t="shared" si="75"/>
        <v>-0.36806632591149602</v>
      </c>
      <c r="S137" s="5">
        <f t="shared" si="81"/>
        <v>25.703282000946587</v>
      </c>
      <c r="T137" s="5">
        <f t="shared" si="82"/>
        <v>-791.74537451780407</v>
      </c>
      <c r="U137" s="4">
        <f t="shared" si="83"/>
        <v>1082035.4342591469</v>
      </c>
      <c r="V137" s="4">
        <f t="shared" si="76"/>
        <v>17.460790980236645</v>
      </c>
      <c r="W137" s="4">
        <f t="shared" si="84"/>
        <v>1061684.9796249708</v>
      </c>
      <c r="X137" s="4">
        <f t="shared" ref="X137:X200" si="88">W137-W136</f>
        <v>437.78398978640325</v>
      </c>
      <c r="Y137" s="9">
        <f>SUM($X$6:X137)</f>
        <v>61684.979624970816</v>
      </c>
      <c r="Z137" s="16">
        <f t="shared" si="66"/>
        <v>6.1684979624970819E-2</v>
      </c>
      <c r="AA137" s="16">
        <f t="shared" si="85"/>
        <v>5.0420497079228938E-2</v>
      </c>
      <c r="AB137" s="16">
        <f t="shared" si="86"/>
        <v>4.1251839494791596E-4</v>
      </c>
      <c r="AC137" s="16">
        <f t="shared" si="87"/>
        <v>-1.4909017719354E-5</v>
      </c>
    </row>
    <row r="138" spans="1:29" x14ac:dyDescent="0.15">
      <c r="A138" s="8">
        <v>41102</v>
      </c>
      <c r="B138" s="4">
        <v>1334.76</v>
      </c>
      <c r="C138" s="1">
        <v>17.6264</v>
      </c>
      <c r="D138" s="1">
        <v>2.2599999999999998</v>
      </c>
      <c r="E138" s="1">
        <v>0.4652</v>
      </c>
      <c r="F138" s="4">
        <f t="shared" si="77"/>
        <v>0.176264</v>
      </c>
      <c r="G138" s="4">
        <f t="shared" si="78"/>
        <v>2.2599999999999999E-2</v>
      </c>
      <c r="H138" s="4">
        <f t="shared" si="79"/>
        <v>4.6519999999999999E-3</v>
      </c>
      <c r="I138" s="3">
        <f t="shared" si="80"/>
        <v>49.727879036748867</v>
      </c>
      <c r="J138" s="4">
        <f t="shared" si="67"/>
        <v>1082035.4342591469</v>
      </c>
      <c r="K138" s="1">
        <f t="shared" si="68"/>
        <v>1308.93</v>
      </c>
      <c r="L138" s="5">
        <f t="shared" si="69"/>
        <v>0.16438356164383583</v>
      </c>
      <c r="M138" s="5">
        <f t="shared" si="70"/>
        <v>-0.39292942509137946</v>
      </c>
      <c r="N138" s="5">
        <f t="shared" si="71"/>
        <v>27.661057318455576</v>
      </c>
      <c r="O138" s="1">
        <f t="shared" si="72"/>
        <v>0</v>
      </c>
      <c r="P138" s="1">
        <f t="shared" si="73"/>
        <v>1308.93</v>
      </c>
      <c r="Q138" s="5">
        <f t="shared" si="74"/>
        <v>0.16438356164383583</v>
      </c>
      <c r="R138" s="5">
        <f t="shared" si="75"/>
        <v>-0.39292942509137946</v>
      </c>
      <c r="S138" s="5">
        <f t="shared" si="81"/>
        <v>27.661057318455576</v>
      </c>
      <c r="T138" s="5">
        <f t="shared" si="82"/>
        <v>-791.74537451780407</v>
      </c>
      <c r="U138" s="4">
        <f t="shared" si="83"/>
        <v>1082052.8950501271</v>
      </c>
      <c r="V138" s="4">
        <f t="shared" si="76"/>
        <v>17.4610727447815</v>
      </c>
      <c r="W138" s="4">
        <f t="shared" si="84"/>
        <v>1060152.3808639681</v>
      </c>
      <c r="X138" s="4">
        <f t="shared" si="88"/>
        <v>-1532.598761002766</v>
      </c>
      <c r="Y138" s="9">
        <f>SUM($X$6:X138)</f>
        <v>60152.38086396805</v>
      </c>
      <c r="Z138" s="16">
        <f t="shared" si="66"/>
        <v>6.0152380863968048E-2</v>
      </c>
      <c r="AA138" s="16">
        <f t="shared" si="85"/>
        <v>4.5181902181573336E-2</v>
      </c>
      <c r="AB138" s="16">
        <f t="shared" si="86"/>
        <v>-1.4435532106182199E-3</v>
      </c>
      <c r="AC138" s="16">
        <f t="shared" si="87"/>
        <v>-4.9871407804987543E-3</v>
      </c>
    </row>
    <row r="139" spans="1:29" x14ac:dyDescent="0.15">
      <c r="A139" s="8">
        <v>41103</v>
      </c>
      <c r="B139" s="4">
        <v>1356.78</v>
      </c>
      <c r="C139" s="1">
        <v>16.482199999999999</v>
      </c>
      <c r="D139" s="1">
        <v>2.23</v>
      </c>
      <c r="E139" s="1">
        <v>0.4652</v>
      </c>
      <c r="F139" s="4">
        <f t="shared" si="77"/>
        <v>0.164822</v>
      </c>
      <c r="G139" s="4">
        <f t="shared" si="78"/>
        <v>2.23E-2</v>
      </c>
      <c r="H139" s="4">
        <f t="shared" si="79"/>
        <v>4.6519999999999999E-3</v>
      </c>
      <c r="I139" s="3">
        <f t="shared" si="80"/>
        <v>47.422420049806085</v>
      </c>
      <c r="J139" s="4">
        <f t="shared" si="67"/>
        <v>1082052.8950501271</v>
      </c>
      <c r="K139" s="1">
        <f t="shared" si="68"/>
        <v>1308.93</v>
      </c>
      <c r="L139" s="5">
        <f t="shared" si="69"/>
        <v>0.16164383561643858</v>
      </c>
      <c r="M139" s="5">
        <f t="shared" si="70"/>
        <v>-0.29632771162692001</v>
      </c>
      <c r="N139" s="5">
        <f t="shared" si="71"/>
        <v>17.458000912099298</v>
      </c>
      <c r="O139" s="1">
        <f t="shared" si="72"/>
        <v>0</v>
      </c>
      <c r="P139" s="1">
        <f t="shared" si="73"/>
        <v>1308.93</v>
      </c>
      <c r="Q139" s="5">
        <f t="shared" si="74"/>
        <v>0.16164383561643858</v>
      </c>
      <c r="R139" s="5">
        <f t="shared" si="75"/>
        <v>-0.29632771162692001</v>
      </c>
      <c r="S139" s="5">
        <f t="shared" si="81"/>
        <v>17.458000912099298</v>
      </c>
      <c r="T139" s="5">
        <f t="shared" si="82"/>
        <v>-791.74537451780407</v>
      </c>
      <c r="U139" s="4">
        <f t="shared" si="83"/>
        <v>1082070.3561228719</v>
      </c>
      <c r="V139" s="4">
        <f t="shared" si="76"/>
        <v>17.461354513873193</v>
      </c>
      <c r="W139" s="4">
        <f t="shared" si="84"/>
        <v>1068248.0646523896</v>
      </c>
      <c r="X139" s="4">
        <f t="shared" si="88"/>
        <v>8095.6837884215638</v>
      </c>
      <c r="Y139" s="9">
        <f>SUM($X$6:X139)</f>
        <v>68248.064652389614</v>
      </c>
      <c r="Z139" s="16">
        <f t="shared" si="66"/>
        <v>6.8248064652389612E-2</v>
      </c>
      <c r="AA139" s="16">
        <f t="shared" si="85"/>
        <v>6.2424631575650348E-2</v>
      </c>
      <c r="AB139" s="16">
        <f t="shared" si="86"/>
        <v>7.6363397701602201E-3</v>
      </c>
      <c r="AC139" s="16">
        <f t="shared" si="87"/>
        <v>1.6497347837813526E-2</v>
      </c>
    </row>
    <row r="140" spans="1:29" x14ac:dyDescent="0.15">
      <c r="A140" s="8">
        <v>41106</v>
      </c>
      <c r="B140" s="4">
        <v>1353.64</v>
      </c>
      <c r="C140" s="1">
        <v>16.665500000000002</v>
      </c>
      <c r="D140" s="1">
        <v>2.23</v>
      </c>
      <c r="E140" s="1">
        <v>0.4652</v>
      </c>
      <c r="F140" s="4">
        <f t="shared" si="77"/>
        <v>0.16665500000000003</v>
      </c>
      <c r="G140" s="4">
        <f t="shared" si="78"/>
        <v>2.23E-2</v>
      </c>
      <c r="H140" s="4">
        <f t="shared" si="79"/>
        <v>4.6519999999999999E-3</v>
      </c>
      <c r="I140" s="3">
        <f t="shared" si="80"/>
        <v>47.804149478223501</v>
      </c>
      <c r="J140" s="4">
        <f t="shared" si="67"/>
        <v>1082070.3561228719</v>
      </c>
      <c r="K140" s="1">
        <f t="shared" si="68"/>
        <v>1308.93</v>
      </c>
      <c r="L140" s="5">
        <f t="shared" si="69"/>
        <v>0.15342465753424681</v>
      </c>
      <c r="M140" s="5">
        <f t="shared" si="70"/>
        <v>-0.30549096672786547</v>
      </c>
      <c r="N140" s="5">
        <f t="shared" si="71"/>
        <v>17.878684601032809</v>
      </c>
      <c r="O140" s="1">
        <f t="shared" si="72"/>
        <v>0</v>
      </c>
      <c r="P140" s="1">
        <f t="shared" si="73"/>
        <v>1308.93</v>
      </c>
      <c r="Q140" s="5">
        <f t="shared" si="74"/>
        <v>0.15342465753424681</v>
      </c>
      <c r="R140" s="5">
        <f t="shared" si="75"/>
        <v>-0.30549096672786547</v>
      </c>
      <c r="S140" s="5">
        <f t="shared" si="81"/>
        <v>17.878684601032809</v>
      </c>
      <c r="T140" s="5">
        <f t="shared" si="82"/>
        <v>-791.74537451780407</v>
      </c>
      <c r="U140" s="4">
        <f t="shared" si="83"/>
        <v>1082087.8174773857</v>
      </c>
      <c r="V140" s="4">
        <f t="shared" si="76"/>
        <v>52.384908862535347</v>
      </c>
      <c r="W140" s="4">
        <f t="shared" si="84"/>
        <v>1067932.4516420553</v>
      </c>
      <c r="X140" s="4">
        <f t="shared" si="88"/>
        <v>-315.61301033431664</v>
      </c>
      <c r="Y140" s="9">
        <f>SUM($X$6:X140)</f>
        <v>67932.451642055297</v>
      </c>
      <c r="Z140" s="16">
        <f t="shared" si="66"/>
        <v>6.7932451642055303E-2</v>
      </c>
      <c r="AA140" s="16">
        <f t="shared" si="85"/>
        <v>5.9965859082580425E-2</v>
      </c>
      <c r="AB140" s="16">
        <f t="shared" si="86"/>
        <v>-2.9544917587753165E-4</v>
      </c>
      <c r="AC140" s="16">
        <f t="shared" si="87"/>
        <v>-2.314302982060373E-3</v>
      </c>
    </row>
    <row r="141" spans="1:29" x14ac:dyDescent="0.15">
      <c r="A141" s="8">
        <v>41107</v>
      </c>
      <c r="B141" s="4">
        <v>1363.67</v>
      </c>
      <c r="C141" s="1">
        <v>16.123999999999999</v>
      </c>
      <c r="D141" s="1">
        <v>2.2200000000000002</v>
      </c>
      <c r="E141" s="1">
        <v>0.4652</v>
      </c>
      <c r="F141" s="4">
        <f t="shared" si="77"/>
        <v>0.16123999999999999</v>
      </c>
      <c r="G141" s="4">
        <f t="shared" si="78"/>
        <v>2.2200000000000001E-2</v>
      </c>
      <c r="H141" s="4">
        <f t="shared" si="79"/>
        <v>4.6519999999999999E-3</v>
      </c>
      <c r="I141" s="3">
        <f t="shared" si="80"/>
        <v>46.67861020115852</v>
      </c>
      <c r="J141" s="4">
        <f t="shared" si="67"/>
        <v>1082087.8174773857</v>
      </c>
      <c r="K141" s="1">
        <f t="shared" si="68"/>
        <v>1308.93</v>
      </c>
      <c r="L141" s="5">
        <f t="shared" si="69"/>
        <v>0.15068493150684956</v>
      </c>
      <c r="M141" s="5">
        <f t="shared" si="70"/>
        <v>-0.25904441372916354</v>
      </c>
      <c r="N141" s="5">
        <f t="shared" si="71"/>
        <v>13.792713629808894</v>
      </c>
      <c r="O141" s="1">
        <f t="shared" si="72"/>
        <v>0</v>
      </c>
      <c r="P141" s="1">
        <f t="shared" si="73"/>
        <v>1308.93</v>
      </c>
      <c r="Q141" s="5">
        <f t="shared" si="74"/>
        <v>0.15068493150684956</v>
      </c>
      <c r="R141" s="5">
        <f t="shared" si="75"/>
        <v>-0.25904441372916354</v>
      </c>
      <c r="S141" s="5">
        <f t="shared" si="81"/>
        <v>13.792713629808894</v>
      </c>
      <c r="T141" s="5">
        <f t="shared" si="82"/>
        <v>-791.74537451780407</v>
      </c>
      <c r="U141" s="4">
        <f t="shared" si="83"/>
        <v>1082140.2023862484</v>
      </c>
      <c r="V141" s="4">
        <f t="shared" si="76"/>
        <v>17.462481622068502</v>
      </c>
      <c r="W141" s="4">
        <f t="shared" si="84"/>
        <v>1071219.8851677985</v>
      </c>
      <c r="X141" s="4">
        <f t="shared" si="88"/>
        <v>3287.4335257431958</v>
      </c>
      <c r="Y141" s="9">
        <f>SUM($X$6:X141)</f>
        <v>71219.885167798493</v>
      </c>
      <c r="Z141" s="16">
        <f t="shared" si="66"/>
        <v>7.1219885167798494E-2</v>
      </c>
      <c r="AA141" s="16">
        <f t="shared" si="85"/>
        <v>6.7819836186240379E-2</v>
      </c>
      <c r="AB141" s="16">
        <f t="shared" si="86"/>
        <v>3.0783159746559166E-3</v>
      </c>
      <c r="AC141" s="16">
        <f t="shared" si="87"/>
        <v>7.4096510150409058E-3</v>
      </c>
    </row>
    <row r="142" spans="1:29" x14ac:dyDescent="0.15">
      <c r="A142" s="8">
        <v>41108</v>
      </c>
      <c r="B142" s="4">
        <v>1372.78</v>
      </c>
      <c r="C142" s="1">
        <v>15.886100000000001</v>
      </c>
      <c r="D142" s="1">
        <v>2.19</v>
      </c>
      <c r="E142" s="1">
        <v>0.46500000000000002</v>
      </c>
      <c r="F142" s="4">
        <f t="shared" si="77"/>
        <v>0.158861</v>
      </c>
      <c r="G142" s="4">
        <f t="shared" si="78"/>
        <v>2.1899999999999999E-2</v>
      </c>
      <c r="H142" s="4">
        <f t="shared" si="79"/>
        <v>4.6500000000000005E-3</v>
      </c>
      <c r="I142" s="3">
        <f t="shared" si="80"/>
        <v>46.29225839585748</v>
      </c>
      <c r="J142" s="4">
        <f t="shared" si="67"/>
        <v>1082140.2023862484</v>
      </c>
      <c r="K142" s="1">
        <f t="shared" si="68"/>
        <v>1308.93</v>
      </c>
      <c r="L142" s="5">
        <f t="shared" si="69"/>
        <v>0.14794520547945231</v>
      </c>
      <c r="M142" s="5">
        <f t="shared" si="70"/>
        <v>-0.22045532676023788</v>
      </c>
      <c r="N142" s="5">
        <f t="shared" si="71"/>
        <v>10.949470979508016</v>
      </c>
      <c r="O142" s="1">
        <f t="shared" si="72"/>
        <v>0</v>
      </c>
      <c r="P142" s="1">
        <f t="shared" si="73"/>
        <v>1308.93</v>
      </c>
      <c r="Q142" s="5">
        <f t="shared" si="74"/>
        <v>0.14794520547945231</v>
      </c>
      <c r="R142" s="5">
        <f t="shared" si="75"/>
        <v>-0.22045532676023788</v>
      </c>
      <c r="S142" s="5">
        <f t="shared" si="81"/>
        <v>10.949470979508016</v>
      </c>
      <c r="T142" s="5">
        <f t="shared" si="82"/>
        <v>-791.74537451780407</v>
      </c>
      <c r="U142" s="4">
        <f t="shared" si="83"/>
        <v>1082157.6648678705</v>
      </c>
      <c r="V142" s="4">
        <f t="shared" si="76"/>
        <v>17.462763413895221</v>
      </c>
      <c r="W142" s="4">
        <f t="shared" si="84"/>
        <v>1073488.4718664282</v>
      </c>
      <c r="X142" s="4">
        <f t="shared" si="88"/>
        <v>2268.5866986296605</v>
      </c>
      <c r="Y142" s="9">
        <f>SUM($X$6:X142)</f>
        <v>73488.471866428154</v>
      </c>
      <c r="Z142" s="16">
        <f t="shared" si="66"/>
        <v>7.3488471866428151E-2</v>
      </c>
      <c r="AA142" s="16">
        <f t="shared" si="85"/>
        <v>7.4953408610402047E-2</v>
      </c>
      <c r="AB142" s="16">
        <f t="shared" si="86"/>
        <v>2.1177600696558239E-3</v>
      </c>
      <c r="AC142" s="16">
        <f t="shared" si="87"/>
        <v>6.680501880953529E-3</v>
      </c>
    </row>
    <row r="143" spans="1:29" x14ac:dyDescent="0.15">
      <c r="A143" s="8">
        <v>41109</v>
      </c>
      <c r="B143" s="4">
        <v>1376.51</v>
      </c>
      <c r="C143" s="1">
        <v>15.910299999999999</v>
      </c>
      <c r="D143" s="1">
        <v>2.1800000000000002</v>
      </c>
      <c r="E143" s="1">
        <v>0.4632</v>
      </c>
      <c r="F143" s="4">
        <f t="shared" si="77"/>
        <v>0.15910299999999999</v>
      </c>
      <c r="G143" s="4">
        <f t="shared" si="78"/>
        <v>2.18E-2</v>
      </c>
      <c r="H143" s="4">
        <f t="shared" si="79"/>
        <v>4.6319999999999998E-3</v>
      </c>
      <c r="I143" s="3">
        <f t="shared" si="80"/>
        <v>46.470082270812227</v>
      </c>
      <c r="J143" s="4">
        <f t="shared" si="67"/>
        <v>1082157.6648678705</v>
      </c>
      <c r="K143" s="1">
        <f t="shared" si="68"/>
        <v>1308.93</v>
      </c>
      <c r="L143" s="5">
        <f t="shared" si="69"/>
        <v>0.14520547945205506</v>
      </c>
      <c r="M143" s="5">
        <f t="shared" si="70"/>
        <v>-0.20558936764514119</v>
      </c>
      <c r="N143" s="5">
        <f t="shared" si="71"/>
        <v>9.9479103062999545</v>
      </c>
      <c r="O143" s="1">
        <f t="shared" si="72"/>
        <v>0</v>
      </c>
      <c r="P143" s="1">
        <f t="shared" si="73"/>
        <v>1308.93</v>
      </c>
      <c r="Q143" s="5">
        <f t="shared" si="74"/>
        <v>0.14520547945205506</v>
      </c>
      <c r="R143" s="5">
        <f t="shared" si="75"/>
        <v>-0.20558936764514119</v>
      </c>
      <c r="S143" s="5">
        <f t="shared" si="81"/>
        <v>9.9479103062999545</v>
      </c>
      <c r="T143" s="5">
        <f t="shared" si="82"/>
        <v>-791.74537451780407</v>
      </c>
      <c r="U143" s="4">
        <f t="shared" si="83"/>
        <v>1082175.1276312843</v>
      </c>
      <c r="V143" s="4">
        <f t="shared" si="76"/>
        <v>17.463045210269215</v>
      </c>
      <c r="W143" s="4">
        <f t="shared" si="84"/>
        <v>1074298.9156601534</v>
      </c>
      <c r="X143" s="4">
        <f t="shared" si="88"/>
        <v>810.44379372522235</v>
      </c>
      <c r="Y143" s="9">
        <f>SUM($X$6:X143)</f>
        <v>74298.915660153376</v>
      </c>
      <c r="Z143" s="16">
        <f t="shared" si="66"/>
        <v>7.429891566015337E-2</v>
      </c>
      <c r="AA143" s="16">
        <f t="shared" si="85"/>
        <v>7.7874179756628539E-2</v>
      </c>
      <c r="AB143" s="16">
        <f t="shared" si="86"/>
        <v>7.5496273594455896E-4</v>
      </c>
      <c r="AC143" s="16">
        <f t="shared" si="87"/>
        <v>2.7171141770713577E-3</v>
      </c>
    </row>
    <row r="144" spans="1:29" x14ac:dyDescent="0.15">
      <c r="A144" s="8">
        <v>41110</v>
      </c>
      <c r="B144" s="4">
        <v>1362.66</v>
      </c>
      <c r="C144" s="1">
        <v>16.511099999999999</v>
      </c>
      <c r="D144" s="1">
        <v>2.21</v>
      </c>
      <c r="E144" s="1">
        <v>0.46210000000000001</v>
      </c>
      <c r="F144" s="4">
        <f t="shared" si="77"/>
        <v>0.16511099999999998</v>
      </c>
      <c r="G144" s="4">
        <f t="shared" si="78"/>
        <v>2.2099999999999998E-2</v>
      </c>
      <c r="H144" s="4">
        <f t="shared" si="79"/>
        <v>4.6210000000000001E-3</v>
      </c>
      <c r="I144" s="3">
        <f t="shared" si="80"/>
        <v>47.677492732987467</v>
      </c>
      <c r="J144" s="4">
        <f t="shared" si="67"/>
        <v>1082175.1276312843</v>
      </c>
      <c r="K144" s="1">
        <f t="shared" si="68"/>
        <v>1308.93</v>
      </c>
      <c r="L144" s="5">
        <f t="shared" si="69"/>
        <v>0.14246575342465781</v>
      </c>
      <c r="M144" s="5">
        <f t="shared" si="70"/>
        <v>-0.26133114231975041</v>
      </c>
      <c r="N144" s="5">
        <f t="shared" si="71"/>
        <v>13.882275723796299</v>
      </c>
      <c r="O144" s="1">
        <f t="shared" si="72"/>
        <v>0</v>
      </c>
      <c r="P144" s="1">
        <f t="shared" si="73"/>
        <v>1308.93</v>
      </c>
      <c r="Q144" s="5">
        <f t="shared" si="74"/>
        <v>0.14246575342465781</v>
      </c>
      <c r="R144" s="5">
        <f t="shared" si="75"/>
        <v>-0.26133114231975041</v>
      </c>
      <c r="S144" s="5">
        <f t="shared" si="81"/>
        <v>13.882275723796299</v>
      </c>
      <c r="T144" s="5">
        <f t="shared" si="82"/>
        <v>-791.74537451780407</v>
      </c>
      <c r="U144" s="4">
        <f t="shared" si="83"/>
        <v>1082192.5906764946</v>
      </c>
      <c r="V144" s="4">
        <f t="shared" si="76"/>
        <v>17.463327011190557</v>
      </c>
      <c r="W144" s="4">
        <f t="shared" si="84"/>
        <v>1071201.3630843982</v>
      </c>
      <c r="X144" s="4">
        <f t="shared" si="88"/>
        <v>-3097.5525757551659</v>
      </c>
      <c r="Y144" s="9">
        <f>SUM($X$6:X144)</f>
        <v>71201.36308439821</v>
      </c>
      <c r="Z144" s="16">
        <f t="shared" si="66"/>
        <v>7.1201363084398214E-2</v>
      </c>
      <c r="AA144" s="16">
        <f t="shared" si="85"/>
        <v>6.7028957135921677E-2</v>
      </c>
      <c r="AB144" s="16">
        <f t="shared" si="86"/>
        <v>-2.8833246786363264E-3</v>
      </c>
      <c r="AC144" s="16">
        <f t="shared" si="87"/>
        <v>-1.0061677721193388E-2</v>
      </c>
    </row>
    <row r="145" spans="1:29" x14ac:dyDescent="0.15">
      <c r="A145" s="8">
        <v>41113</v>
      </c>
      <c r="B145" s="4">
        <v>1350.52</v>
      </c>
      <c r="C145" s="1">
        <v>17.754999999999999</v>
      </c>
      <c r="D145" s="1">
        <v>2.23</v>
      </c>
      <c r="E145" s="1">
        <v>0.46110000000000001</v>
      </c>
      <c r="F145" s="4">
        <f t="shared" si="77"/>
        <v>0.17754999999999999</v>
      </c>
      <c r="G145" s="4">
        <f t="shared" si="78"/>
        <v>2.23E-2</v>
      </c>
      <c r="H145" s="4">
        <f t="shared" si="79"/>
        <v>4.6110000000000005E-3</v>
      </c>
      <c r="I145" s="3">
        <f t="shared" si="80"/>
        <v>50.616001164638135</v>
      </c>
      <c r="J145" s="4">
        <f t="shared" si="67"/>
        <v>1082192.5906764946</v>
      </c>
      <c r="K145" s="1">
        <f t="shared" si="68"/>
        <v>1308.93</v>
      </c>
      <c r="L145" s="5">
        <f t="shared" si="69"/>
        <v>0.13424657534246603</v>
      </c>
      <c r="M145" s="5">
        <f t="shared" si="70"/>
        <v>-0.31578700318175229</v>
      </c>
      <c r="N145" s="5">
        <f t="shared" si="71"/>
        <v>18.602907252627489</v>
      </c>
      <c r="O145" s="1">
        <f t="shared" si="72"/>
        <v>0</v>
      </c>
      <c r="P145" s="1">
        <f t="shared" si="73"/>
        <v>1308.93</v>
      </c>
      <c r="Q145" s="5">
        <f t="shared" si="74"/>
        <v>0.13424657534246603</v>
      </c>
      <c r="R145" s="5">
        <f t="shared" si="75"/>
        <v>-0.31578700318175229</v>
      </c>
      <c r="S145" s="5">
        <f t="shared" si="81"/>
        <v>18.602907252627489</v>
      </c>
      <c r="T145" s="5">
        <f t="shared" si="82"/>
        <v>-791.74537451780407</v>
      </c>
      <c r="U145" s="4">
        <f t="shared" si="83"/>
        <v>1082210.0540035057</v>
      </c>
      <c r="V145" s="4">
        <f t="shared" si="76"/>
        <v>52.390826449977929</v>
      </c>
      <c r="W145" s="4">
        <f t="shared" si="84"/>
        <v>1067481.2882336541</v>
      </c>
      <c r="X145" s="4">
        <f t="shared" si="88"/>
        <v>-3720.0748507441022</v>
      </c>
      <c r="Y145" s="9">
        <f>SUM($X$6:X145)</f>
        <v>67481.288233654108</v>
      </c>
      <c r="Z145" s="16">
        <f t="shared" si="66"/>
        <v>6.748128823365411E-2</v>
      </c>
      <c r="AA145" s="16">
        <f t="shared" si="85"/>
        <v>5.752274756080375E-2</v>
      </c>
      <c r="AB145" s="16">
        <f t="shared" si="86"/>
        <v>-3.4728063078939561E-3</v>
      </c>
      <c r="AC145" s="16">
        <f t="shared" si="87"/>
        <v>-8.9090455432757256E-3</v>
      </c>
    </row>
    <row r="146" spans="1:29" x14ac:dyDescent="0.15">
      <c r="A146" s="8">
        <v>41114</v>
      </c>
      <c r="B146" s="4">
        <v>1338.31</v>
      </c>
      <c r="C146" s="1">
        <v>19.1309</v>
      </c>
      <c r="D146" s="1">
        <v>2.25</v>
      </c>
      <c r="E146" s="1">
        <v>0.45810000000000001</v>
      </c>
      <c r="F146" s="4">
        <f t="shared" si="77"/>
        <v>0.19130900000000001</v>
      </c>
      <c r="G146" s="4">
        <f t="shared" si="78"/>
        <v>2.2499999999999999E-2</v>
      </c>
      <c r="H146" s="4">
        <f t="shared" si="79"/>
        <v>4.581E-3</v>
      </c>
      <c r="I146" s="3">
        <f t="shared" si="80"/>
        <v>53.844542217232402</v>
      </c>
      <c r="J146" s="4">
        <f t="shared" si="67"/>
        <v>1082210.0540035057</v>
      </c>
      <c r="K146" s="1">
        <f t="shared" si="68"/>
        <v>1308.93</v>
      </c>
      <c r="L146" s="5">
        <f t="shared" si="69"/>
        <v>0.13150684931506879</v>
      </c>
      <c r="M146" s="5">
        <f t="shared" si="70"/>
        <v>-0.37311997832838323</v>
      </c>
      <c r="N146" s="5">
        <f t="shared" si="71"/>
        <v>24.938253762321146</v>
      </c>
      <c r="O146" s="1">
        <f t="shared" si="72"/>
        <v>0</v>
      </c>
      <c r="P146" s="1">
        <f t="shared" si="73"/>
        <v>1308.93</v>
      </c>
      <c r="Q146" s="5">
        <f t="shared" si="74"/>
        <v>0.13150684931506879</v>
      </c>
      <c r="R146" s="5">
        <f t="shared" si="75"/>
        <v>-0.37311997832838323</v>
      </c>
      <c r="S146" s="5">
        <f t="shared" si="81"/>
        <v>24.938253762321146</v>
      </c>
      <c r="T146" s="5">
        <f t="shared" si="82"/>
        <v>-791.74537451780407</v>
      </c>
      <c r="U146" s="4">
        <f t="shared" si="83"/>
        <v>1082262.4448299557</v>
      </c>
      <c r="V146" s="4">
        <f t="shared" si="76"/>
        <v>17.464454246708051</v>
      </c>
      <c r="W146" s="4">
        <f t="shared" si="84"/>
        <v>1062517.6977650868</v>
      </c>
      <c r="X146" s="4">
        <f t="shared" si="88"/>
        <v>-4963.5904685673304</v>
      </c>
      <c r="Y146" s="9">
        <f>SUM($X$6:X146)</f>
        <v>62517.697765086778</v>
      </c>
      <c r="Z146" s="16">
        <f t="shared" ref="Z146:Z209" si="89">Y146/$H$3</f>
        <v>6.2517697765086783E-2</v>
      </c>
      <c r="AA146" s="16">
        <f t="shared" si="85"/>
        <v>4.7961724586158834E-2</v>
      </c>
      <c r="AB146" s="16">
        <f t="shared" si="86"/>
        <v>-4.6498149647011726E-3</v>
      </c>
      <c r="AC146" s="16">
        <f t="shared" si="87"/>
        <v>-9.0409619998223171E-3</v>
      </c>
    </row>
    <row r="147" spans="1:29" x14ac:dyDescent="0.15">
      <c r="A147" s="8">
        <v>41115</v>
      </c>
      <c r="B147" s="4">
        <v>1337.89</v>
      </c>
      <c r="C147" s="1">
        <v>18.479199999999999</v>
      </c>
      <c r="D147" s="1">
        <v>2.25</v>
      </c>
      <c r="E147" s="1">
        <v>0.45779999999999998</v>
      </c>
      <c r="F147" s="4">
        <f t="shared" si="77"/>
        <v>0.18479199999999998</v>
      </c>
      <c r="G147" s="4">
        <f t="shared" si="78"/>
        <v>2.2499999999999999E-2</v>
      </c>
      <c r="H147" s="4">
        <f t="shared" si="79"/>
        <v>4.5779999999999996E-3</v>
      </c>
      <c r="I147" s="3">
        <f t="shared" si="80"/>
        <v>52.101087719673984</v>
      </c>
      <c r="J147" s="4">
        <f t="shared" si="67"/>
        <v>1082262.4448299557</v>
      </c>
      <c r="K147" s="1">
        <f t="shared" si="68"/>
        <v>1308.93</v>
      </c>
      <c r="L147" s="5">
        <f t="shared" si="69"/>
        <v>0.12876712328767154</v>
      </c>
      <c r="M147" s="5">
        <f t="shared" si="70"/>
        <v>-0.37024171947578227</v>
      </c>
      <c r="N147" s="5">
        <f t="shared" si="71"/>
        <v>23.522701608540025</v>
      </c>
      <c r="O147" s="1">
        <f t="shared" si="72"/>
        <v>0</v>
      </c>
      <c r="P147" s="1">
        <f t="shared" si="73"/>
        <v>1308.93</v>
      </c>
      <c r="Q147" s="5">
        <f t="shared" si="74"/>
        <v>0.12876712328767154</v>
      </c>
      <c r="R147" s="5">
        <f t="shared" si="75"/>
        <v>-0.37024171947578227</v>
      </c>
      <c r="S147" s="5">
        <f t="shared" si="81"/>
        <v>23.522701608540025</v>
      </c>
      <c r="T147" s="5">
        <f t="shared" si="82"/>
        <v>-791.74537451780407</v>
      </c>
      <c r="U147" s="4">
        <f t="shared" si="83"/>
        <v>1082279.9092842024</v>
      </c>
      <c r="V147" s="4">
        <f t="shared" si="76"/>
        <v>17.464736070366989</v>
      </c>
      <c r="W147" s="4">
        <f t="shared" si="84"/>
        <v>1063655.9190894782</v>
      </c>
      <c r="X147" s="4">
        <f t="shared" si="88"/>
        <v>1138.2213243914302</v>
      </c>
      <c r="Y147" s="9">
        <f>SUM($X$6:X147)</f>
        <v>63655.919089478208</v>
      </c>
      <c r="Z147" s="16">
        <f t="shared" si="89"/>
        <v>6.3655919089478208E-2</v>
      </c>
      <c r="AA147" s="16">
        <f t="shared" si="85"/>
        <v>4.7632844188996722E-2</v>
      </c>
      <c r="AB147" s="16">
        <f t="shared" si="86"/>
        <v>1.0712492853395096E-3</v>
      </c>
      <c r="AC147" s="16">
        <f t="shared" si="87"/>
        <v>-3.1382863462116057E-4</v>
      </c>
    </row>
    <row r="148" spans="1:29" x14ac:dyDescent="0.15">
      <c r="A148" s="8">
        <v>41116</v>
      </c>
      <c r="B148" s="4">
        <v>1360.02</v>
      </c>
      <c r="C148" s="1">
        <v>17.1768</v>
      </c>
      <c r="D148" s="1">
        <v>2.21</v>
      </c>
      <c r="E148" s="1">
        <v>0.45700000000000002</v>
      </c>
      <c r="F148" s="4">
        <f t="shared" si="77"/>
        <v>0.171768</v>
      </c>
      <c r="G148" s="4">
        <f t="shared" si="78"/>
        <v>2.2099999999999998E-2</v>
      </c>
      <c r="H148" s="4">
        <f t="shared" si="79"/>
        <v>4.5700000000000003E-3</v>
      </c>
      <c r="I148" s="3">
        <f t="shared" si="80"/>
        <v>49.387875430848602</v>
      </c>
      <c r="J148" s="4">
        <f t="shared" si="67"/>
        <v>1082279.9092842024</v>
      </c>
      <c r="K148" s="1">
        <f t="shared" si="68"/>
        <v>1308.93</v>
      </c>
      <c r="L148" s="5">
        <f t="shared" si="69"/>
        <v>0.12602739726027429</v>
      </c>
      <c r="M148" s="5">
        <f t="shared" si="70"/>
        <v>-0.26617004144826151</v>
      </c>
      <c r="N148" s="5">
        <f t="shared" si="71"/>
        <v>13.882611425892277</v>
      </c>
      <c r="O148" s="1">
        <f t="shared" si="72"/>
        <v>0</v>
      </c>
      <c r="P148" s="1">
        <f t="shared" si="73"/>
        <v>1308.93</v>
      </c>
      <c r="Q148" s="5">
        <f t="shared" si="74"/>
        <v>0.12602739726027429</v>
      </c>
      <c r="R148" s="5">
        <f t="shared" si="75"/>
        <v>-0.26617004144826151</v>
      </c>
      <c r="S148" s="5">
        <f t="shared" si="81"/>
        <v>13.882611425892277</v>
      </c>
      <c r="T148" s="5">
        <f t="shared" si="82"/>
        <v>-791.74537451780407</v>
      </c>
      <c r="U148" s="4">
        <f t="shared" si="83"/>
        <v>1082297.3740202726</v>
      </c>
      <c r="V148" s="4">
        <f t="shared" si="76"/>
        <v>17.465017898573713</v>
      </c>
      <c r="W148" s="4">
        <f t="shared" si="84"/>
        <v>1071305.8806375945</v>
      </c>
      <c r="X148" s="4">
        <f t="shared" si="88"/>
        <v>7649.9615481162909</v>
      </c>
      <c r="Y148" s="9">
        <f>SUM($X$6:X148)</f>
        <v>71305.880637594499</v>
      </c>
      <c r="Z148" s="16">
        <f t="shared" si="89"/>
        <v>7.1305880637594493E-2</v>
      </c>
      <c r="AA148" s="16">
        <f t="shared" si="85"/>
        <v>6.4961708925187572E-2</v>
      </c>
      <c r="AB148" s="16">
        <f t="shared" si="86"/>
        <v>7.1921393101115729E-3</v>
      </c>
      <c r="AC148" s="16">
        <f t="shared" si="87"/>
        <v>1.6540971230818588E-2</v>
      </c>
    </row>
    <row r="149" spans="1:29" x14ac:dyDescent="0.15">
      <c r="A149" s="8">
        <v>41117</v>
      </c>
      <c r="B149" s="4">
        <v>1385.97</v>
      </c>
      <c r="C149" s="1">
        <v>16.205300000000001</v>
      </c>
      <c r="D149" s="1">
        <v>2.17</v>
      </c>
      <c r="E149" s="1">
        <v>0.45650000000000002</v>
      </c>
      <c r="F149" s="4">
        <f t="shared" si="77"/>
        <v>0.162053</v>
      </c>
      <c r="G149" s="4">
        <f t="shared" si="78"/>
        <v>2.1700000000000001E-2</v>
      </c>
      <c r="H149" s="4">
        <f t="shared" si="79"/>
        <v>4.5650000000000005E-3</v>
      </c>
      <c r="I149" s="3">
        <f t="shared" si="80"/>
        <v>47.594469892014025</v>
      </c>
      <c r="J149" s="4">
        <f t="shared" si="67"/>
        <v>1082297.3740202726</v>
      </c>
      <c r="K149" s="1">
        <f t="shared" si="68"/>
        <v>1308.93</v>
      </c>
      <c r="L149" s="5">
        <f t="shared" si="69"/>
        <v>0.12328767123287702</v>
      </c>
      <c r="M149" s="5">
        <f t="shared" si="70"/>
        <v>-0.15909834807263801</v>
      </c>
      <c r="N149" s="5">
        <f t="shared" si="71"/>
        <v>6.7717072082773955</v>
      </c>
      <c r="O149" s="1">
        <f t="shared" si="72"/>
        <v>0</v>
      </c>
      <c r="P149" s="1">
        <f t="shared" si="73"/>
        <v>1308.93</v>
      </c>
      <c r="Q149" s="5">
        <f t="shared" si="74"/>
        <v>0.12328767123287702</v>
      </c>
      <c r="R149" s="5">
        <f t="shared" si="75"/>
        <v>-0.15909834807263801</v>
      </c>
      <c r="S149" s="5">
        <f t="shared" si="81"/>
        <v>6.7717072082773955</v>
      </c>
      <c r="T149" s="5">
        <f t="shared" si="82"/>
        <v>-791.74537451780407</v>
      </c>
      <c r="U149" s="4">
        <f t="shared" si="83"/>
        <v>1082314.8390381711</v>
      </c>
      <c r="V149" s="4">
        <f t="shared" si="76"/>
        <v>17.465299731328294</v>
      </c>
      <c r="W149" s="4">
        <f t="shared" si="84"/>
        <v>1076953.3711784286</v>
      </c>
      <c r="X149" s="4">
        <f t="shared" si="88"/>
        <v>5647.4905408341438</v>
      </c>
      <c r="Y149" s="9">
        <f>SUM($X$6:X149)</f>
        <v>76953.371178428642</v>
      </c>
      <c r="Z149" s="16">
        <f t="shared" si="89"/>
        <v>7.6953371178428639E-2</v>
      </c>
      <c r="AA149" s="16">
        <f t="shared" si="85"/>
        <v>8.5281819178425519E-2</v>
      </c>
      <c r="AB149" s="16">
        <f t="shared" si="86"/>
        <v>5.2715948291752156E-3</v>
      </c>
      <c r="AC149" s="16">
        <f t="shared" si="87"/>
        <v>1.9080601755856564E-2</v>
      </c>
    </row>
    <row r="150" spans="1:29" x14ac:dyDescent="0.15">
      <c r="A150" s="8">
        <v>41120</v>
      </c>
      <c r="B150" s="4">
        <v>1385.3</v>
      </c>
      <c r="C150" s="1">
        <v>16.967600000000001</v>
      </c>
      <c r="D150" s="1">
        <v>2.19</v>
      </c>
      <c r="E150" s="1">
        <v>0.45450000000000002</v>
      </c>
      <c r="F150" s="4">
        <f t="shared" si="77"/>
        <v>0.16967600000000002</v>
      </c>
      <c r="G150" s="4">
        <f t="shared" si="78"/>
        <v>2.1899999999999999E-2</v>
      </c>
      <c r="H150" s="4">
        <f t="shared" si="79"/>
        <v>4.5450000000000004E-3</v>
      </c>
      <c r="I150" s="3">
        <f t="shared" si="80"/>
        <v>49.701844176482965</v>
      </c>
      <c r="J150" s="4">
        <f t="shared" si="67"/>
        <v>1082314.8390381711</v>
      </c>
      <c r="K150" s="1">
        <f t="shared" si="68"/>
        <v>1308.93</v>
      </c>
      <c r="L150" s="5">
        <f t="shared" si="69"/>
        <v>0.11506849315068525</v>
      </c>
      <c r="M150" s="5">
        <f t="shared" si="70"/>
        <v>-0.16330180880246259</v>
      </c>
      <c r="N150" s="5">
        <f t="shared" si="71"/>
        <v>7.0763844707702672</v>
      </c>
      <c r="O150" s="1">
        <f t="shared" si="72"/>
        <v>0</v>
      </c>
      <c r="P150" s="1">
        <f t="shared" si="73"/>
        <v>1308.93</v>
      </c>
      <c r="Q150" s="5">
        <f t="shared" si="74"/>
        <v>0.11506849315068525</v>
      </c>
      <c r="R150" s="5">
        <f t="shared" si="75"/>
        <v>-0.16330180880246259</v>
      </c>
      <c r="S150" s="5">
        <f t="shared" si="81"/>
        <v>7.0763844707702672</v>
      </c>
      <c r="T150" s="5">
        <f t="shared" si="82"/>
        <v>-791.74537451780407</v>
      </c>
      <c r="U150" s="4">
        <f t="shared" si="83"/>
        <v>1082332.3043379025</v>
      </c>
      <c r="V150" s="4">
        <f t="shared" si="76"/>
        <v>52.396744705892424</v>
      </c>
      <c r="W150" s="4">
        <f t="shared" si="84"/>
        <v>1076729.6096648604</v>
      </c>
      <c r="X150" s="4">
        <f t="shared" si="88"/>
        <v>-223.76151356822811</v>
      </c>
      <c r="Y150" s="9">
        <f>SUM($X$6:X150)</f>
        <v>76729.609664860414</v>
      </c>
      <c r="Z150" s="16">
        <f t="shared" si="89"/>
        <v>7.6729609664860421E-2</v>
      </c>
      <c r="AA150" s="16">
        <f t="shared" si="85"/>
        <v>8.475717664009523E-2</v>
      </c>
      <c r="AB150" s="16">
        <f t="shared" si="86"/>
        <v>-2.0777270358825545E-4</v>
      </c>
      <c r="AC150" s="16">
        <f t="shared" si="87"/>
        <v>-4.8341594695417128E-4</v>
      </c>
    </row>
    <row r="151" spans="1:29" x14ac:dyDescent="0.15">
      <c r="A151" s="8">
        <v>41121</v>
      </c>
      <c r="B151" s="4">
        <v>1379.32</v>
      </c>
      <c r="C151" s="1">
        <v>17.343699999999998</v>
      </c>
      <c r="D151" s="1">
        <v>2.2000000000000002</v>
      </c>
      <c r="E151" s="1">
        <v>0.45240000000000002</v>
      </c>
      <c r="F151" s="4">
        <f t="shared" si="77"/>
        <v>0.17343699999999998</v>
      </c>
      <c r="G151" s="4">
        <f t="shared" si="78"/>
        <v>2.2000000000000002E-2</v>
      </c>
      <c r="H151" s="4">
        <f t="shared" si="79"/>
        <v>4.5240000000000002E-3</v>
      </c>
      <c r="I151" s="3">
        <f t="shared" si="80"/>
        <v>50.536067660256002</v>
      </c>
      <c r="J151" s="4">
        <f t="shared" si="67"/>
        <v>1082332.3043379025</v>
      </c>
      <c r="K151" s="1">
        <f t="shared" si="68"/>
        <v>1308.93</v>
      </c>
      <c r="L151" s="5">
        <f t="shared" si="69"/>
        <v>0.11232876712328799</v>
      </c>
      <c r="M151" s="5">
        <f t="shared" si="70"/>
        <v>-0.18455907193423587</v>
      </c>
      <c r="N151" s="5">
        <f t="shared" si="71"/>
        <v>8.3101965428080327</v>
      </c>
      <c r="O151" s="1">
        <f t="shared" si="72"/>
        <v>0</v>
      </c>
      <c r="P151" s="1">
        <f t="shared" si="73"/>
        <v>1308.93</v>
      </c>
      <c r="Q151" s="5">
        <f t="shared" si="74"/>
        <v>0.11232876712328799</v>
      </c>
      <c r="R151" s="5">
        <f t="shared" si="75"/>
        <v>-0.18455907193423587</v>
      </c>
      <c r="S151" s="5">
        <f t="shared" si="81"/>
        <v>8.3101965428080327</v>
      </c>
      <c r="T151" s="5">
        <f t="shared" si="82"/>
        <v>-791.74537451780407</v>
      </c>
      <c r="U151" s="4">
        <f t="shared" si="83"/>
        <v>1082384.7010826084</v>
      </c>
      <c r="V151" s="4">
        <f t="shared" si="76"/>
        <v>17.466427094182364</v>
      </c>
      <c r="W151" s="4">
        <f t="shared" si="84"/>
        <v>1075805.1414085063</v>
      </c>
      <c r="X151" s="4">
        <f t="shared" si="88"/>
        <v>-924.46825635409914</v>
      </c>
      <c r="Y151" s="9">
        <f>SUM($X$6:X151)</f>
        <v>75805.141408506315</v>
      </c>
      <c r="Z151" s="16">
        <f t="shared" si="89"/>
        <v>7.5805141408506319E-2</v>
      </c>
      <c r="AA151" s="16">
        <f t="shared" si="85"/>
        <v>8.0074546223356774E-2</v>
      </c>
      <c r="AB151" s="16">
        <f t="shared" si="86"/>
        <v>-8.5858905342247097E-4</v>
      </c>
      <c r="AC151" s="16">
        <f t="shared" si="87"/>
        <v>-4.3167544936115057E-3</v>
      </c>
    </row>
    <row r="152" spans="1:29" x14ac:dyDescent="0.15">
      <c r="A152" s="8">
        <v>41122</v>
      </c>
      <c r="B152" s="4">
        <v>1375.14</v>
      </c>
      <c r="C152" s="1">
        <v>17.182200000000002</v>
      </c>
      <c r="D152" s="1">
        <v>2.21</v>
      </c>
      <c r="E152" s="1">
        <v>0.45119999999999999</v>
      </c>
      <c r="F152" s="4">
        <f t="shared" si="77"/>
        <v>0.17182200000000003</v>
      </c>
      <c r="G152" s="4">
        <f t="shared" si="78"/>
        <v>2.2099999999999998E-2</v>
      </c>
      <c r="H152" s="4">
        <f t="shared" si="79"/>
        <v>4.5119999999999995E-3</v>
      </c>
      <c r="I152" s="3">
        <f t="shared" si="80"/>
        <v>49.962328854249868</v>
      </c>
      <c r="J152" s="4">
        <f t="shared" si="67"/>
        <v>1082384.7010826084</v>
      </c>
      <c r="K152" s="1">
        <f t="shared" si="68"/>
        <v>1308.93</v>
      </c>
      <c r="L152" s="5">
        <f t="shared" si="69"/>
        <v>0.10958904109589072</v>
      </c>
      <c r="M152" s="5">
        <f t="shared" si="70"/>
        <v>-0.19384999867709954</v>
      </c>
      <c r="N152" s="5">
        <f t="shared" si="71"/>
        <v>8.6270414410245397</v>
      </c>
      <c r="O152" s="1">
        <f t="shared" si="72"/>
        <v>0</v>
      </c>
      <c r="P152" s="1">
        <f t="shared" si="73"/>
        <v>1308.93</v>
      </c>
      <c r="Q152" s="5">
        <f t="shared" si="74"/>
        <v>0.10958904109589072</v>
      </c>
      <c r="R152" s="5">
        <f t="shared" si="75"/>
        <v>-0.19384999867709954</v>
      </c>
      <c r="S152" s="5">
        <f t="shared" si="81"/>
        <v>8.6270414410245397</v>
      </c>
      <c r="T152" s="5">
        <f t="shared" si="82"/>
        <v>-791.74537451780407</v>
      </c>
      <c r="U152" s="4">
        <f t="shared" si="83"/>
        <v>1082402.1675097025</v>
      </c>
      <c r="V152" s="4">
        <f t="shared" si="76"/>
        <v>17.466708949677116</v>
      </c>
      <c r="W152" s="4">
        <f t="shared" si="84"/>
        <v>1075571.747352998</v>
      </c>
      <c r="X152" s="4">
        <f t="shared" si="88"/>
        <v>-233.39405550830998</v>
      </c>
      <c r="Y152" s="9">
        <f>SUM($X$6:X152)</f>
        <v>75571.747352998005</v>
      </c>
      <c r="Z152" s="16">
        <f t="shared" si="89"/>
        <v>7.5571747352998001E-2</v>
      </c>
      <c r="AA152" s="16">
        <f t="shared" si="85"/>
        <v>7.6801403223028017E-2</v>
      </c>
      <c r="AB152" s="16">
        <f t="shared" si="86"/>
        <v>-2.1694826184111464E-4</v>
      </c>
      <c r="AC152" s="16">
        <f t="shared" si="87"/>
        <v>-3.030478786648375E-3</v>
      </c>
    </row>
    <row r="153" spans="1:29" x14ac:dyDescent="0.15">
      <c r="A153" s="8">
        <v>41123</v>
      </c>
      <c r="B153" s="4">
        <v>1365</v>
      </c>
      <c r="C153" s="1">
        <v>17.3628</v>
      </c>
      <c r="D153" s="1">
        <v>2.23</v>
      </c>
      <c r="E153" s="1">
        <v>0.45169999999999999</v>
      </c>
      <c r="F153" s="4">
        <f t="shared" si="77"/>
        <v>0.173628</v>
      </c>
      <c r="G153" s="4">
        <f t="shared" si="78"/>
        <v>2.23E-2</v>
      </c>
      <c r="H153" s="4">
        <f t="shared" si="79"/>
        <v>4.5170000000000002E-3</v>
      </c>
      <c r="I153" s="3">
        <f t="shared" si="80"/>
        <v>50.115397177431547</v>
      </c>
      <c r="J153" s="4">
        <f t="shared" si="67"/>
        <v>1082402.1675097025</v>
      </c>
      <c r="K153" s="1">
        <f t="shared" si="68"/>
        <v>1308.93</v>
      </c>
      <c r="L153" s="5">
        <f t="shared" si="69"/>
        <v>0.10684931506849346</v>
      </c>
      <c r="M153" s="5">
        <f t="shared" si="70"/>
        <v>-0.23094180507498585</v>
      </c>
      <c r="N153" s="5">
        <f t="shared" si="71"/>
        <v>10.719710803104819</v>
      </c>
      <c r="O153" s="1">
        <f t="shared" si="72"/>
        <v>0</v>
      </c>
      <c r="P153" s="1">
        <f t="shared" si="73"/>
        <v>1308.93</v>
      </c>
      <c r="Q153" s="5">
        <f t="shared" si="74"/>
        <v>0.10684931506849346</v>
      </c>
      <c r="R153" s="5">
        <f t="shared" si="75"/>
        <v>-0.23094180507498585</v>
      </c>
      <c r="S153" s="5">
        <f t="shared" si="81"/>
        <v>10.719710803104819</v>
      </c>
      <c r="T153" s="5">
        <f t="shared" si="82"/>
        <v>-791.74537451780407</v>
      </c>
      <c r="U153" s="4">
        <f t="shared" si="83"/>
        <v>1082419.6342186523</v>
      </c>
      <c r="V153" s="4">
        <f t="shared" si="76"/>
        <v>17.466990809720169</v>
      </c>
      <c r="W153" s="4">
        <f t="shared" si="84"/>
        <v>1073932.3527741255</v>
      </c>
      <c r="X153" s="4">
        <f t="shared" si="88"/>
        <v>-1639.3945788724814</v>
      </c>
      <c r="Y153" s="9">
        <f>SUM($X$6:X153)</f>
        <v>73932.352774125524</v>
      </c>
      <c r="Z153" s="16">
        <f t="shared" si="89"/>
        <v>7.393235277412552E-2</v>
      </c>
      <c r="AA153" s="16">
        <f t="shared" si="85"/>
        <v>6.8861290777254044E-2</v>
      </c>
      <c r="AB153" s="16">
        <f t="shared" si="86"/>
        <v>-1.5242075509207655E-3</v>
      </c>
      <c r="AC153" s="16">
        <f t="shared" si="87"/>
        <v>-7.3737946681793117E-3</v>
      </c>
    </row>
    <row r="154" spans="1:29" x14ac:dyDescent="0.15">
      <c r="A154" s="8">
        <v>41124</v>
      </c>
      <c r="B154" s="4">
        <v>1390.99</v>
      </c>
      <c r="C154" s="1">
        <v>16.233000000000001</v>
      </c>
      <c r="D154" s="1">
        <v>2.19</v>
      </c>
      <c r="E154" s="1">
        <v>0.4491</v>
      </c>
      <c r="F154" s="4">
        <f t="shared" si="77"/>
        <v>0.16233</v>
      </c>
      <c r="G154" s="4">
        <f t="shared" si="78"/>
        <v>2.1899999999999999E-2</v>
      </c>
      <c r="H154" s="4">
        <f t="shared" si="79"/>
        <v>4.4910000000000002E-3</v>
      </c>
      <c r="I154" s="3">
        <f t="shared" si="80"/>
        <v>47.891801041142116</v>
      </c>
      <c r="J154" s="4">
        <f t="shared" si="67"/>
        <v>1082419.6342186523</v>
      </c>
      <c r="K154" s="1">
        <f t="shared" si="68"/>
        <v>1308.93</v>
      </c>
      <c r="L154" s="5">
        <f t="shared" si="69"/>
        <v>0.1041095890410962</v>
      </c>
      <c r="M154" s="5">
        <f t="shared" si="70"/>
        <v>-0.12427422914945664</v>
      </c>
      <c r="N154" s="5">
        <f t="shared" si="71"/>
        <v>4.5953126962521296</v>
      </c>
      <c r="O154" s="1">
        <f t="shared" si="72"/>
        <v>0</v>
      </c>
      <c r="P154" s="1">
        <f t="shared" si="73"/>
        <v>1308.93</v>
      </c>
      <c r="Q154" s="5">
        <f t="shared" si="74"/>
        <v>0.1041095890410962</v>
      </c>
      <c r="R154" s="5">
        <f t="shared" si="75"/>
        <v>-0.12427422914945664</v>
      </c>
      <c r="S154" s="5">
        <f t="shared" si="81"/>
        <v>4.5953126962521296</v>
      </c>
      <c r="T154" s="5">
        <f t="shared" si="82"/>
        <v>-791.74537451780407</v>
      </c>
      <c r="U154" s="4">
        <f t="shared" si="83"/>
        <v>1082437.1012094619</v>
      </c>
      <c r="V154" s="4">
        <f t="shared" si="76"/>
        <v>17.467272674311591</v>
      </c>
      <c r="W154" s="4">
        <f t="shared" si="84"/>
        <v>1078798.7836377413</v>
      </c>
      <c r="X154" s="4">
        <f t="shared" si="88"/>
        <v>4866.4308636158239</v>
      </c>
      <c r="Y154" s="9">
        <f>SUM($X$6:X154)</f>
        <v>78798.783637741348</v>
      </c>
      <c r="Z154" s="16">
        <f t="shared" si="89"/>
        <v>7.8798783637741343E-2</v>
      </c>
      <c r="AA154" s="16">
        <f t="shared" si="85"/>
        <v>8.9212722973078848E-2</v>
      </c>
      <c r="AB154" s="16">
        <f t="shared" si="86"/>
        <v>4.5314128502089686E-3</v>
      </c>
      <c r="AC154" s="16">
        <f t="shared" si="87"/>
        <v>1.9040293040293046E-2</v>
      </c>
    </row>
    <row r="155" spans="1:29" x14ac:dyDescent="0.15">
      <c r="A155" s="8">
        <v>41127</v>
      </c>
      <c r="B155" s="4">
        <v>1394.23</v>
      </c>
      <c r="C155" s="1">
        <v>15.966200000000001</v>
      </c>
      <c r="D155" s="1">
        <v>2.1800000000000002</v>
      </c>
      <c r="E155" s="1">
        <v>0.4486</v>
      </c>
      <c r="F155" s="4">
        <f t="shared" si="77"/>
        <v>0.159662</v>
      </c>
      <c r="G155" s="4">
        <f t="shared" si="78"/>
        <v>2.18E-2</v>
      </c>
      <c r="H155" s="4">
        <f t="shared" si="79"/>
        <v>4.4860000000000004E-3</v>
      </c>
      <c r="I155" s="3">
        <f t="shared" si="80"/>
        <v>47.249930855286003</v>
      </c>
      <c r="J155" s="4">
        <f t="shared" si="67"/>
        <v>1082437.1012094619</v>
      </c>
      <c r="K155" s="1">
        <f t="shared" si="68"/>
        <v>1308.93</v>
      </c>
      <c r="L155" s="5">
        <f t="shared" si="69"/>
        <v>9.5890410958904423E-2</v>
      </c>
      <c r="M155" s="5">
        <f t="shared" si="70"/>
        <v>-0.10217509237511439</v>
      </c>
      <c r="N155" s="5">
        <f t="shared" si="71"/>
        <v>3.4209907118646856</v>
      </c>
      <c r="O155" s="1">
        <f t="shared" si="72"/>
        <v>0</v>
      </c>
      <c r="P155" s="1">
        <f t="shared" si="73"/>
        <v>1308.93</v>
      </c>
      <c r="Q155" s="5">
        <f t="shared" si="74"/>
        <v>9.5890410958904423E-2</v>
      </c>
      <c r="R155" s="5">
        <f t="shared" si="75"/>
        <v>-0.10217509237511439</v>
      </c>
      <c r="S155" s="5">
        <f t="shared" si="81"/>
        <v>3.4209907118646856</v>
      </c>
      <c r="T155" s="5">
        <f t="shared" si="82"/>
        <v>-791.74537451780407</v>
      </c>
      <c r="U155" s="4">
        <f t="shared" si="83"/>
        <v>1082454.5684821361</v>
      </c>
      <c r="V155" s="4">
        <f t="shared" si="76"/>
        <v>52.402663630354361</v>
      </c>
      <c r="W155" s="4">
        <f t="shared" si="84"/>
        <v>1079746.0149097489</v>
      </c>
      <c r="X155" s="4">
        <f t="shared" si="88"/>
        <v>947.23127200757153</v>
      </c>
      <c r="Y155" s="9">
        <f>SUM($X$6:X155)</f>
        <v>79746.014909748919</v>
      </c>
      <c r="Z155" s="16">
        <f t="shared" si="89"/>
        <v>7.9746014909748919E-2</v>
      </c>
      <c r="AA155" s="16">
        <f t="shared" si="85"/>
        <v>9.1749800322616065E-2</v>
      </c>
      <c r="AB155" s="16">
        <f t="shared" si="86"/>
        <v>8.7804258437655972E-4</v>
      </c>
      <c r="AC155" s="16">
        <f t="shared" si="87"/>
        <v>2.3292762708574536E-3</v>
      </c>
    </row>
    <row r="156" spans="1:29" x14ac:dyDescent="0.15">
      <c r="A156" s="8">
        <v>41128</v>
      </c>
      <c r="B156" s="4">
        <v>1401.35</v>
      </c>
      <c r="C156" s="1">
        <v>16.006</v>
      </c>
      <c r="D156" s="1">
        <v>2.16</v>
      </c>
      <c r="E156" s="1">
        <v>0.4476</v>
      </c>
      <c r="F156" s="4">
        <f t="shared" si="77"/>
        <v>0.16006000000000001</v>
      </c>
      <c r="G156" s="4">
        <f t="shared" si="78"/>
        <v>2.1600000000000001E-2</v>
      </c>
      <c r="H156" s="4">
        <f t="shared" si="79"/>
        <v>4.4759999999999999E-3</v>
      </c>
      <c r="I156" s="3">
        <f t="shared" si="80"/>
        <v>47.568456223223201</v>
      </c>
      <c r="J156" s="4">
        <f t="shared" ref="J156:J219" si="90">U155</f>
        <v>1082454.5684821361</v>
      </c>
      <c r="K156" s="1">
        <f t="shared" ref="K156:K219" si="91">P155</f>
        <v>1308.93</v>
      </c>
      <c r="L156" s="5">
        <f t="shared" ref="L156:L219" si="92">Q155-(A156-A155)/365</f>
        <v>9.3150684931507161E-2</v>
      </c>
      <c r="M156" s="5">
        <f t="shared" ref="M156:M219" si="93">BSM_Put(B156,K156,F156,H156,G156,L156,$G$3)</f>
        <v>-8.234472103609311E-2</v>
      </c>
      <c r="N156" s="5">
        <f t="shared" ref="N156:N219" si="94">BSM_Put(B156,K156,F156,H156,G156,L156,$F$3)</f>
        <v>2.6214275815447241</v>
      </c>
      <c r="O156" s="1">
        <f t="shared" ref="O156:O219" si="95">IF(OR(M156&gt;-0.05,L156&lt;=0.00001),1,0)</f>
        <v>0</v>
      </c>
      <c r="P156" s="1">
        <f t="shared" ref="P156:P219" si="96">IF(O156,B156,K156)</f>
        <v>1308.93</v>
      </c>
      <c r="Q156" s="5">
        <f t="shared" ref="Q156:Q219" si="97">IF(O156,$B$3,L156)</f>
        <v>9.3150684931507161E-2</v>
      </c>
      <c r="R156" s="5">
        <f t="shared" ref="R156:R219" si="98">IF(O156,BSM_Put(B156,P156,F156,H156,G156,Q156,$G$3),M156)</f>
        <v>-8.234472103609311E-2</v>
      </c>
      <c r="S156" s="5">
        <f t="shared" si="81"/>
        <v>2.6214275815447241</v>
      </c>
      <c r="T156" s="5">
        <f t="shared" si="82"/>
        <v>-791.74537451780407</v>
      </c>
      <c r="U156" s="4">
        <f t="shared" si="83"/>
        <v>1082506.9711457666</v>
      </c>
      <c r="V156" s="4">
        <f t="shared" ref="V156:V219" si="99">U156*$H$6*(A156-A155)/365</f>
        <v>17.468400164516613</v>
      </c>
      <c r="W156" s="4">
        <f t="shared" si="84"/>
        <v>1080431.4679834452</v>
      </c>
      <c r="X156" s="4">
        <f t="shared" si="88"/>
        <v>685.45307369623333</v>
      </c>
      <c r="Y156" s="9">
        <f>SUM($X$6:X156)</f>
        <v>80431.467983445153</v>
      </c>
      <c r="Z156" s="16">
        <f t="shared" si="89"/>
        <v>8.0431467983445151E-2</v>
      </c>
      <c r="AA156" s="16">
        <f t="shared" si="85"/>
        <v>9.7325106103080483E-2</v>
      </c>
      <c r="AB156" s="16">
        <f t="shared" si="86"/>
        <v>6.3482806533305639E-4</v>
      </c>
      <c r="AC156" s="16">
        <f t="shared" si="87"/>
        <v>5.1067614382131286E-3</v>
      </c>
    </row>
    <row r="157" spans="1:29" x14ac:dyDescent="0.15">
      <c r="A157" s="8">
        <v>41129</v>
      </c>
      <c r="B157" s="4">
        <v>1402.22</v>
      </c>
      <c r="C157" s="1">
        <v>15.8597</v>
      </c>
      <c r="D157" s="1">
        <v>2.16</v>
      </c>
      <c r="E157" s="1">
        <v>0.4461</v>
      </c>
      <c r="F157" s="4">
        <f t="shared" si="77"/>
        <v>0.15859699999999999</v>
      </c>
      <c r="G157" s="4">
        <f t="shared" si="78"/>
        <v>2.1600000000000001E-2</v>
      </c>
      <c r="H157" s="4">
        <f t="shared" si="79"/>
        <v>4.4609999999999997E-3</v>
      </c>
      <c r="I157" s="3">
        <f t="shared" si="80"/>
        <v>47.194392562819267</v>
      </c>
      <c r="J157" s="4">
        <f t="shared" si="90"/>
        <v>1082506.9711457666</v>
      </c>
      <c r="K157" s="1">
        <f t="shared" si="91"/>
        <v>1308.93</v>
      </c>
      <c r="L157" s="5">
        <f t="shared" si="92"/>
        <v>9.0410958904109898E-2</v>
      </c>
      <c r="M157" s="5">
        <f t="shared" si="93"/>
        <v>-7.5488594672562762E-2</v>
      </c>
      <c r="N157" s="5">
        <f t="shared" si="94"/>
        <v>2.3079175795019085</v>
      </c>
      <c r="O157" s="1">
        <f t="shared" si="95"/>
        <v>0</v>
      </c>
      <c r="P157" s="1">
        <f t="shared" si="96"/>
        <v>1308.93</v>
      </c>
      <c r="Q157" s="5">
        <f t="shared" si="97"/>
        <v>9.0410958904109898E-2</v>
      </c>
      <c r="R157" s="5">
        <f t="shared" si="98"/>
        <v>-7.5488594672562762E-2</v>
      </c>
      <c r="S157" s="5">
        <f t="shared" si="81"/>
        <v>2.3079175795019085</v>
      </c>
      <c r="T157" s="5">
        <f t="shared" si="82"/>
        <v>-791.74537451780407</v>
      </c>
      <c r="U157" s="4">
        <f t="shared" si="83"/>
        <v>1082524.4395459311</v>
      </c>
      <c r="V157" s="4">
        <f t="shared" si="99"/>
        <v>17.468682051850777</v>
      </c>
      <c r="W157" s="4">
        <f t="shared" si="84"/>
        <v>1080697.1564775922</v>
      </c>
      <c r="X157" s="4">
        <f t="shared" si="88"/>
        <v>265.68849414703436</v>
      </c>
      <c r="Y157" s="9">
        <f>SUM($X$6:X157)</f>
        <v>80697.156477592187</v>
      </c>
      <c r="Z157" s="16">
        <f t="shared" si="89"/>
        <v>8.069715647759218E-2</v>
      </c>
      <c r="AA157" s="16">
        <f t="shared" si="85"/>
        <v>9.8006358354345208E-2</v>
      </c>
      <c r="AB157" s="16">
        <f t="shared" si="86"/>
        <v>2.4590962223908989E-4</v>
      </c>
      <c r="AC157" s="16">
        <f t="shared" si="87"/>
        <v>6.2082991401157328E-4</v>
      </c>
    </row>
    <row r="158" spans="1:29" x14ac:dyDescent="0.15">
      <c r="A158" s="8">
        <v>41130</v>
      </c>
      <c r="B158" s="4">
        <v>1402.8</v>
      </c>
      <c r="C158" s="1">
        <v>15.5306</v>
      </c>
      <c r="D158" s="1">
        <v>2.17</v>
      </c>
      <c r="E158" s="1">
        <v>0.44719999999999999</v>
      </c>
      <c r="F158" s="4">
        <f t="shared" si="77"/>
        <v>0.155306</v>
      </c>
      <c r="G158" s="4">
        <f t="shared" si="78"/>
        <v>2.1700000000000001E-2</v>
      </c>
      <c r="H158" s="4">
        <f t="shared" si="79"/>
        <v>4.4720000000000003E-3</v>
      </c>
      <c r="I158" s="3">
        <f t="shared" si="80"/>
        <v>46.314897382021122</v>
      </c>
      <c r="J158" s="4">
        <f t="shared" si="90"/>
        <v>1082524.4395459311</v>
      </c>
      <c r="K158" s="1">
        <f t="shared" si="91"/>
        <v>1308.93</v>
      </c>
      <c r="L158" s="5">
        <f t="shared" si="92"/>
        <v>8.7671232876712635E-2</v>
      </c>
      <c r="M158" s="5">
        <f t="shared" si="93"/>
        <v>-6.7160726912303736E-2</v>
      </c>
      <c r="N158" s="5">
        <f t="shared" si="94"/>
        <v>1.9376383043578127</v>
      </c>
      <c r="O158" s="1">
        <f t="shared" si="95"/>
        <v>0</v>
      </c>
      <c r="P158" s="1">
        <f t="shared" si="96"/>
        <v>1308.93</v>
      </c>
      <c r="Q158" s="5">
        <f t="shared" si="97"/>
        <v>8.7671232876712635E-2</v>
      </c>
      <c r="R158" s="5">
        <f t="shared" si="98"/>
        <v>-6.7160726912303736E-2</v>
      </c>
      <c r="S158" s="5">
        <f t="shared" si="81"/>
        <v>1.9376383043578127</v>
      </c>
      <c r="T158" s="5">
        <f t="shared" si="82"/>
        <v>-791.74537451780407</v>
      </c>
      <c r="U158" s="4">
        <f t="shared" si="83"/>
        <v>1082541.9082279829</v>
      </c>
      <c r="V158" s="4">
        <f t="shared" si="99"/>
        <v>17.468963943733751</v>
      </c>
      <c r="W158" s="4">
        <f t="shared" si="84"/>
        <v>1081007.792063019</v>
      </c>
      <c r="X158" s="4">
        <f t="shared" si="88"/>
        <v>310.63558542681858</v>
      </c>
      <c r="Y158" s="9">
        <f>SUM($X$6:X158)</f>
        <v>81007.792063019006</v>
      </c>
      <c r="Z158" s="16">
        <f t="shared" si="89"/>
        <v>8.1007792063019002E-2</v>
      </c>
      <c r="AA158" s="16">
        <f t="shared" si="85"/>
        <v>9.8460526521854899E-2</v>
      </c>
      <c r="AB158" s="16">
        <f t="shared" si="86"/>
        <v>2.8743999515951302E-4</v>
      </c>
      <c r="AC158" s="16">
        <f t="shared" si="87"/>
        <v>4.1362981557810277E-4</v>
      </c>
    </row>
    <row r="159" spans="1:29" x14ac:dyDescent="0.15">
      <c r="A159" s="8">
        <v>41131</v>
      </c>
      <c r="B159" s="4">
        <v>1405.87</v>
      </c>
      <c r="C159" s="1">
        <v>15.4061</v>
      </c>
      <c r="D159" s="1">
        <v>2.17</v>
      </c>
      <c r="E159" s="1">
        <v>0.44669999999999999</v>
      </c>
      <c r="F159" s="4">
        <f t="shared" si="77"/>
        <v>0.154061</v>
      </c>
      <c r="G159" s="4">
        <f t="shared" si="78"/>
        <v>2.1700000000000001E-2</v>
      </c>
      <c r="H159" s="4">
        <f t="shared" si="79"/>
        <v>4.4669999999999996E-3</v>
      </c>
      <c r="I159" s="3">
        <f t="shared" si="80"/>
        <v>46.070471570218466</v>
      </c>
      <c r="J159" s="4">
        <f t="shared" si="90"/>
        <v>1082541.9082279829</v>
      </c>
      <c r="K159" s="1">
        <f t="shared" si="91"/>
        <v>1308.93</v>
      </c>
      <c r="L159" s="5">
        <f t="shared" si="92"/>
        <v>8.4931506849315372E-2</v>
      </c>
      <c r="M159" s="5">
        <f t="shared" si="93"/>
        <v>-5.6816767352158522E-2</v>
      </c>
      <c r="N159" s="5">
        <f t="shared" si="94"/>
        <v>1.5572686607209802</v>
      </c>
      <c r="O159" s="1">
        <f t="shared" si="95"/>
        <v>0</v>
      </c>
      <c r="P159" s="1">
        <f t="shared" si="96"/>
        <v>1308.93</v>
      </c>
      <c r="Q159" s="5">
        <f t="shared" si="97"/>
        <v>8.4931506849315372E-2</v>
      </c>
      <c r="R159" s="5">
        <f t="shared" si="98"/>
        <v>-5.6816767352158522E-2</v>
      </c>
      <c r="S159" s="5">
        <f t="shared" si="81"/>
        <v>1.5572686607209802</v>
      </c>
      <c r="T159" s="5">
        <f t="shared" si="82"/>
        <v>-791.74537451780407</v>
      </c>
      <c r="U159" s="4">
        <f t="shared" si="83"/>
        <v>1082559.3771919266</v>
      </c>
      <c r="V159" s="4">
        <f t="shared" si="99"/>
        <v>17.469245840165609</v>
      </c>
      <c r="W159" s="4">
        <f t="shared" si="84"/>
        <v>1081326.4169329193</v>
      </c>
      <c r="X159" s="4">
        <f t="shared" si="88"/>
        <v>318.62486990028992</v>
      </c>
      <c r="Y159" s="9">
        <f>SUM($X$6:X159)</f>
        <v>81326.416932919296</v>
      </c>
      <c r="Z159" s="16">
        <f t="shared" si="89"/>
        <v>8.1326416932919296E-2</v>
      </c>
      <c r="AA159" s="16">
        <f t="shared" si="85"/>
        <v>0.10086448561539783</v>
      </c>
      <c r="AB159" s="16">
        <f t="shared" si="86"/>
        <v>2.9474798631397395E-4</v>
      </c>
      <c r="AC159" s="16">
        <f t="shared" si="87"/>
        <v>2.188480182492113E-3</v>
      </c>
    </row>
    <row r="160" spans="1:29" x14ac:dyDescent="0.15">
      <c r="A160" s="8">
        <v>41134</v>
      </c>
      <c r="B160" s="4">
        <v>1404.11</v>
      </c>
      <c r="C160" s="1">
        <v>15.371700000000001</v>
      </c>
      <c r="D160" s="1">
        <v>2.17</v>
      </c>
      <c r="E160" s="1">
        <v>0.44419999999999998</v>
      </c>
      <c r="F160" s="4">
        <f t="shared" si="77"/>
        <v>0.15371699999999999</v>
      </c>
      <c r="G160" s="4">
        <f t="shared" si="78"/>
        <v>2.1700000000000001E-2</v>
      </c>
      <c r="H160" s="4">
        <f t="shared" si="79"/>
        <v>4.4419999999999998E-3</v>
      </c>
      <c r="I160" s="3">
        <f t="shared" si="80"/>
        <v>45.921814439934124</v>
      </c>
      <c r="J160" s="4">
        <f t="shared" si="90"/>
        <v>1082559.3771919266</v>
      </c>
      <c r="K160" s="1">
        <f t="shared" si="91"/>
        <v>1308.93</v>
      </c>
      <c r="L160" s="5">
        <f t="shared" si="92"/>
        <v>7.6712328767123597E-2</v>
      </c>
      <c r="M160" s="5">
        <f t="shared" si="93"/>
        <v>-5.0533063715709703E-2</v>
      </c>
      <c r="N160" s="5">
        <f t="shared" si="94"/>
        <v>1.2852638408348633</v>
      </c>
      <c r="O160" s="1">
        <f t="shared" si="95"/>
        <v>0</v>
      </c>
      <c r="P160" s="1">
        <f t="shared" si="96"/>
        <v>1308.93</v>
      </c>
      <c r="Q160" s="5">
        <f t="shared" si="97"/>
        <v>7.6712328767123597E-2</v>
      </c>
      <c r="R160" s="5">
        <f t="shared" si="98"/>
        <v>-5.0533063715709703E-2</v>
      </c>
      <c r="S160" s="5">
        <f t="shared" si="81"/>
        <v>1.2852638408348633</v>
      </c>
      <c r="T160" s="5">
        <f t="shared" si="82"/>
        <v>-791.74537451780407</v>
      </c>
      <c r="U160" s="4">
        <f t="shared" si="83"/>
        <v>1082576.8464377667</v>
      </c>
      <c r="V160" s="4">
        <f t="shared" si="99"/>
        <v>52.408583223439273</v>
      </c>
      <c r="W160" s="4">
        <f t="shared" si="84"/>
        <v>1081559.2447367506</v>
      </c>
      <c r="X160" s="4">
        <f t="shared" si="88"/>
        <v>232.82780383131467</v>
      </c>
      <c r="Y160" s="9">
        <f>SUM($X$6:X160)</f>
        <v>81559.24473675061</v>
      </c>
      <c r="Z160" s="16">
        <f t="shared" si="89"/>
        <v>8.1559244736750608E-2</v>
      </c>
      <c r="AA160" s="16">
        <f t="shared" si="85"/>
        <v>9.9486320141575144E-2</v>
      </c>
      <c r="AB160" s="16">
        <f t="shared" si="86"/>
        <v>2.1531685547062545E-4</v>
      </c>
      <c r="AC160" s="16">
        <f t="shared" si="87"/>
        <v>-1.2518938450923564E-3</v>
      </c>
    </row>
    <row r="161" spans="1:29" x14ac:dyDescent="0.15">
      <c r="A161" s="8">
        <v>41135</v>
      </c>
      <c r="B161" s="4">
        <v>1403.93</v>
      </c>
      <c r="C161" s="1">
        <v>15.829000000000001</v>
      </c>
      <c r="D161" s="1">
        <v>2.17</v>
      </c>
      <c r="E161" s="1">
        <v>0.44619999999999999</v>
      </c>
      <c r="F161" s="4">
        <f t="shared" si="77"/>
        <v>0.15829000000000001</v>
      </c>
      <c r="G161" s="4">
        <f t="shared" si="78"/>
        <v>2.1700000000000001E-2</v>
      </c>
      <c r="H161" s="4">
        <f t="shared" si="79"/>
        <v>4.4619999999999998E-3</v>
      </c>
      <c r="I161" s="3">
        <f t="shared" si="80"/>
        <v>47.183983541282821</v>
      </c>
      <c r="J161" s="4">
        <f t="shared" si="90"/>
        <v>1082576.8464377667</v>
      </c>
      <c r="K161" s="1">
        <f t="shared" si="91"/>
        <v>1308.93</v>
      </c>
      <c r="L161" s="5">
        <f t="shared" si="92"/>
        <v>7.3972602739726334E-2</v>
      </c>
      <c r="M161" s="5">
        <f t="shared" si="93"/>
        <v>-5.2597828309036011E-2</v>
      </c>
      <c r="N161" s="5">
        <f t="shared" si="94"/>
        <v>1.3617287837583989</v>
      </c>
      <c r="O161" s="1">
        <f t="shared" si="95"/>
        <v>0</v>
      </c>
      <c r="P161" s="1">
        <f t="shared" si="96"/>
        <v>1308.93</v>
      </c>
      <c r="Q161" s="5">
        <f t="shared" si="97"/>
        <v>7.3972602739726334E-2</v>
      </c>
      <c r="R161" s="5">
        <f t="shared" si="98"/>
        <v>-5.2597828309036011E-2</v>
      </c>
      <c r="S161" s="5">
        <f t="shared" si="81"/>
        <v>1.3617287837583989</v>
      </c>
      <c r="T161" s="5">
        <f t="shared" si="82"/>
        <v>-791.74537451780407</v>
      </c>
      <c r="U161" s="4">
        <f t="shared" si="83"/>
        <v>1082629.25502099</v>
      </c>
      <c r="V161" s="4">
        <f t="shared" si="99"/>
        <v>17.470373457735974</v>
      </c>
      <c r="W161" s="4">
        <f t="shared" si="84"/>
        <v>1081551.1125551015</v>
      </c>
      <c r="X161" s="4">
        <f t="shared" si="88"/>
        <v>-8.1321816490963101</v>
      </c>
      <c r="Y161" s="9">
        <f>SUM($X$6:X161)</f>
        <v>81551.112555101514</v>
      </c>
      <c r="Z161" s="16">
        <f t="shared" si="89"/>
        <v>8.1551112555101515E-2</v>
      </c>
      <c r="AA161" s="16">
        <f t="shared" si="85"/>
        <v>9.9345371399934324E-2</v>
      </c>
      <c r="AB161" s="16">
        <f t="shared" si="86"/>
        <v>-7.5189423868090252E-6</v>
      </c>
      <c r="AC161" s="16">
        <f t="shared" si="87"/>
        <v>-1.2819508443059042E-4</v>
      </c>
    </row>
    <row r="162" spans="1:29" x14ac:dyDescent="0.15">
      <c r="A162" s="8">
        <v>41136</v>
      </c>
      <c r="B162" s="4">
        <v>1405.53</v>
      </c>
      <c r="C162" s="1">
        <v>15.994299999999999</v>
      </c>
      <c r="D162" s="1">
        <v>2.17</v>
      </c>
      <c r="E162" s="1">
        <v>0.44390000000000002</v>
      </c>
      <c r="F162" s="4">
        <f t="shared" si="77"/>
        <v>0.159943</v>
      </c>
      <c r="G162" s="4">
        <f t="shared" si="78"/>
        <v>2.1700000000000001E-2</v>
      </c>
      <c r="H162" s="4">
        <f t="shared" si="79"/>
        <v>4.4390000000000002E-3</v>
      </c>
      <c r="I162" s="3">
        <f t="shared" si="80"/>
        <v>47.702342865041167</v>
      </c>
      <c r="J162" s="4">
        <f t="shared" si="90"/>
        <v>1082629.25502099</v>
      </c>
      <c r="K162" s="1">
        <f t="shared" si="91"/>
        <v>1308.93</v>
      </c>
      <c r="L162" s="5">
        <f t="shared" si="92"/>
        <v>7.1232876712329071E-2</v>
      </c>
      <c r="M162" s="5">
        <f t="shared" si="93"/>
        <v>-4.8325942133361069E-2</v>
      </c>
      <c r="N162" s="5">
        <f t="shared" si="94"/>
        <v>1.2247782834626388</v>
      </c>
      <c r="O162" s="1">
        <f t="shared" si="95"/>
        <v>1</v>
      </c>
      <c r="P162" s="1">
        <f t="shared" si="96"/>
        <v>1405.53</v>
      </c>
      <c r="Q162" s="5">
        <f t="shared" si="97"/>
        <v>0.24931506849315069</v>
      </c>
      <c r="R162" s="5">
        <f t="shared" si="98"/>
        <v>-0.50283923450511359</v>
      </c>
      <c r="S162" s="5">
        <f t="shared" si="81"/>
        <v>47.702342865041167</v>
      </c>
      <c r="T162" s="5">
        <f t="shared" si="82"/>
        <v>-769.57414105728708</v>
      </c>
      <c r="U162" s="4">
        <f t="shared" si="83"/>
        <v>1118387.5023904908</v>
      </c>
      <c r="V162" s="4">
        <f t="shared" si="99"/>
        <v>18.047403805698604</v>
      </c>
      <c r="W162" s="4">
        <f t="shared" si="84"/>
        <v>1081677.0128537065</v>
      </c>
      <c r="X162" s="4">
        <f t="shared" si="88"/>
        <v>125.90029860497452</v>
      </c>
      <c r="Y162" s="9">
        <f>SUM($X$6:X162)</f>
        <v>81677.012853706488</v>
      </c>
      <c r="Z162" s="16">
        <f t="shared" si="89"/>
        <v>8.1677012853706488E-2</v>
      </c>
      <c r="AA162" s="16">
        <f t="shared" si="85"/>
        <v>0.10059824910340942</v>
      </c>
      <c r="AB162" s="16">
        <f t="shared" si="86"/>
        <v>1.1640716480568579E-4</v>
      </c>
      <c r="AC162" s="16">
        <f t="shared" si="87"/>
        <v>1.1396579601546438E-3</v>
      </c>
    </row>
    <row r="163" spans="1:29" x14ac:dyDescent="0.15">
      <c r="A163" s="8">
        <v>41137</v>
      </c>
      <c r="B163" s="4">
        <v>1415.51</v>
      </c>
      <c r="C163" s="1">
        <v>15.817</v>
      </c>
      <c r="D163" s="1">
        <v>2.16</v>
      </c>
      <c r="E163" s="1">
        <v>0.44309999999999999</v>
      </c>
      <c r="F163" s="4">
        <f t="shared" si="77"/>
        <v>0.15817000000000001</v>
      </c>
      <c r="G163" s="4">
        <f t="shared" si="78"/>
        <v>2.1600000000000001E-2</v>
      </c>
      <c r="H163" s="4">
        <f t="shared" si="79"/>
        <v>4.431E-3</v>
      </c>
      <c r="I163" s="3">
        <f t="shared" si="80"/>
        <v>47.527634725431803</v>
      </c>
      <c r="J163" s="4">
        <f t="shared" si="90"/>
        <v>1118387.5023904908</v>
      </c>
      <c r="K163" s="1">
        <f t="shared" si="91"/>
        <v>1405.53</v>
      </c>
      <c r="L163" s="5">
        <f t="shared" si="92"/>
        <v>0.24657534246575344</v>
      </c>
      <c r="M163" s="5">
        <f t="shared" si="93"/>
        <v>-0.46743007781086754</v>
      </c>
      <c r="N163" s="5">
        <f t="shared" si="94"/>
        <v>42.074286300531355</v>
      </c>
      <c r="O163" s="1">
        <f t="shared" si="95"/>
        <v>0</v>
      </c>
      <c r="P163" s="1">
        <f t="shared" si="96"/>
        <v>1405.53</v>
      </c>
      <c r="Q163" s="5">
        <f t="shared" si="97"/>
        <v>0.24657534246575344</v>
      </c>
      <c r="R163" s="5">
        <f t="shared" si="98"/>
        <v>-0.46743007781086754</v>
      </c>
      <c r="S163" s="5">
        <f t="shared" si="81"/>
        <v>42.074286300531355</v>
      </c>
      <c r="T163" s="5">
        <f t="shared" si="82"/>
        <v>-769.57414105728708</v>
      </c>
      <c r="U163" s="4">
        <f t="shared" si="83"/>
        <v>1118405.5497942965</v>
      </c>
      <c r="V163" s="4">
        <f t="shared" si="99"/>
        <v>18.047695036406591</v>
      </c>
      <c r="W163" s="4">
        <f t="shared" si="84"/>
        <v>1086026.2670539666</v>
      </c>
      <c r="X163" s="4">
        <f t="shared" si="88"/>
        <v>4349.2542002601549</v>
      </c>
      <c r="Y163" s="9">
        <f>SUM($X$6:X163)</f>
        <v>86026.267053966643</v>
      </c>
      <c r="Z163" s="16">
        <f t="shared" si="89"/>
        <v>8.602626705396664E-2</v>
      </c>
      <c r="AA163" s="16">
        <f t="shared" si="85"/>
        <v>0.1084130737788358</v>
      </c>
      <c r="AB163" s="16">
        <f t="shared" si="86"/>
        <v>4.0208436978667475E-3</v>
      </c>
      <c r="AC163" s="16">
        <f t="shared" si="87"/>
        <v>7.1005243573598704E-3</v>
      </c>
    </row>
    <row r="164" spans="1:29" x14ac:dyDescent="0.15">
      <c r="A164" s="8">
        <v>41138</v>
      </c>
      <c r="B164" s="4">
        <v>1418.16</v>
      </c>
      <c r="C164" s="1">
        <v>15.3873</v>
      </c>
      <c r="D164" s="1">
        <v>2.16</v>
      </c>
      <c r="E164" s="1">
        <v>0.44419999999999998</v>
      </c>
      <c r="F164" s="4">
        <f t="shared" si="77"/>
        <v>0.15387300000000001</v>
      </c>
      <c r="G164" s="4">
        <f t="shared" si="78"/>
        <v>2.1600000000000001E-2</v>
      </c>
      <c r="H164" s="4">
        <f t="shared" si="79"/>
        <v>4.4419999999999998E-3</v>
      </c>
      <c r="I164" s="3">
        <f t="shared" si="80"/>
        <v>46.407320463783783</v>
      </c>
      <c r="J164" s="4">
        <f t="shared" si="90"/>
        <v>1118405.5497942965</v>
      </c>
      <c r="K164" s="1">
        <f t="shared" si="91"/>
        <v>1405.53</v>
      </c>
      <c r="L164" s="5">
        <f t="shared" si="92"/>
        <v>0.24383561643835619</v>
      </c>
      <c r="M164" s="5">
        <f t="shared" si="93"/>
        <v>-0.45749244239536274</v>
      </c>
      <c r="N164" s="5">
        <f t="shared" si="94"/>
        <v>39.382985955242368</v>
      </c>
      <c r="O164" s="1">
        <f t="shared" si="95"/>
        <v>0</v>
      </c>
      <c r="P164" s="1">
        <f t="shared" si="96"/>
        <v>1405.53</v>
      </c>
      <c r="Q164" s="5">
        <f t="shared" si="97"/>
        <v>0.24383561643835619</v>
      </c>
      <c r="R164" s="5">
        <f t="shared" si="98"/>
        <v>-0.45749244239536274</v>
      </c>
      <c r="S164" s="5">
        <f t="shared" si="81"/>
        <v>39.382985955242368</v>
      </c>
      <c r="T164" s="5">
        <f t="shared" si="82"/>
        <v>-769.57414105728708</v>
      </c>
      <c r="U164" s="4">
        <f t="shared" si="83"/>
        <v>1118423.597489333</v>
      </c>
      <c r="V164" s="4">
        <f t="shared" si="99"/>
        <v>18.047986271814167</v>
      </c>
      <c r="W164" s="4">
        <f t="shared" si="84"/>
        <v>1088115.4699005561</v>
      </c>
      <c r="X164" s="4">
        <f t="shared" si="88"/>
        <v>2089.2028465894982</v>
      </c>
      <c r="Y164" s="9">
        <f>SUM($X$6:X164)</f>
        <v>88115.469900556142</v>
      </c>
      <c r="Z164" s="16">
        <f t="shared" si="89"/>
        <v>8.8115469900556145E-2</v>
      </c>
      <c r="AA164" s="16">
        <f t="shared" si="85"/>
        <v>0.11048815247521662</v>
      </c>
      <c r="AB164" s="16">
        <f t="shared" si="86"/>
        <v>1.9237129984496792E-3</v>
      </c>
      <c r="AC164" s="16">
        <f t="shared" si="87"/>
        <v>1.8721167635693786E-3</v>
      </c>
    </row>
    <row r="165" spans="1:29" x14ac:dyDescent="0.15">
      <c r="A165" s="8">
        <v>41141</v>
      </c>
      <c r="B165" s="4">
        <v>1418.13</v>
      </c>
      <c r="C165" s="1">
        <v>15.6882</v>
      </c>
      <c r="D165" s="1">
        <v>2.16</v>
      </c>
      <c r="E165" s="1">
        <v>0.443</v>
      </c>
      <c r="F165" s="4">
        <f t="shared" si="77"/>
        <v>0.15688199999999999</v>
      </c>
      <c r="G165" s="4">
        <f t="shared" si="78"/>
        <v>2.1600000000000001E-2</v>
      </c>
      <c r="H165" s="4">
        <f t="shared" si="79"/>
        <v>4.4299999999999999E-3</v>
      </c>
      <c r="I165" s="3">
        <f t="shared" si="80"/>
        <v>47.253944989870824</v>
      </c>
      <c r="J165" s="4">
        <f t="shared" si="90"/>
        <v>1118423.597489333</v>
      </c>
      <c r="K165" s="1">
        <f t="shared" si="91"/>
        <v>1405.53</v>
      </c>
      <c r="L165" s="5">
        <f t="shared" si="92"/>
        <v>0.23561643835616441</v>
      </c>
      <c r="M165" s="5">
        <f t="shared" si="93"/>
        <v>-0.45698830122731782</v>
      </c>
      <c r="N165" s="5">
        <f t="shared" si="94"/>
        <v>39.403275449989636</v>
      </c>
      <c r="O165" s="1">
        <f t="shared" si="95"/>
        <v>0</v>
      </c>
      <c r="P165" s="1">
        <f t="shared" si="96"/>
        <v>1405.53</v>
      </c>
      <c r="Q165" s="5">
        <f t="shared" si="97"/>
        <v>0.23561643835616441</v>
      </c>
      <c r="R165" s="5">
        <f t="shared" si="98"/>
        <v>-0.45698830122731782</v>
      </c>
      <c r="S165" s="5">
        <f t="shared" si="81"/>
        <v>39.403275449989636</v>
      </c>
      <c r="T165" s="5">
        <f t="shared" si="82"/>
        <v>-769.57414105728708</v>
      </c>
      <c r="U165" s="4">
        <f t="shared" si="83"/>
        <v>1118441.6454756048</v>
      </c>
      <c r="V165" s="4">
        <f t="shared" si="99"/>
        <v>54.144832535764209</v>
      </c>
      <c r="W165" s="4">
        <f t="shared" si="84"/>
        <v>1088117.9036163352</v>
      </c>
      <c r="X165" s="4">
        <f t="shared" si="88"/>
        <v>2.4337157791014761</v>
      </c>
      <c r="Y165" s="9">
        <f>SUM($X$6:X165)</f>
        <v>88117.903616335243</v>
      </c>
      <c r="Z165" s="16">
        <f t="shared" si="89"/>
        <v>8.8117903616335244E-2</v>
      </c>
      <c r="AA165" s="16">
        <f t="shared" si="85"/>
        <v>0.11046466101827648</v>
      </c>
      <c r="AB165" s="16">
        <f t="shared" si="86"/>
        <v>2.2366337456114797E-6</v>
      </c>
      <c r="AC165" s="16">
        <f t="shared" si="87"/>
        <v>-2.11541716026208E-5</v>
      </c>
    </row>
    <row r="166" spans="1:29" x14ac:dyDescent="0.15">
      <c r="A166" s="8">
        <v>41142</v>
      </c>
      <c r="B166" s="4">
        <v>1413.17</v>
      </c>
      <c r="C166" s="1">
        <v>16.026299999999999</v>
      </c>
      <c r="D166" s="1">
        <v>2.16</v>
      </c>
      <c r="E166" s="1">
        <v>0.44309999999999999</v>
      </c>
      <c r="F166" s="4">
        <f t="shared" si="77"/>
        <v>0.16026299999999999</v>
      </c>
      <c r="G166" s="4">
        <f t="shared" si="78"/>
        <v>2.1600000000000001E-2</v>
      </c>
      <c r="H166" s="4">
        <f t="shared" si="79"/>
        <v>4.431E-3</v>
      </c>
      <c r="I166" s="3">
        <f t="shared" si="80"/>
        <v>48.035023499553759</v>
      </c>
      <c r="J166" s="4">
        <f t="shared" si="90"/>
        <v>1118441.6454756048</v>
      </c>
      <c r="K166" s="1">
        <f t="shared" si="91"/>
        <v>1405.53</v>
      </c>
      <c r="L166" s="5">
        <f t="shared" si="92"/>
        <v>0.23287671232876717</v>
      </c>
      <c r="M166" s="5">
        <f t="shared" si="93"/>
        <v>-0.47485215038138506</v>
      </c>
      <c r="N166" s="5">
        <f t="shared" si="94"/>
        <v>42.348855571543702</v>
      </c>
      <c r="O166" s="1">
        <f t="shared" si="95"/>
        <v>0</v>
      </c>
      <c r="P166" s="1">
        <f t="shared" si="96"/>
        <v>1405.53</v>
      </c>
      <c r="Q166" s="5">
        <f t="shared" si="97"/>
        <v>0.23287671232876717</v>
      </c>
      <c r="R166" s="5">
        <f t="shared" si="98"/>
        <v>-0.47485215038138506</v>
      </c>
      <c r="S166" s="5">
        <f t="shared" si="81"/>
        <v>42.348855571543702</v>
      </c>
      <c r="T166" s="5">
        <f t="shared" si="82"/>
        <v>-769.57414105728708</v>
      </c>
      <c r="U166" s="4">
        <f t="shared" si="83"/>
        <v>1118495.7903081407</v>
      </c>
      <c r="V166" s="4">
        <f t="shared" si="99"/>
        <v>18.049151246342323</v>
      </c>
      <c r="W166" s="4">
        <f t="shared" si="84"/>
        <v>1085905.2061569109</v>
      </c>
      <c r="X166" s="4">
        <f t="shared" si="88"/>
        <v>-2212.6974594243802</v>
      </c>
      <c r="Y166" s="9">
        <f>SUM($X$6:X166)</f>
        <v>85905.206156910863</v>
      </c>
      <c r="Z166" s="16">
        <f t="shared" si="89"/>
        <v>8.5905206156910857E-2</v>
      </c>
      <c r="AA166" s="16">
        <f t="shared" si="85"/>
        <v>0.10658074013750343</v>
      </c>
      <c r="AB166" s="16">
        <f t="shared" si="86"/>
        <v>-2.0335089166996796E-3</v>
      </c>
      <c r="AC166" s="16">
        <f t="shared" si="87"/>
        <v>-3.4975636930323988E-3</v>
      </c>
    </row>
    <row r="167" spans="1:29" x14ac:dyDescent="0.15">
      <c r="A167" s="8">
        <v>41143</v>
      </c>
      <c r="B167" s="4">
        <v>1413.49</v>
      </c>
      <c r="C167" s="1">
        <v>16.189</v>
      </c>
      <c r="D167" s="1">
        <v>2.15</v>
      </c>
      <c r="E167" s="1">
        <v>0.44009999999999999</v>
      </c>
      <c r="F167" s="4">
        <f t="shared" si="77"/>
        <v>0.16189000000000001</v>
      </c>
      <c r="G167" s="4">
        <f t="shared" si="78"/>
        <v>2.1499999999999998E-2</v>
      </c>
      <c r="H167" s="4">
        <f t="shared" si="79"/>
        <v>4.4009999999999995E-3</v>
      </c>
      <c r="I167" s="3">
        <f t="shared" si="80"/>
        <v>48.489479257145504</v>
      </c>
      <c r="J167" s="4">
        <f t="shared" si="90"/>
        <v>1118495.7903081407</v>
      </c>
      <c r="K167" s="1">
        <f t="shared" si="91"/>
        <v>1405.53</v>
      </c>
      <c r="L167" s="5">
        <f t="shared" si="92"/>
        <v>0.23013698630136992</v>
      </c>
      <c r="M167" s="5">
        <f t="shared" si="93"/>
        <v>-0.47337984046380854</v>
      </c>
      <c r="N167" s="5">
        <f t="shared" si="94"/>
        <v>42.337220799692354</v>
      </c>
      <c r="O167" s="1">
        <f t="shared" si="95"/>
        <v>0</v>
      </c>
      <c r="P167" s="1">
        <f t="shared" si="96"/>
        <v>1405.53</v>
      </c>
      <c r="Q167" s="5">
        <f t="shared" si="97"/>
        <v>0.23013698630136992</v>
      </c>
      <c r="R167" s="5">
        <f t="shared" si="98"/>
        <v>-0.47337984046380854</v>
      </c>
      <c r="S167" s="5">
        <f t="shared" si="81"/>
        <v>42.337220799692354</v>
      </c>
      <c r="T167" s="5">
        <f t="shared" si="82"/>
        <v>-769.57414105728708</v>
      </c>
      <c r="U167" s="4">
        <f t="shared" si="83"/>
        <v>1118513.8394593871</v>
      </c>
      <c r="V167" s="4">
        <f t="shared" si="99"/>
        <v>18.049442505248738</v>
      </c>
      <c r="W167" s="4">
        <f t="shared" si="84"/>
        <v>1085932.2091277111</v>
      </c>
      <c r="X167" s="4">
        <f t="shared" si="88"/>
        <v>27.002970800269395</v>
      </c>
      <c r="Y167" s="9">
        <f>SUM($X$6:X167)</f>
        <v>85932.209127711132</v>
      </c>
      <c r="Z167" s="16">
        <f t="shared" si="89"/>
        <v>8.5932209127711129E-2</v>
      </c>
      <c r="AA167" s="16">
        <f t="shared" si="85"/>
        <v>0.10683131567819841</v>
      </c>
      <c r="AB167" s="16">
        <f t="shared" si="86"/>
        <v>2.4866784547276153E-5</v>
      </c>
      <c r="AC167" s="16">
        <f t="shared" si="87"/>
        <v>2.2644126325915235E-4</v>
      </c>
    </row>
    <row r="168" spans="1:29" x14ac:dyDescent="0.15">
      <c r="A168" s="8">
        <v>41144</v>
      </c>
      <c r="B168" s="4">
        <v>1402.08</v>
      </c>
      <c r="C168" s="1">
        <v>16.800799999999999</v>
      </c>
      <c r="D168" s="1">
        <v>2.1800000000000002</v>
      </c>
      <c r="E168" s="1">
        <v>0.43630000000000002</v>
      </c>
      <c r="F168" s="4">
        <f t="shared" si="77"/>
        <v>0.16800799999999999</v>
      </c>
      <c r="G168" s="4">
        <f t="shared" si="78"/>
        <v>2.18E-2</v>
      </c>
      <c r="H168" s="4">
        <f t="shared" si="79"/>
        <v>4.3630000000000006E-3</v>
      </c>
      <c r="I168" s="3">
        <f t="shared" si="80"/>
        <v>49.857203150086576</v>
      </c>
      <c r="J168" s="4">
        <f t="shared" si="90"/>
        <v>1118513.8394593871</v>
      </c>
      <c r="K168" s="1">
        <f t="shared" si="91"/>
        <v>1405.53</v>
      </c>
      <c r="L168" s="5">
        <f t="shared" si="92"/>
        <v>0.22739726027397267</v>
      </c>
      <c r="M168" s="5">
        <f t="shared" si="93"/>
        <v>-0.51344528847368431</v>
      </c>
      <c r="N168" s="5">
        <f t="shared" si="94"/>
        <v>49.361550845970704</v>
      </c>
      <c r="O168" s="1">
        <f t="shared" si="95"/>
        <v>0</v>
      </c>
      <c r="P168" s="1">
        <f t="shared" si="96"/>
        <v>1405.53</v>
      </c>
      <c r="Q168" s="5">
        <f t="shared" si="97"/>
        <v>0.22739726027397267</v>
      </c>
      <c r="R168" s="5">
        <f t="shared" si="98"/>
        <v>-0.51344528847368431</v>
      </c>
      <c r="S168" s="5">
        <f t="shared" si="81"/>
        <v>49.361550845970704</v>
      </c>
      <c r="T168" s="5">
        <f t="shared" si="82"/>
        <v>-769.57414105728708</v>
      </c>
      <c r="U168" s="4">
        <f t="shared" si="83"/>
        <v>1118531.8889018924</v>
      </c>
      <c r="V168" s="4">
        <f t="shared" si="99"/>
        <v>18.049733768855194</v>
      </c>
      <c r="W168" s="4">
        <f t="shared" si="84"/>
        <v>1080544.5158083488</v>
      </c>
      <c r="X168" s="4">
        <f t="shared" si="88"/>
        <v>-5387.6933193623554</v>
      </c>
      <c r="Y168" s="9">
        <f>SUM($X$6:X168)</f>
        <v>80544.515808348777</v>
      </c>
      <c r="Z168" s="16">
        <f t="shared" si="89"/>
        <v>8.0544515808348774E-2</v>
      </c>
      <c r="AA168" s="16">
        <f t="shared" si="85"/>
        <v>9.789673155529105E-2</v>
      </c>
      <c r="AB168" s="16">
        <f t="shared" si="86"/>
        <v>-4.961353272401864E-3</v>
      </c>
      <c r="AC168" s="16">
        <f t="shared" si="87"/>
        <v>-8.0722184097518079E-3</v>
      </c>
    </row>
    <row r="169" spans="1:29" x14ac:dyDescent="0.15">
      <c r="A169" s="8">
        <v>41145</v>
      </c>
      <c r="B169" s="4">
        <v>1411.13</v>
      </c>
      <c r="C169" s="1">
        <v>16.2621</v>
      </c>
      <c r="D169" s="1">
        <v>2.17</v>
      </c>
      <c r="E169" s="1">
        <v>0.43430000000000002</v>
      </c>
      <c r="F169" s="4">
        <f t="shared" si="77"/>
        <v>0.16262100000000002</v>
      </c>
      <c r="G169" s="4">
        <f t="shared" si="78"/>
        <v>2.1700000000000001E-2</v>
      </c>
      <c r="H169" s="4">
        <f t="shared" si="79"/>
        <v>4.3430000000000005E-3</v>
      </c>
      <c r="I169" s="3">
        <f t="shared" si="80"/>
        <v>48.65917280536393</v>
      </c>
      <c r="J169" s="4">
        <f t="shared" si="90"/>
        <v>1118531.8889018924</v>
      </c>
      <c r="K169" s="1">
        <f t="shared" si="91"/>
        <v>1405.53</v>
      </c>
      <c r="L169" s="5">
        <f t="shared" si="92"/>
        <v>0.22465753424657542</v>
      </c>
      <c r="M169" s="5">
        <f t="shared" si="93"/>
        <v>-0.48187577036129642</v>
      </c>
      <c r="N169" s="5">
        <f t="shared" si="94"/>
        <v>43.115062935780742</v>
      </c>
      <c r="O169" s="1">
        <f t="shared" si="95"/>
        <v>0</v>
      </c>
      <c r="P169" s="1">
        <f t="shared" si="96"/>
        <v>1405.53</v>
      </c>
      <c r="Q169" s="5">
        <f t="shared" si="97"/>
        <v>0.22465753424657542</v>
      </c>
      <c r="R169" s="5">
        <f t="shared" si="98"/>
        <v>-0.48187577036129642</v>
      </c>
      <c r="S169" s="5">
        <f t="shared" si="81"/>
        <v>43.115062935780742</v>
      </c>
      <c r="T169" s="5">
        <f t="shared" si="82"/>
        <v>-769.57414105728708</v>
      </c>
      <c r="U169" s="4">
        <f t="shared" si="83"/>
        <v>1118549.9386356613</v>
      </c>
      <c r="V169" s="4">
        <f t="shared" si="99"/>
        <v>18.050025037161767</v>
      </c>
      <c r="W169" s="4">
        <f t="shared" si="84"/>
        <v>1085369.701110227</v>
      </c>
      <c r="X169" s="4">
        <f t="shared" si="88"/>
        <v>4825.1853018782567</v>
      </c>
      <c r="Y169" s="9">
        <f>SUM($X$6:X169)</f>
        <v>85369.701110227033</v>
      </c>
      <c r="Z169" s="16">
        <f t="shared" si="89"/>
        <v>8.5369701110227028E-2</v>
      </c>
      <c r="AA169" s="16">
        <f t="shared" si="85"/>
        <v>0.10498332106557262</v>
      </c>
      <c r="AB169" s="16">
        <f t="shared" si="86"/>
        <v>4.4655127403692065E-3</v>
      </c>
      <c r="AC169" s="16">
        <f t="shared" si="87"/>
        <v>6.454695880406384E-3</v>
      </c>
    </row>
    <row r="170" spans="1:29" x14ac:dyDescent="0.15">
      <c r="A170" s="8">
        <v>41148</v>
      </c>
      <c r="B170" s="4">
        <v>1410.44</v>
      </c>
      <c r="C170" s="1">
        <v>16.558399999999999</v>
      </c>
      <c r="D170" s="1">
        <v>2.17</v>
      </c>
      <c r="E170" s="1">
        <v>0.43430000000000002</v>
      </c>
      <c r="F170" s="4">
        <f t="shared" si="77"/>
        <v>0.16558399999999998</v>
      </c>
      <c r="G170" s="4">
        <f t="shared" si="78"/>
        <v>2.1700000000000001E-2</v>
      </c>
      <c r="H170" s="4">
        <f t="shared" si="79"/>
        <v>4.3430000000000005E-3</v>
      </c>
      <c r="I170" s="3">
        <f t="shared" si="80"/>
        <v>49.46330397235549</v>
      </c>
      <c r="J170" s="4">
        <f t="shared" si="90"/>
        <v>1118549.9386356613</v>
      </c>
      <c r="K170" s="1">
        <f t="shared" si="91"/>
        <v>1405.53</v>
      </c>
      <c r="L170" s="5">
        <f t="shared" si="92"/>
        <v>0.21643835616438364</v>
      </c>
      <c r="M170" s="5">
        <f t="shared" si="93"/>
        <v>-0.48375477213292145</v>
      </c>
      <c r="N170" s="5">
        <f t="shared" si="94"/>
        <v>43.327583704246557</v>
      </c>
      <c r="O170" s="1">
        <f t="shared" si="95"/>
        <v>0</v>
      </c>
      <c r="P170" s="1">
        <f t="shared" si="96"/>
        <v>1405.53</v>
      </c>
      <c r="Q170" s="5">
        <f t="shared" si="97"/>
        <v>0.21643835616438364</v>
      </c>
      <c r="R170" s="5">
        <f t="shared" si="98"/>
        <v>-0.48375477213292145</v>
      </c>
      <c r="S170" s="5">
        <f t="shared" si="81"/>
        <v>43.327583704246557</v>
      </c>
      <c r="T170" s="5">
        <f t="shared" si="82"/>
        <v>-769.57414105728708</v>
      </c>
      <c r="U170" s="4">
        <f t="shared" si="83"/>
        <v>1118567.9886606985</v>
      </c>
      <c r="V170" s="4">
        <f t="shared" si="99"/>
        <v>54.150948930505585</v>
      </c>
      <c r="W170" s="4">
        <f t="shared" si="84"/>
        <v>1085224.2006474154</v>
      </c>
      <c r="X170" s="4">
        <f t="shared" si="88"/>
        <v>-145.50046281167306</v>
      </c>
      <c r="Y170" s="9">
        <f>SUM($X$6:X170)</f>
        <v>85224.20064741536</v>
      </c>
      <c r="Z170" s="16">
        <f t="shared" si="89"/>
        <v>8.5224200647415357E-2</v>
      </c>
      <c r="AA170" s="16">
        <f t="shared" si="85"/>
        <v>0.10444301755594891</v>
      </c>
      <c r="AB170" s="16">
        <f t="shared" si="86"/>
        <v>-1.3405613097808086E-4</v>
      </c>
      <c r="AC170" s="16">
        <f t="shared" si="87"/>
        <v>-4.8896983268731766E-4</v>
      </c>
    </row>
    <row r="171" spans="1:29" x14ac:dyDescent="0.15">
      <c r="A171" s="8">
        <v>41149</v>
      </c>
      <c r="B171" s="4">
        <v>1409.3</v>
      </c>
      <c r="C171" s="1">
        <v>16.687999999999999</v>
      </c>
      <c r="D171" s="1">
        <v>2.17</v>
      </c>
      <c r="E171" s="1">
        <v>0.43209999999999998</v>
      </c>
      <c r="F171" s="4">
        <f t="shared" si="77"/>
        <v>0.16688</v>
      </c>
      <c r="G171" s="4">
        <f t="shared" si="78"/>
        <v>2.1700000000000001E-2</v>
      </c>
      <c r="H171" s="4">
        <f t="shared" si="79"/>
        <v>4.3210000000000002E-3</v>
      </c>
      <c r="I171" s="3">
        <f t="shared" si="80"/>
        <v>49.789315330279287</v>
      </c>
      <c r="J171" s="4">
        <f t="shared" si="90"/>
        <v>1118567.9886606985</v>
      </c>
      <c r="K171" s="1">
        <f t="shared" si="91"/>
        <v>1405.53</v>
      </c>
      <c r="L171" s="5">
        <f t="shared" si="92"/>
        <v>0.21369863013698639</v>
      </c>
      <c r="M171" s="5">
        <f t="shared" si="93"/>
        <v>-0.48769948720591438</v>
      </c>
      <c r="N171" s="5">
        <f t="shared" si="94"/>
        <v>43.914243473008369</v>
      </c>
      <c r="O171" s="1">
        <f t="shared" si="95"/>
        <v>0</v>
      </c>
      <c r="P171" s="1">
        <f t="shared" si="96"/>
        <v>1405.53</v>
      </c>
      <c r="Q171" s="5">
        <f t="shared" si="97"/>
        <v>0.21369863013698639</v>
      </c>
      <c r="R171" s="5">
        <f t="shared" si="98"/>
        <v>-0.48769948720591438</v>
      </c>
      <c r="S171" s="5">
        <f t="shared" si="81"/>
        <v>43.914243473008369</v>
      </c>
      <c r="T171" s="5">
        <f t="shared" si="82"/>
        <v>-769.57414105728708</v>
      </c>
      <c r="U171" s="4">
        <f t="shared" si="83"/>
        <v>1118622.1396096291</v>
      </c>
      <c r="V171" s="4">
        <f t="shared" si="99"/>
        <v>18.051190143289627</v>
      </c>
      <c r="W171" s="4">
        <f t="shared" si="84"/>
        <v>1084826.873408708</v>
      </c>
      <c r="X171" s="4">
        <f t="shared" si="88"/>
        <v>-397.32723870733753</v>
      </c>
      <c r="Y171" s="9">
        <f>SUM($X$6:X171)</f>
        <v>84826.873408708023</v>
      </c>
      <c r="Z171" s="16">
        <f t="shared" si="89"/>
        <v>8.4826873408708023E-2</v>
      </c>
      <c r="AA171" s="16">
        <f t="shared" si="85"/>
        <v>0.10355034219222277</v>
      </c>
      <c r="AB171" s="16">
        <f t="shared" si="86"/>
        <v>-3.6612456529287025E-4</v>
      </c>
      <c r="AC171" s="16">
        <f t="shared" si="87"/>
        <v>-8.0825841581357591E-4</v>
      </c>
    </row>
    <row r="172" spans="1:29" x14ac:dyDescent="0.15">
      <c r="A172" s="8">
        <v>41150</v>
      </c>
      <c r="B172" s="4">
        <v>1410.49</v>
      </c>
      <c r="C172" s="1">
        <v>16.965</v>
      </c>
      <c r="D172" s="1">
        <v>2.17</v>
      </c>
      <c r="E172" s="1">
        <v>0.4264</v>
      </c>
      <c r="F172" s="4">
        <f t="shared" si="77"/>
        <v>0.16965</v>
      </c>
      <c r="G172" s="4">
        <f t="shared" si="78"/>
        <v>2.1700000000000001E-2</v>
      </c>
      <c r="H172" s="4">
        <f t="shared" si="79"/>
        <v>4.2640000000000004E-3</v>
      </c>
      <c r="I172" s="3">
        <f t="shared" si="80"/>
        <v>50.616157109499852</v>
      </c>
      <c r="J172" s="4">
        <f t="shared" si="90"/>
        <v>1118622.1396096291</v>
      </c>
      <c r="K172" s="1">
        <f t="shared" si="91"/>
        <v>1405.53</v>
      </c>
      <c r="L172" s="5">
        <f t="shared" si="92"/>
        <v>0.21095890410958915</v>
      </c>
      <c r="M172" s="5">
        <f t="shared" si="93"/>
        <v>-0.48304060528816439</v>
      </c>
      <c r="N172" s="5">
        <f t="shared" si="94"/>
        <v>43.747697804529665</v>
      </c>
      <c r="O172" s="1">
        <f t="shared" si="95"/>
        <v>0</v>
      </c>
      <c r="P172" s="1">
        <f t="shared" si="96"/>
        <v>1405.53</v>
      </c>
      <c r="Q172" s="5">
        <f t="shared" si="97"/>
        <v>0.21095890410958915</v>
      </c>
      <c r="R172" s="5">
        <f t="shared" si="98"/>
        <v>-0.48304060528816439</v>
      </c>
      <c r="S172" s="5">
        <f t="shared" si="81"/>
        <v>43.747697804529665</v>
      </c>
      <c r="T172" s="5">
        <f t="shared" si="82"/>
        <v>-769.57414105728708</v>
      </c>
      <c r="U172" s="4">
        <f t="shared" si="83"/>
        <v>1118640.1907997723</v>
      </c>
      <c r="V172" s="4">
        <f t="shared" si="99"/>
        <v>18.051481435097692</v>
      </c>
      <c r="W172" s="4">
        <f t="shared" si="84"/>
        <v>1084973.0938386177</v>
      </c>
      <c r="X172" s="4">
        <f t="shared" si="88"/>
        <v>146.22042990964837</v>
      </c>
      <c r="Y172" s="9">
        <f>SUM($X$6:X172)</f>
        <v>84973.093838617671</v>
      </c>
      <c r="Z172" s="16">
        <f t="shared" si="89"/>
        <v>8.4973093838617675E-2</v>
      </c>
      <c r="AA172" s="16">
        <f t="shared" si="85"/>
        <v>0.10448216998418247</v>
      </c>
      <c r="AB172" s="16">
        <f t="shared" si="86"/>
        <v>1.3478688027906171E-4</v>
      </c>
      <c r="AC172" s="16">
        <f t="shared" si="87"/>
        <v>8.4439083232814487E-4</v>
      </c>
    </row>
    <row r="173" spans="1:29" x14ac:dyDescent="0.15">
      <c r="A173" s="8">
        <v>41151</v>
      </c>
      <c r="B173" s="4">
        <v>1399.48</v>
      </c>
      <c r="C173" s="1">
        <v>17.4907</v>
      </c>
      <c r="D173" s="1">
        <v>2.19</v>
      </c>
      <c r="E173" s="1">
        <v>0.4254</v>
      </c>
      <c r="F173" s="4">
        <f t="shared" si="77"/>
        <v>0.17490700000000001</v>
      </c>
      <c r="G173" s="4">
        <f t="shared" si="78"/>
        <v>2.1899999999999999E-2</v>
      </c>
      <c r="H173" s="4">
        <f t="shared" si="79"/>
        <v>4.254E-3</v>
      </c>
      <c r="I173" s="3">
        <f t="shared" si="80"/>
        <v>51.715371658797118</v>
      </c>
      <c r="J173" s="4">
        <f t="shared" si="90"/>
        <v>1118640.1907997723</v>
      </c>
      <c r="K173" s="1">
        <f t="shared" si="91"/>
        <v>1405.53</v>
      </c>
      <c r="L173" s="5">
        <f t="shared" si="92"/>
        <v>0.2082191780821919</v>
      </c>
      <c r="M173" s="5">
        <f t="shared" si="93"/>
        <v>-0.52160941860366505</v>
      </c>
      <c r="N173" s="5">
        <f t="shared" si="94"/>
        <v>50.332263964717882</v>
      </c>
      <c r="O173" s="1">
        <f t="shared" si="95"/>
        <v>0</v>
      </c>
      <c r="P173" s="1">
        <f t="shared" si="96"/>
        <v>1405.53</v>
      </c>
      <c r="Q173" s="5">
        <f t="shared" si="97"/>
        <v>0.2082191780821919</v>
      </c>
      <c r="R173" s="5">
        <f t="shared" si="98"/>
        <v>-0.52160941860366505</v>
      </c>
      <c r="S173" s="5">
        <f t="shared" si="81"/>
        <v>50.332263964717882</v>
      </c>
      <c r="T173" s="5">
        <f t="shared" si="82"/>
        <v>-769.57414105728708</v>
      </c>
      <c r="U173" s="4">
        <f t="shared" si="83"/>
        <v>1118658.2422812073</v>
      </c>
      <c r="V173" s="4">
        <f t="shared" si="99"/>
        <v>18.051772731606331</v>
      </c>
      <c r="W173" s="4">
        <f t="shared" si="84"/>
        <v>1079923.833473091</v>
      </c>
      <c r="X173" s="4">
        <f t="shared" si="88"/>
        <v>-5049.2603655266576</v>
      </c>
      <c r="Y173" s="9">
        <f>SUM($X$6:X173)</f>
        <v>79923.833473091014</v>
      </c>
      <c r="Z173" s="16">
        <f t="shared" si="89"/>
        <v>7.992383347309101E-2</v>
      </c>
      <c r="AA173" s="16">
        <f t="shared" si="85"/>
        <v>9.5860805287143969E-2</v>
      </c>
      <c r="AB173" s="16">
        <f t="shared" si="86"/>
        <v>-4.6538115960668243E-3</v>
      </c>
      <c r="AC173" s="16">
        <f t="shared" si="87"/>
        <v>-7.8057979850973706E-3</v>
      </c>
    </row>
    <row r="174" spans="1:29" x14ac:dyDescent="0.15">
      <c r="A174" s="8">
        <v>41152</v>
      </c>
      <c r="B174" s="4">
        <v>1406.58</v>
      </c>
      <c r="C174" s="1">
        <v>17.338200000000001</v>
      </c>
      <c r="D174" s="1">
        <v>2.1800000000000002</v>
      </c>
      <c r="E174" s="1">
        <v>0.4229</v>
      </c>
      <c r="F174" s="4">
        <f t="shared" si="77"/>
        <v>0.17338200000000001</v>
      </c>
      <c r="G174" s="4">
        <f t="shared" si="78"/>
        <v>2.18E-2</v>
      </c>
      <c r="H174" s="4">
        <f t="shared" si="79"/>
        <v>4.2290000000000001E-3</v>
      </c>
      <c r="I174" s="3">
        <f t="shared" si="80"/>
        <v>51.539956074089048</v>
      </c>
      <c r="J174" s="4">
        <f t="shared" si="90"/>
        <v>1118658.2422812073</v>
      </c>
      <c r="K174" s="1">
        <f t="shared" si="91"/>
        <v>1405.53</v>
      </c>
      <c r="L174" s="5">
        <f t="shared" si="92"/>
        <v>0.20547945205479465</v>
      </c>
      <c r="M174" s="5">
        <f t="shared" si="93"/>
        <v>-0.49662938807083068</v>
      </c>
      <c r="N174" s="5">
        <f t="shared" si="94"/>
        <v>45.99403047524433</v>
      </c>
      <c r="O174" s="1">
        <f t="shared" si="95"/>
        <v>0</v>
      </c>
      <c r="P174" s="1">
        <f t="shared" si="96"/>
        <v>1405.53</v>
      </c>
      <c r="Q174" s="5">
        <f t="shared" si="97"/>
        <v>0.20547945205479465</v>
      </c>
      <c r="R174" s="5">
        <f t="shared" si="98"/>
        <v>-0.49662938807083068</v>
      </c>
      <c r="S174" s="5">
        <f t="shared" si="81"/>
        <v>45.99403047524433</v>
      </c>
      <c r="T174" s="5">
        <f t="shared" si="82"/>
        <v>-769.57414105728708</v>
      </c>
      <c r="U174" s="4">
        <f t="shared" si="83"/>
        <v>1118676.2940539389</v>
      </c>
      <c r="V174" s="4">
        <f t="shared" si="99"/>
        <v>18.052064032815615</v>
      </c>
      <c r="W174" s="4">
        <f t="shared" si="84"/>
        <v>1083280.47755719</v>
      </c>
      <c r="X174" s="4">
        <f t="shared" si="88"/>
        <v>3356.6440840989817</v>
      </c>
      <c r="Y174" s="9">
        <f>SUM($X$6:X174)</f>
        <v>83280.477557189995</v>
      </c>
      <c r="Z174" s="16">
        <f t="shared" si="89"/>
        <v>8.3280477557189994E-2</v>
      </c>
      <c r="AA174" s="16">
        <f t="shared" si="85"/>
        <v>0.10142045009631497</v>
      </c>
      <c r="AB174" s="16">
        <f t="shared" si="86"/>
        <v>3.1082229876377857E-3</v>
      </c>
      <c r="AC174" s="16">
        <f t="shared" si="87"/>
        <v>5.0733129448080061E-3</v>
      </c>
    </row>
    <row r="175" spans="1:29" x14ac:dyDescent="0.15">
      <c r="A175" s="8">
        <v>41156</v>
      </c>
      <c r="B175" s="4">
        <v>1404.94</v>
      </c>
      <c r="C175" s="1">
        <v>17.2881</v>
      </c>
      <c r="D175" s="1">
        <v>2.1800000000000002</v>
      </c>
      <c r="E175" s="1">
        <v>0.41639999999999999</v>
      </c>
      <c r="F175" s="4">
        <f t="shared" si="77"/>
        <v>0.17288100000000001</v>
      </c>
      <c r="G175" s="4">
        <f t="shared" si="78"/>
        <v>2.18E-2</v>
      </c>
      <c r="H175" s="4">
        <f t="shared" si="79"/>
        <v>4.1640000000000002E-3</v>
      </c>
      <c r="I175" s="3">
        <f t="shared" si="80"/>
        <v>51.352640363944921</v>
      </c>
      <c r="J175" s="4">
        <f t="shared" si="90"/>
        <v>1118676.2940539389</v>
      </c>
      <c r="K175" s="1">
        <f t="shared" si="91"/>
        <v>1405.53</v>
      </c>
      <c r="L175" s="5">
        <f t="shared" si="92"/>
        <v>0.1945205479452056</v>
      </c>
      <c r="M175" s="5">
        <f t="shared" si="93"/>
        <v>-0.50279985484059975</v>
      </c>
      <c r="N175" s="5">
        <f t="shared" si="94"/>
        <v>45.380176678743766</v>
      </c>
      <c r="O175" s="1">
        <f t="shared" si="95"/>
        <v>0</v>
      </c>
      <c r="P175" s="1">
        <f t="shared" si="96"/>
        <v>1405.53</v>
      </c>
      <c r="Q175" s="5">
        <f t="shared" si="97"/>
        <v>0.1945205479452056</v>
      </c>
      <c r="R175" s="5">
        <f t="shared" si="98"/>
        <v>-0.50279985484059975</v>
      </c>
      <c r="S175" s="5">
        <f t="shared" si="81"/>
        <v>45.380176678743766</v>
      </c>
      <c r="T175" s="5">
        <f t="shared" si="82"/>
        <v>-769.57414105728708</v>
      </c>
      <c r="U175" s="4">
        <f t="shared" si="83"/>
        <v>1118694.3461179717</v>
      </c>
      <c r="V175" s="4">
        <f t="shared" si="99"/>
        <v>72.209421354902503</v>
      </c>
      <c r="W175" s="4">
        <f t="shared" si="84"/>
        <v>1083770.9356293995</v>
      </c>
      <c r="X175" s="4">
        <f t="shared" si="88"/>
        <v>490.45807220949791</v>
      </c>
      <c r="Y175" s="9">
        <f>SUM($X$6:X175)</f>
        <v>83770.935629399493</v>
      </c>
      <c r="Z175" s="16">
        <f t="shared" si="89"/>
        <v>8.3770935629399496E-2</v>
      </c>
      <c r="AA175" s="16">
        <f t="shared" si="85"/>
        <v>0.10013625045025301</v>
      </c>
      <c r="AB175" s="16">
        <f t="shared" si="86"/>
        <v>4.527526179697123E-4</v>
      </c>
      <c r="AC175" s="16">
        <f t="shared" si="87"/>
        <v>-1.1659486129476267E-3</v>
      </c>
    </row>
    <row r="176" spans="1:29" x14ac:dyDescent="0.15">
      <c r="A176" s="8">
        <v>41157</v>
      </c>
      <c r="B176" s="4">
        <v>1403.44</v>
      </c>
      <c r="C176" s="1">
        <v>16.850899999999999</v>
      </c>
      <c r="D176" s="1">
        <v>2.19</v>
      </c>
      <c r="E176" s="1">
        <v>0.41439999999999999</v>
      </c>
      <c r="F176" s="4">
        <f t="shared" si="77"/>
        <v>0.16850899999999999</v>
      </c>
      <c r="G176" s="4">
        <f t="shared" si="78"/>
        <v>2.1899999999999999E-2</v>
      </c>
      <c r="H176" s="4">
        <f t="shared" si="79"/>
        <v>4.1440000000000001E-3</v>
      </c>
      <c r="I176" s="3">
        <f t="shared" si="80"/>
        <v>50.10354453329456</v>
      </c>
      <c r="J176" s="4">
        <f t="shared" si="90"/>
        <v>1118694.3461179717</v>
      </c>
      <c r="K176" s="1">
        <f t="shared" si="91"/>
        <v>1405.53</v>
      </c>
      <c r="L176" s="5">
        <f t="shared" si="92"/>
        <v>0.19178082191780835</v>
      </c>
      <c r="M176" s="5">
        <f t="shared" si="93"/>
        <v>-0.50958756965676377</v>
      </c>
      <c r="N176" s="5">
        <f t="shared" si="94"/>
        <v>44.753799230442233</v>
      </c>
      <c r="O176" s="1">
        <f t="shared" si="95"/>
        <v>0</v>
      </c>
      <c r="P176" s="1">
        <f t="shared" si="96"/>
        <v>1405.53</v>
      </c>
      <c r="Q176" s="5">
        <f t="shared" si="97"/>
        <v>0.19178082191780835</v>
      </c>
      <c r="R176" s="5">
        <f t="shared" si="98"/>
        <v>-0.50958756965676377</v>
      </c>
      <c r="S176" s="5">
        <f t="shared" si="81"/>
        <v>44.753799230442233</v>
      </c>
      <c r="T176" s="5">
        <f t="shared" si="82"/>
        <v>-769.57414105728708</v>
      </c>
      <c r="U176" s="4">
        <f t="shared" si="83"/>
        <v>1118766.5555393265</v>
      </c>
      <c r="V176" s="4">
        <f t="shared" si="99"/>
        <v>18.053520581168858</v>
      </c>
      <c r="W176" s="4">
        <f t="shared" si="84"/>
        <v>1084325.1889375087</v>
      </c>
      <c r="X176" s="4">
        <f t="shared" si="88"/>
        <v>554.25330810924061</v>
      </c>
      <c r="Y176" s="9">
        <f>SUM($X$6:X176)</f>
        <v>84325.188937508734</v>
      </c>
      <c r="Z176" s="16">
        <f t="shared" si="89"/>
        <v>8.4325188937508733E-2</v>
      </c>
      <c r="AA176" s="16">
        <f t="shared" si="85"/>
        <v>9.8961677603245049E-2</v>
      </c>
      <c r="AB176" s="16">
        <f t="shared" si="86"/>
        <v>5.1141185825153931E-4</v>
      </c>
      <c r="AC176" s="16">
        <f t="shared" si="87"/>
        <v>-1.0676612524378264E-3</v>
      </c>
    </row>
    <row r="177" spans="1:29" x14ac:dyDescent="0.15">
      <c r="A177" s="8">
        <v>41158</v>
      </c>
      <c r="B177" s="4">
        <v>1432.12</v>
      </c>
      <c r="C177" s="1">
        <v>15.732900000000001</v>
      </c>
      <c r="D177" s="1">
        <v>2.14</v>
      </c>
      <c r="E177" s="1">
        <v>0.41289999999999999</v>
      </c>
      <c r="F177" s="4">
        <f t="shared" si="77"/>
        <v>0.157329</v>
      </c>
      <c r="G177" s="4">
        <f t="shared" si="78"/>
        <v>2.1400000000000002E-2</v>
      </c>
      <c r="H177" s="4">
        <f t="shared" si="79"/>
        <v>4.1289999999999999E-3</v>
      </c>
      <c r="I177" s="3">
        <f t="shared" si="80"/>
        <v>47.868674218459141</v>
      </c>
      <c r="J177" s="4">
        <f t="shared" si="90"/>
        <v>1118766.5555393265</v>
      </c>
      <c r="K177" s="1">
        <f t="shared" si="91"/>
        <v>1405.53</v>
      </c>
      <c r="L177" s="5">
        <f t="shared" si="92"/>
        <v>0.1890410958904111</v>
      </c>
      <c r="M177" s="5">
        <f t="shared" si="93"/>
        <v>-0.39565421672393164</v>
      </c>
      <c r="N177" s="5">
        <f t="shared" si="94"/>
        <v>28.649172374165317</v>
      </c>
      <c r="O177" s="1">
        <f t="shared" si="95"/>
        <v>0</v>
      </c>
      <c r="P177" s="1">
        <f t="shared" si="96"/>
        <v>1405.53</v>
      </c>
      <c r="Q177" s="5">
        <f t="shared" si="97"/>
        <v>0.1890410958904111</v>
      </c>
      <c r="R177" s="5">
        <f t="shared" si="98"/>
        <v>-0.39565421672393164</v>
      </c>
      <c r="S177" s="5">
        <f t="shared" si="81"/>
        <v>28.649172374165317</v>
      </c>
      <c r="T177" s="5">
        <f t="shared" si="82"/>
        <v>-769.57414105728708</v>
      </c>
      <c r="U177" s="4">
        <f t="shared" si="83"/>
        <v>1118784.6090599077</v>
      </c>
      <c r="V177" s="4">
        <f t="shared" si="99"/>
        <v>18.053811910583164</v>
      </c>
      <c r="W177" s="4">
        <f t="shared" si="84"/>
        <v>1096736.9468380574</v>
      </c>
      <c r="X177" s="4">
        <f t="shared" si="88"/>
        <v>12411.757900548633</v>
      </c>
      <c r="Y177" s="9">
        <f>SUM($X$6:X177)</f>
        <v>96736.946838057367</v>
      </c>
      <c r="Z177" s="16">
        <f t="shared" si="89"/>
        <v>9.6736946838057364E-2</v>
      </c>
      <c r="AA177" s="16">
        <f t="shared" si="85"/>
        <v>0.12141951043803732</v>
      </c>
      <c r="AB177" s="16">
        <f t="shared" si="86"/>
        <v>1.1446527321485973E-2</v>
      </c>
      <c r="AC177" s="16">
        <f t="shared" si="87"/>
        <v>2.043550133956552E-2</v>
      </c>
    </row>
    <row r="178" spans="1:29" x14ac:dyDescent="0.15">
      <c r="A178" s="8">
        <v>41159</v>
      </c>
      <c r="B178" s="4">
        <v>1437.92</v>
      </c>
      <c r="C178" s="1">
        <v>14.817</v>
      </c>
      <c r="D178" s="1">
        <v>2.14</v>
      </c>
      <c r="E178" s="1">
        <v>0.4123</v>
      </c>
      <c r="F178" s="4">
        <f t="shared" si="77"/>
        <v>0.14817</v>
      </c>
      <c r="G178" s="4">
        <f t="shared" si="78"/>
        <v>2.1400000000000002E-2</v>
      </c>
      <c r="H178" s="4">
        <f t="shared" si="79"/>
        <v>4.1229999999999999E-3</v>
      </c>
      <c r="I178" s="3">
        <f t="shared" si="80"/>
        <v>45.454681416432919</v>
      </c>
      <c r="J178" s="4">
        <f t="shared" si="90"/>
        <v>1118784.6090599077</v>
      </c>
      <c r="K178" s="1">
        <f t="shared" si="91"/>
        <v>1405.53</v>
      </c>
      <c r="L178" s="5">
        <f t="shared" si="92"/>
        <v>0.18630136986301385</v>
      </c>
      <c r="M178" s="5">
        <f t="shared" si="93"/>
        <v>-0.36625957305493662</v>
      </c>
      <c r="N178" s="5">
        <f t="shared" si="94"/>
        <v>23.986280180571523</v>
      </c>
      <c r="O178" s="1">
        <f t="shared" si="95"/>
        <v>0</v>
      </c>
      <c r="P178" s="1">
        <f t="shared" si="96"/>
        <v>1405.53</v>
      </c>
      <c r="Q178" s="5">
        <f t="shared" si="97"/>
        <v>0.18630136986301385</v>
      </c>
      <c r="R178" s="5">
        <f t="shared" si="98"/>
        <v>-0.36625957305493662</v>
      </c>
      <c r="S178" s="5">
        <f t="shared" si="81"/>
        <v>23.986280180571523</v>
      </c>
      <c r="T178" s="5">
        <f t="shared" si="82"/>
        <v>-769.57414105728708</v>
      </c>
      <c r="U178" s="4">
        <f t="shared" si="83"/>
        <v>1118802.6628718183</v>
      </c>
      <c r="V178" s="4">
        <f t="shared" si="99"/>
        <v>18.054103244698656</v>
      </c>
      <c r="W178" s="4">
        <f t="shared" si="84"/>
        <v>1100343.4419046955</v>
      </c>
      <c r="X178" s="4">
        <f t="shared" si="88"/>
        <v>3606.4950666381046</v>
      </c>
      <c r="Y178" s="9">
        <f>SUM($X$6:X178)</f>
        <v>100343.44190469547</v>
      </c>
      <c r="Z178" s="16">
        <f t="shared" si="89"/>
        <v>0.10034344190469548</v>
      </c>
      <c r="AA178" s="16">
        <f t="shared" si="85"/>
        <v>0.12596119211313497</v>
      </c>
      <c r="AB178" s="16">
        <f t="shared" si="86"/>
        <v>3.2883865880836733E-3</v>
      </c>
      <c r="AC178" s="16">
        <f t="shared" si="87"/>
        <v>4.0499399491663981E-3</v>
      </c>
    </row>
    <row r="179" spans="1:29" x14ac:dyDescent="0.15">
      <c r="A179" s="8">
        <v>41162</v>
      </c>
      <c r="B179" s="4">
        <v>1429.08</v>
      </c>
      <c r="C179" s="1">
        <v>15.101100000000001</v>
      </c>
      <c r="D179" s="1">
        <v>2.15</v>
      </c>
      <c r="E179" s="1">
        <v>0.40870000000000001</v>
      </c>
      <c r="F179" s="4">
        <f t="shared" si="77"/>
        <v>0.15101100000000001</v>
      </c>
      <c r="G179" s="4">
        <f t="shared" si="78"/>
        <v>2.1499999999999998E-2</v>
      </c>
      <c r="H179" s="4">
        <f t="shared" si="79"/>
        <v>4.0870000000000004E-3</v>
      </c>
      <c r="I179" s="3">
        <f t="shared" si="80"/>
        <v>46.004401954606955</v>
      </c>
      <c r="J179" s="4">
        <f t="shared" si="90"/>
        <v>1118802.6628718183</v>
      </c>
      <c r="K179" s="1">
        <f t="shared" si="91"/>
        <v>1405.53</v>
      </c>
      <c r="L179" s="5">
        <f t="shared" si="92"/>
        <v>0.17808219178082207</v>
      </c>
      <c r="M179" s="5">
        <f t="shared" si="93"/>
        <v>-0.40209250937796914</v>
      </c>
      <c r="N179" s="5">
        <f t="shared" si="94"/>
        <v>27.193176002875198</v>
      </c>
      <c r="O179" s="1">
        <f t="shared" si="95"/>
        <v>0</v>
      </c>
      <c r="P179" s="1">
        <f t="shared" si="96"/>
        <v>1405.53</v>
      </c>
      <c r="Q179" s="5">
        <f t="shared" si="97"/>
        <v>0.17808219178082207</v>
      </c>
      <c r="R179" s="5">
        <f t="shared" si="98"/>
        <v>-0.40209250937796914</v>
      </c>
      <c r="S179" s="5">
        <f t="shared" si="81"/>
        <v>27.193176002875198</v>
      </c>
      <c r="T179" s="5">
        <f t="shared" si="82"/>
        <v>-769.57414105728708</v>
      </c>
      <c r="U179" s="4">
        <f t="shared" si="83"/>
        <v>1118820.7169750631</v>
      </c>
      <c r="V179" s="4">
        <f t="shared" si="99"/>
        <v>54.163183750546196</v>
      </c>
      <c r="W179" s="4">
        <f t="shared" si="84"/>
        <v>1097893.5519100309</v>
      </c>
      <c r="X179" s="4">
        <f t="shared" si="88"/>
        <v>-2449.8899946645834</v>
      </c>
      <c r="Y179" s="9">
        <f>SUM($X$6:X179)</f>
        <v>97893.551910030888</v>
      </c>
      <c r="Z179" s="16">
        <f t="shared" si="89"/>
        <v>9.7893551910030893E-2</v>
      </c>
      <c r="AA179" s="16">
        <f t="shared" si="85"/>
        <v>0.11903904280143454</v>
      </c>
      <c r="AB179" s="16">
        <f t="shared" si="86"/>
        <v>-2.2264775717877878E-3</v>
      </c>
      <c r="AC179" s="16">
        <f t="shared" si="87"/>
        <v>-6.1477689996662852E-3</v>
      </c>
    </row>
    <row r="180" spans="1:29" x14ac:dyDescent="0.15">
      <c r="A180" s="8">
        <v>41163</v>
      </c>
      <c r="B180" s="4">
        <v>1433.56</v>
      </c>
      <c r="C180" s="1">
        <v>15.4315</v>
      </c>
      <c r="D180" s="1">
        <v>2.14</v>
      </c>
      <c r="E180" s="1">
        <v>0.4032</v>
      </c>
      <c r="F180" s="4">
        <f t="shared" si="77"/>
        <v>0.15431500000000001</v>
      </c>
      <c r="G180" s="4">
        <f t="shared" si="78"/>
        <v>2.1400000000000002E-2</v>
      </c>
      <c r="H180" s="4">
        <f t="shared" si="79"/>
        <v>4.032E-3</v>
      </c>
      <c r="I180" s="3">
        <f t="shared" si="80"/>
        <v>47.079439800525357</v>
      </c>
      <c r="J180" s="4">
        <f t="shared" si="90"/>
        <v>1118820.7169750631</v>
      </c>
      <c r="K180" s="1">
        <f t="shared" si="91"/>
        <v>1405.53</v>
      </c>
      <c r="L180" s="5">
        <f t="shared" si="92"/>
        <v>0.17534246575342483</v>
      </c>
      <c r="M180" s="5">
        <f t="shared" si="93"/>
        <v>-0.38417005341297888</v>
      </c>
      <c r="N180" s="5">
        <f t="shared" si="94"/>
        <v>25.890731856439267</v>
      </c>
      <c r="O180" s="1">
        <f t="shared" si="95"/>
        <v>0</v>
      </c>
      <c r="P180" s="1">
        <f t="shared" si="96"/>
        <v>1405.53</v>
      </c>
      <c r="Q180" s="5">
        <f t="shared" si="97"/>
        <v>0.17534246575342483</v>
      </c>
      <c r="R180" s="5">
        <f t="shared" si="98"/>
        <v>-0.38417005341297888</v>
      </c>
      <c r="S180" s="5">
        <f t="shared" si="81"/>
        <v>25.890731856439267</v>
      </c>
      <c r="T180" s="5">
        <f t="shared" si="82"/>
        <v>-769.57414105728708</v>
      </c>
      <c r="U180" s="4">
        <f t="shared" si="83"/>
        <v>1118874.8801588137</v>
      </c>
      <c r="V180" s="4">
        <f t="shared" si="99"/>
        <v>18.055268614069622</v>
      </c>
      <c r="W180" s="4">
        <f t="shared" si="84"/>
        <v>1098950.04242905</v>
      </c>
      <c r="X180" s="4">
        <f t="shared" si="88"/>
        <v>1056.4905190190766</v>
      </c>
      <c r="Y180" s="9">
        <f>SUM($X$6:X180)</f>
        <v>98950.042429049965</v>
      </c>
      <c r="Z180" s="16">
        <f t="shared" si="89"/>
        <v>9.8950042429049964E-2</v>
      </c>
      <c r="AA180" s="16">
        <f t="shared" si="85"/>
        <v>0.12254710037116502</v>
      </c>
      <c r="AB180" s="16">
        <f t="shared" si="86"/>
        <v>9.6228866376077676E-4</v>
      </c>
      <c r="AC180" s="16">
        <f t="shared" si="87"/>
        <v>3.1348839813026691E-3</v>
      </c>
    </row>
    <row r="181" spans="1:29" x14ac:dyDescent="0.15">
      <c r="A181" s="8">
        <v>41164</v>
      </c>
      <c r="B181" s="4">
        <v>1436.56</v>
      </c>
      <c r="C181" s="1">
        <v>15.168900000000001</v>
      </c>
      <c r="D181" s="1">
        <v>2.12</v>
      </c>
      <c r="E181" s="1">
        <v>0.39860000000000001</v>
      </c>
      <c r="F181" s="4">
        <f t="shared" si="77"/>
        <v>0.15168900000000002</v>
      </c>
      <c r="G181" s="4">
        <f t="shared" si="78"/>
        <v>2.12E-2</v>
      </c>
      <c r="H181" s="4">
        <f t="shared" si="79"/>
        <v>3.986E-3</v>
      </c>
      <c r="I181" s="3">
        <f t="shared" si="80"/>
        <v>46.403317714253646</v>
      </c>
      <c r="J181" s="4">
        <f t="shared" si="90"/>
        <v>1118874.8801588137</v>
      </c>
      <c r="K181" s="1">
        <f t="shared" si="91"/>
        <v>1405.53</v>
      </c>
      <c r="L181" s="5">
        <f t="shared" si="92"/>
        <v>0.17260273972602758</v>
      </c>
      <c r="M181" s="5">
        <f t="shared" si="93"/>
        <v>-0.36901809580995076</v>
      </c>
      <c r="N181" s="5">
        <f t="shared" si="94"/>
        <v>23.852816322495137</v>
      </c>
      <c r="O181" s="1">
        <f t="shared" si="95"/>
        <v>0</v>
      </c>
      <c r="P181" s="1">
        <f t="shared" si="96"/>
        <v>1405.53</v>
      </c>
      <c r="Q181" s="5">
        <f t="shared" si="97"/>
        <v>0.17260273972602758</v>
      </c>
      <c r="R181" s="5">
        <f t="shared" si="98"/>
        <v>-0.36901809580995076</v>
      </c>
      <c r="S181" s="5">
        <f t="shared" si="81"/>
        <v>23.852816322495137</v>
      </c>
      <c r="T181" s="5">
        <f t="shared" si="82"/>
        <v>-769.57414105728708</v>
      </c>
      <c r="U181" s="4">
        <f t="shared" si="83"/>
        <v>1118892.9354274278</v>
      </c>
      <c r="V181" s="4">
        <f t="shared" si="99"/>
        <v>18.055559971691913</v>
      </c>
      <c r="W181" s="4">
        <f t="shared" si="84"/>
        <v>1100536.4247942464</v>
      </c>
      <c r="X181" s="4">
        <f t="shared" si="88"/>
        <v>1586.3823651964776</v>
      </c>
      <c r="Y181" s="9">
        <f>SUM($X$6:X181)</f>
        <v>100536.42479424644</v>
      </c>
      <c r="Z181" s="16">
        <f t="shared" si="89"/>
        <v>0.10053642479424645</v>
      </c>
      <c r="AA181" s="16">
        <f t="shared" si="85"/>
        <v>0.12489624606518097</v>
      </c>
      <c r="AB181" s="16">
        <f t="shared" si="86"/>
        <v>1.4435436589001244E-3</v>
      </c>
      <c r="AC181" s="16">
        <f t="shared" si="87"/>
        <v>2.0926923184240633E-3</v>
      </c>
    </row>
    <row r="182" spans="1:29" x14ac:dyDescent="0.15">
      <c r="A182" s="8">
        <v>41165</v>
      </c>
      <c r="B182" s="4">
        <v>1459.99</v>
      </c>
      <c r="C182" s="1">
        <v>13.8469</v>
      </c>
      <c r="D182" s="1">
        <v>2.09</v>
      </c>
      <c r="E182" s="1">
        <v>0.3931</v>
      </c>
      <c r="F182" s="4">
        <f t="shared" si="77"/>
        <v>0.13846900000000001</v>
      </c>
      <c r="G182" s="4">
        <f t="shared" si="78"/>
        <v>2.0899999999999998E-2</v>
      </c>
      <c r="H182" s="4">
        <f t="shared" si="79"/>
        <v>3.9310000000000005E-3</v>
      </c>
      <c r="I182" s="3">
        <f t="shared" si="80"/>
        <v>43.291994899222523</v>
      </c>
      <c r="J182" s="4">
        <f t="shared" si="90"/>
        <v>1118892.9354274278</v>
      </c>
      <c r="K182" s="1">
        <f t="shared" si="91"/>
        <v>1405.53</v>
      </c>
      <c r="L182" s="5">
        <f t="shared" si="92"/>
        <v>0.16986301369863033</v>
      </c>
      <c r="M182" s="5">
        <f t="shared" si="93"/>
        <v>-0.25881842668464999</v>
      </c>
      <c r="N182" s="5">
        <f t="shared" si="94"/>
        <v>13.411195834289559</v>
      </c>
      <c r="O182" s="1">
        <f t="shared" si="95"/>
        <v>0</v>
      </c>
      <c r="P182" s="1">
        <f t="shared" si="96"/>
        <v>1405.53</v>
      </c>
      <c r="Q182" s="5">
        <f t="shared" si="97"/>
        <v>0.16986301369863033</v>
      </c>
      <c r="R182" s="5">
        <f t="shared" si="98"/>
        <v>-0.25881842668464999</v>
      </c>
      <c r="S182" s="5">
        <f t="shared" si="81"/>
        <v>13.411195834289559</v>
      </c>
      <c r="T182" s="5">
        <f t="shared" si="82"/>
        <v>-769.57414105728708</v>
      </c>
      <c r="U182" s="4">
        <f t="shared" si="83"/>
        <v>1118910.9909873994</v>
      </c>
      <c r="V182" s="4">
        <f t="shared" si="99"/>
        <v>18.055851334015838</v>
      </c>
      <c r="W182" s="4">
        <f t="shared" si="84"/>
        <v>1108590.0814726749</v>
      </c>
      <c r="X182" s="4">
        <f t="shared" si="88"/>
        <v>8053.6566784284078</v>
      </c>
      <c r="Y182" s="9">
        <f>SUM($X$6:X182)</f>
        <v>108590.08147267485</v>
      </c>
      <c r="Z182" s="16">
        <f t="shared" si="89"/>
        <v>0.10859008147267485</v>
      </c>
      <c r="AA182" s="16">
        <f t="shared" si="85"/>
        <v>0.14324307393544553</v>
      </c>
      <c r="AB182" s="16">
        <f t="shared" si="86"/>
        <v>7.3179374139607416E-3</v>
      </c>
      <c r="AC182" s="16">
        <f t="shared" si="87"/>
        <v>1.6309795622876919E-2</v>
      </c>
    </row>
    <row r="183" spans="1:29" x14ac:dyDescent="0.15">
      <c r="A183" s="8">
        <v>41166</v>
      </c>
      <c r="B183" s="4">
        <v>1465.77</v>
      </c>
      <c r="C183" s="1">
        <v>14.286200000000001</v>
      </c>
      <c r="D183" s="1">
        <v>2.08</v>
      </c>
      <c r="E183" s="1">
        <v>0.38950000000000001</v>
      </c>
      <c r="F183" s="4">
        <f t="shared" si="77"/>
        <v>0.14286200000000002</v>
      </c>
      <c r="G183" s="4">
        <f t="shared" si="78"/>
        <v>2.0799999999999999E-2</v>
      </c>
      <c r="H183" s="4">
        <f t="shared" si="79"/>
        <v>3.895E-3</v>
      </c>
      <c r="I183" s="3">
        <f t="shared" si="80"/>
        <v>44.727524904682454</v>
      </c>
      <c r="J183" s="4">
        <f t="shared" si="90"/>
        <v>1118910.9909873994</v>
      </c>
      <c r="K183" s="1">
        <f t="shared" si="91"/>
        <v>1405.53</v>
      </c>
      <c r="L183" s="5">
        <f t="shared" si="92"/>
        <v>0.16712328767123308</v>
      </c>
      <c r="M183" s="5">
        <f t="shared" si="93"/>
        <v>-0.24131384580464921</v>
      </c>
      <c r="N183" s="5">
        <f t="shared" si="94"/>
        <v>12.564705890024131</v>
      </c>
      <c r="O183" s="1">
        <f t="shared" si="95"/>
        <v>0</v>
      </c>
      <c r="P183" s="1">
        <f t="shared" si="96"/>
        <v>1405.53</v>
      </c>
      <c r="Q183" s="5">
        <f t="shared" si="97"/>
        <v>0.16712328767123308</v>
      </c>
      <c r="R183" s="5">
        <f t="shared" si="98"/>
        <v>-0.24131384580464921</v>
      </c>
      <c r="S183" s="5">
        <f t="shared" si="81"/>
        <v>12.564705890024131</v>
      </c>
      <c r="T183" s="5">
        <f t="shared" si="82"/>
        <v>-769.57414105728708</v>
      </c>
      <c r="U183" s="4">
        <f t="shared" si="83"/>
        <v>1118929.0468387334</v>
      </c>
      <c r="V183" s="4">
        <f t="shared" si="99"/>
        <v>18.056142701041477</v>
      </c>
      <c r="W183" s="4">
        <f t="shared" si="84"/>
        <v>1109259.5740957805</v>
      </c>
      <c r="X183" s="4">
        <f t="shared" si="88"/>
        <v>669.49262310564518</v>
      </c>
      <c r="Y183" s="9">
        <f>SUM($X$6:X183)</f>
        <v>109259.5740957805</v>
      </c>
      <c r="Z183" s="16">
        <f t="shared" si="89"/>
        <v>0.10925957409578049</v>
      </c>
      <c r="AA183" s="16">
        <f t="shared" si="85"/>
        <v>0.14776909463924956</v>
      </c>
      <c r="AB183" s="16">
        <f t="shared" si="86"/>
        <v>6.0391359646324531E-4</v>
      </c>
      <c r="AC183" s="16">
        <f t="shared" si="87"/>
        <v>3.9589312255563208E-3</v>
      </c>
    </row>
    <row r="184" spans="1:29" x14ac:dyDescent="0.15">
      <c r="A184" s="8">
        <v>41169</v>
      </c>
      <c r="B184" s="4">
        <v>1461.19</v>
      </c>
      <c r="C184" s="1">
        <v>14.662100000000001</v>
      </c>
      <c r="D184" s="1">
        <v>2.09</v>
      </c>
      <c r="E184" s="1">
        <v>0.38500000000000001</v>
      </c>
      <c r="F184" s="4">
        <f t="shared" si="77"/>
        <v>0.146621</v>
      </c>
      <c r="G184" s="4">
        <f t="shared" si="78"/>
        <v>2.0899999999999998E-2</v>
      </c>
      <c r="H184" s="4">
        <f t="shared" si="79"/>
        <v>3.8500000000000001E-3</v>
      </c>
      <c r="I184" s="3">
        <f t="shared" si="80"/>
        <v>45.703188146589071</v>
      </c>
      <c r="J184" s="4">
        <f t="shared" si="90"/>
        <v>1118929.0468387334</v>
      </c>
      <c r="K184" s="1">
        <f t="shared" si="91"/>
        <v>1405.53</v>
      </c>
      <c r="L184" s="5">
        <f t="shared" si="92"/>
        <v>0.1589041095890413</v>
      </c>
      <c r="M184" s="5">
        <f t="shared" si="93"/>
        <v>-0.25784695054813617</v>
      </c>
      <c r="N184" s="5">
        <f t="shared" si="94"/>
        <v>13.686237715043298</v>
      </c>
      <c r="O184" s="1">
        <f t="shared" si="95"/>
        <v>0</v>
      </c>
      <c r="P184" s="1">
        <f t="shared" si="96"/>
        <v>1405.53</v>
      </c>
      <c r="Q184" s="5">
        <f t="shared" si="97"/>
        <v>0.1589041095890413</v>
      </c>
      <c r="R184" s="5">
        <f t="shared" si="98"/>
        <v>-0.25784695054813617</v>
      </c>
      <c r="S184" s="5">
        <f t="shared" si="81"/>
        <v>13.686237715043298</v>
      </c>
      <c r="T184" s="5">
        <f t="shared" si="82"/>
        <v>-769.57414105728708</v>
      </c>
      <c r="U184" s="4">
        <f t="shared" si="83"/>
        <v>1118947.1029814344</v>
      </c>
      <c r="V184" s="4">
        <f t="shared" si="99"/>
        <v>54.169302218306697</v>
      </c>
      <c r="W184" s="4">
        <f t="shared" si="84"/>
        <v>1108414.5283475742</v>
      </c>
      <c r="X184" s="4">
        <f t="shared" si="88"/>
        <v>-845.04574820632115</v>
      </c>
      <c r="Y184" s="9">
        <f>SUM($X$6:X184)</f>
        <v>108414.52834757417</v>
      </c>
      <c r="Z184" s="16">
        <f t="shared" si="89"/>
        <v>0.10841452834757417</v>
      </c>
      <c r="AA184" s="16">
        <f t="shared" si="85"/>
        <v>0.14418273221305195</v>
      </c>
      <c r="AB184" s="16">
        <f t="shared" si="86"/>
        <v>-7.6181064192767066E-4</v>
      </c>
      <c r="AC184" s="16">
        <f t="shared" si="87"/>
        <v>-3.1246375625097575E-3</v>
      </c>
    </row>
    <row r="185" spans="1:29" x14ac:dyDescent="0.15">
      <c r="A185" s="8">
        <v>41170</v>
      </c>
      <c r="B185" s="4">
        <v>1459.32</v>
      </c>
      <c r="C185" s="1">
        <v>14.240600000000001</v>
      </c>
      <c r="D185" s="1">
        <v>2.09</v>
      </c>
      <c r="E185" s="1">
        <v>0.38300000000000001</v>
      </c>
      <c r="F185" s="4">
        <f t="shared" si="77"/>
        <v>0.142406</v>
      </c>
      <c r="G185" s="4">
        <f t="shared" si="78"/>
        <v>2.0899999999999998E-2</v>
      </c>
      <c r="H185" s="4">
        <f t="shared" si="79"/>
        <v>3.8300000000000001E-3</v>
      </c>
      <c r="I185" s="3">
        <f t="shared" si="80"/>
        <v>44.430023406633808</v>
      </c>
      <c r="J185" s="4">
        <f t="shared" si="90"/>
        <v>1118947.1029814344</v>
      </c>
      <c r="K185" s="1">
        <f t="shared" si="91"/>
        <v>1405.53</v>
      </c>
      <c r="L185" s="5">
        <f t="shared" si="92"/>
        <v>0.15616438356164405</v>
      </c>
      <c r="M185" s="5">
        <f t="shared" si="93"/>
        <v>-0.25760813327832893</v>
      </c>
      <c r="N185" s="5">
        <f t="shared" si="94"/>
        <v>13.129604426942203</v>
      </c>
      <c r="O185" s="1">
        <f t="shared" si="95"/>
        <v>0</v>
      </c>
      <c r="P185" s="1">
        <f t="shared" si="96"/>
        <v>1405.53</v>
      </c>
      <c r="Q185" s="5">
        <f t="shared" si="97"/>
        <v>0.15616438356164405</v>
      </c>
      <c r="R185" s="5">
        <f t="shared" si="98"/>
        <v>-0.25760813327832893</v>
      </c>
      <c r="S185" s="5">
        <f t="shared" si="81"/>
        <v>13.129604426942203</v>
      </c>
      <c r="T185" s="5">
        <f t="shared" si="82"/>
        <v>-769.57414105728708</v>
      </c>
      <c r="U185" s="4">
        <f t="shared" si="83"/>
        <v>1119001.2722836528</v>
      </c>
      <c r="V185" s="4">
        <f t="shared" si="99"/>
        <v>18.057308202056753</v>
      </c>
      <c r="W185" s="4">
        <f t="shared" si="84"/>
        <v>1108897.0682343668</v>
      </c>
      <c r="X185" s="4">
        <f t="shared" si="88"/>
        <v>482.53988679265603</v>
      </c>
      <c r="Y185" s="9">
        <f>SUM($X$6:X185)</f>
        <v>108897.06823436683</v>
      </c>
      <c r="Z185" s="16">
        <f t="shared" si="89"/>
        <v>0.10889706823436683</v>
      </c>
      <c r="AA185" s="16">
        <f t="shared" si="85"/>
        <v>0.14271843139711524</v>
      </c>
      <c r="AB185" s="16">
        <f t="shared" si="86"/>
        <v>4.3534244134459978E-4</v>
      </c>
      <c r="AC185" s="16">
        <f t="shared" si="87"/>
        <v>-1.2797788104217235E-3</v>
      </c>
    </row>
    <row r="186" spans="1:29" x14ac:dyDescent="0.15">
      <c r="A186" s="8">
        <v>41171</v>
      </c>
      <c r="B186" s="4">
        <v>1461.05</v>
      </c>
      <c r="C186" s="1">
        <v>13.7836</v>
      </c>
      <c r="D186" s="1">
        <v>2.09</v>
      </c>
      <c r="E186" s="1">
        <v>0.37990000000000002</v>
      </c>
      <c r="F186" s="4">
        <f t="shared" si="77"/>
        <v>0.13783599999999999</v>
      </c>
      <c r="G186" s="4">
        <f t="shared" si="78"/>
        <v>2.0899999999999998E-2</v>
      </c>
      <c r="H186" s="4">
        <f t="shared" si="79"/>
        <v>3.7990000000000003E-3</v>
      </c>
      <c r="I186" s="3">
        <f t="shared" si="80"/>
        <v>43.1660801395901</v>
      </c>
      <c r="J186" s="4">
        <f t="shared" si="90"/>
        <v>1119001.2722836528</v>
      </c>
      <c r="K186" s="1">
        <f t="shared" si="91"/>
        <v>1405.53</v>
      </c>
      <c r="L186" s="5">
        <f t="shared" si="92"/>
        <v>0.15342465753424681</v>
      </c>
      <c r="M186" s="5">
        <f t="shared" si="93"/>
        <v>-0.24244820455750304</v>
      </c>
      <c r="N186" s="5">
        <f t="shared" si="94"/>
        <v>11.622618304179158</v>
      </c>
      <c r="O186" s="1">
        <f t="shared" si="95"/>
        <v>0</v>
      </c>
      <c r="P186" s="1">
        <f t="shared" si="96"/>
        <v>1405.53</v>
      </c>
      <c r="Q186" s="5">
        <f t="shared" si="97"/>
        <v>0.15342465753424681</v>
      </c>
      <c r="R186" s="5">
        <f t="shared" si="98"/>
        <v>-0.24244820455750304</v>
      </c>
      <c r="S186" s="5">
        <f t="shared" si="81"/>
        <v>11.622618304179158</v>
      </c>
      <c r="T186" s="5">
        <f t="shared" si="82"/>
        <v>-769.57414105728708</v>
      </c>
      <c r="U186" s="4">
        <f t="shared" si="83"/>
        <v>1119019.3295918549</v>
      </c>
      <c r="V186" s="4">
        <f t="shared" si="99"/>
        <v>18.057599592591849</v>
      </c>
      <c r="W186" s="4">
        <f t="shared" si="84"/>
        <v>1110074.8630935797</v>
      </c>
      <c r="X186" s="4">
        <f t="shared" si="88"/>
        <v>1177.7948592128232</v>
      </c>
      <c r="Y186" s="9">
        <f>SUM($X$6:X186)</f>
        <v>110074.86309357965</v>
      </c>
      <c r="Z186" s="16">
        <f t="shared" si="89"/>
        <v>0.11007486309357965</v>
      </c>
      <c r="AA186" s="16">
        <f t="shared" si="85"/>
        <v>0.14407310541399779</v>
      </c>
      <c r="AB186" s="16">
        <f t="shared" si="86"/>
        <v>1.0621318181390437E-3</v>
      </c>
      <c r="AC186" s="16">
        <f t="shared" si="87"/>
        <v>1.185483649919153E-3</v>
      </c>
    </row>
    <row r="187" spans="1:29" x14ac:dyDescent="0.15">
      <c r="A187" s="8">
        <v>41172</v>
      </c>
      <c r="B187" s="4">
        <v>1460.26</v>
      </c>
      <c r="C187" s="1">
        <v>13.977</v>
      </c>
      <c r="D187" s="1">
        <v>2.09</v>
      </c>
      <c r="E187" s="1">
        <v>0.37709999999999999</v>
      </c>
      <c r="F187" s="4">
        <f t="shared" si="77"/>
        <v>0.13977000000000001</v>
      </c>
      <c r="G187" s="4">
        <f t="shared" si="78"/>
        <v>2.0899999999999998E-2</v>
      </c>
      <c r="H187" s="4">
        <f t="shared" si="79"/>
        <v>3.771E-3</v>
      </c>
      <c r="I187" s="3">
        <f t="shared" si="80"/>
        <v>43.707658722217047</v>
      </c>
      <c r="J187" s="4">
        <f t="shared" si="90"/>
        <v>1119019.3295918549</v>
      </c>
      <c r="K187" s="1">
        <f t="shared" si="91"/>
        <v>1405.53</v>
      </c>
      <c r="L187" s="5">
        <f t="shared" si="92"/>
        <v>0.15068493150684956</v>
      </c>
      <c r="M187" s="5">
        <f t="shared" si="93"/>
        <v>-0.24632914645446796</v>
      </c>
      <c r="N187" s="5">
        <f t="shared" si="94"/>
        <v>11.922675699161191</v>
      </c>
      <c r="O187" s="1">
        <f t="shared" si="95"/>
        <v>0</v>
      </c>
      <c r="P187" s="1">
        <f t="shared" si="96"/>
        <v>1405.53</v>
      </c>
      <c r="Q187" s="5">
        <f t="shared" si="97"/>
        <v>0.15068493150684956</v>
      </c>
      <c r="R187" s="5">
        <f t="shared" si="98"/>
        <v>-0.24632914645446796</v>
      </c>
      <c r="S187" s="5">
        <f t="shared" si="81"/>
        <v>11.922675699161191</v>
      </c>
      <c r="T187" s="5">
        <f t="shared" si="82"/>
        <v>-769.57414105728708</v>
      </c>
      <c r="U187" s="4">
        <f t="shared" si="83"/>
        <v>1119037.3871914474</v>
      </c>
      <c r="V187" s="4">
        <f t="shared" si="99"/>
        <v>18.057890987829111</v>
      </c>
      <c r="W187" s="4">
        <f t="shared" si="84"/>
        <v>1109862.0042811609</v>
      </c>
      <c r="X187" s="4">
        <f t="shared" si="88"/>
        <v>-212.85881241876632</v>
      </c>
      <c r="Y187" s="9">
        <f>SUM($X$6:X187)</f>
        <v>109862.00428116089</v>
      </c>
      <c r="Z187" s="16">
        <f t="shared" si="89"/>
        <v>0.10986200428116089</v>
      </c>
      <c r="AA187" s="16">
        <f t="shared" si="85"/>
        <v>0.14345449704790694</v>
      </c>
      <c r="AB187" s="16">
        <f t="shared" si="86"/>
        <v>-1.9175176332303118E-4</v>
      </c>
      <c r="AC187" s="16">
        <f t="shared" si="87"/>
        <v>-5.407070257691137E-4</v>
      </c>
    </row>
    <row r="188" spans="1:29" x14ac:dyDescent="0.15">
      <c r="A188" s="8">
        <v>41173</v>
      </c>
      <c r="B188" s="4">
        <v>1460.15</v>
      </c>
      <c r="C188" s="1">
        <v>13.675599999999999</v>
      </c>
      <c r="D188" s="1">
        <v>2.09</v>
      </c>
      <c r="E188" s="1">
        <v>0.37330000000000002</v>
      </c>
      <c r="F188" s="4">
        <f t="shared" si="77"/>
        <v>0.13675599999999999</v>
      </c>
      <c r="G188" s="4">
        <f t="shared" si="78"/>
        <v>2.0899999999999998E-2</v>
      </c>
      <c r="H188" s="4">
        <f t="shared" si="79"/>
        <v>3.7330000000000002E-3</v>
      </c>
      <c r="I188" s="3">
        <f t="shared" si="80"/>
        <v>42.840043673470753</v>
      </c>
      <c r="J188" s="4">
        <f t="shared" si="90"/>
        <v>1119037.3871914474</v>
      </c>
      <c r="K188" s="1">
        <f t="shared" si="91"/>
        <v>1405.53</v>
      </c>
      <c r="L188" s="5">
        <f t="shared" si="92"/>
        <v>0.14794520547945231</v>
      </c>
      <c r="M188" s="5">
        <f t="shared" si="93"/>
        <v>-0.24034490901281139</v>
      </c>
      <c r="N188" s="5">
        <f t="shared" si="94"/>
        <v>11.179178392047953</v>
      </c>
      <c r="O188" s="1">
        <f t="shared" si="95"/>
        <v>0</v>
      </c>
      <c r="P188" s="1">
        <f t="shared" si="96"/>
        <v>1405.53</v>
      </c>
      <c r="Q188" s="5">
        <f t="shared" si="97"/>
        <v>0.14794520547945231</v>
      </c>
      <c r="R188" s="5">
        <f t="shared" si="98"/>
        <v>-0.24034490901281139</v>
      </c>
      <c r="S188" s="5">
        <f t="shared" si="81"/>
        <v>11.179178392047953</v>
      </c>
      <c r="T188" s="5">
        <f t="shared" si="82"/>
        <v>-769.57414105728708</v>
      </c>
      <c r="U188" s="4">
        <f t="shared" si="83"/>
        <v>1119055.4450824352</v>
      </c>
      <c r="V188" s="4">
        <f t="shared" si="99"/>
        <v>18.058182387768611</v>
      </c>
      <c r="W188" s="4">
        <f t="shared" si="84"/>
        <v>1110452.2384736487</v>
      </c>
      <c r="X188" s="4">
        <f t="shared" si="88"/>
        <v>590.23419248778373</v>
      </c>
      <c r="Y188" s="9">
        <f>SUM($X$6:X188)</f>
        <v>110452.23847364867</v>
      </c>
      <c r="Z188" s="16">
        <f t="shared" si="89"/>
        <v>0.11045223847364867</v>
      </c>
      <c r="AA188" s="16">
        <f t="shared" si="85"/>
        <v>0.14336836170579312</v>
      </c>
      <c r="AB188" s="16">
        <f t="shared" si="86"/>
        <v>5.3180863045227734E-4</v>
      </c>
      <c r="AC188" s="16">
        <f t="shared" si="87"/>
        <v>-7.5329050990850915E-5</v>
      </c>
    </row>
    <row r="189" spans="1:29" x14ac:dyDescent="0.15">
      <c r="A189" s="8">
        <v>41176</v>
      </c>
      <c r="B189" s="4">
        <v>1456.89</v>
      </c>
      <c r="C189" s="1">
        <v>13.6479</v>
      </c>
      <c r="D189" s="1">
        <v>2.09</v>
      </c>
      <c r="E189" s="1">
        <v>0.37130000000000002</v>
      </c>
      <c r="F189" s="4">
        <f t="shared" si="77"/>
        <v>0.13647899999999999</v>
      </c>
      <c r="G189" s="4">
        <f t="shared" si="78"/>
        <v>2.0899999999999998E-2</v>
      </c>
      <c r="H189" s="4">
        <f t="shared" si="79"/>
        <v>3.7130000000000002E-3</v>
      </c>
      <c r="I189" s="3">
        <f t="shared" si="80"/>
        <v>42.668368648161142</v>
      </c>
      <c r="J189" s="4">
        <f t="shared" si="90"/>
        <v>1119055.4450824352</v>
      </c>
      <c r="K189" s="1">
        <f t="shared" si="91"/>
        <v>1405.53</v>
      </c>
      <c r="L189" s="5">
        <f t="shared" si="92"/>
        <v>0.13972602739726053</v>
      </c>
      <c r="M189" s="5">
        <f t="shared" si="93"/>
        <v>-0.2469181401607794</v>
      </c>
      <c r="N189" s="5">
        <f t="shared" si="94"/>
        <v>11.200799559085825</v>
      </c>
      <c r="O189" s="1">
        <f t="shared" si="95"/>
        <v>0</v>
      </c>
      <c r="P189" s="1">
        <f t="shared" si="96"/>
        <v>1405.53</v>
      </c>
      <c r="Q189" s="5">
        <f t="shared" si="97"/>
        <v>0.13972602739726053</v>
      </c>
      <c r="R189" s="5">
        <f t="shared" si="98"/>
        <v>-0.2469181401607794</v>
      </c>
      <c r="S189" s="5">
        <f t="shared" si="81"/>
        <v>11.200799559085825</v>
      </c>
      <c r="T189" s="5">
        <f t="shared" si="82"/>
        <v>-769.57414105728708</v>
      </c>
      <c r="U189" s="4">
        <f t="shared" si="83"/>
        <v>1119073.503264823</v>
      </c>
      <c r="V189" s="4">
        <f t="shared" si="99"/>
        <v>54.175421377231288</v>
      </c>
      <c r="W189" s="4">
        <f t="shared" si="84"/>
        <v>1110453.6575649846</v>
      </c>
      <c r="X189" s="4">
        <f t="shared" si="88"/>
        <v>1.4190913359634578</v>
      </c>
      <c r="Y189" s="9">
        <f>SUM($X$6:X189)</f>
        <v>110453.65756498463</v>
      </c>
      <c r="Z189" s="16">
        <f t="shared" si="89"/>
        <v>0.11045365756498464</v>
      </c>
      <c r="AA189" s="16">
        <f t="shared" si="85"/>
        <v>0.14081562338496245</v>
      </c>
      <c r="AB189" s="16">
        <f t="shared" si="86"/>
        <v>1.2779400020968423E-6</v>
      </c>
      <c r="AC189" s="16">
        <f t="shared" si="87"/>
        <v>-2.2326473307536835E-3</v>
      </c>
    </row>
    <row r="190" spans="1:29" x14ac:dyDescent="0.15">
      <c r="A190" s="8">
        <v>41177</v>
      </c>
      <c r="B190" s="4">
        <v>1441.59</v>
      </c>
      <c r="C190" s="1">
        <v>14.3355</v>
      </c>
      <c r="D190" s="1">
        <v>2.11</v>
      </c>
      <c r="E190" s="1">
        <v>0.36749999999999999</v>
      </c>
      <c r="F190" s="4">
        <f t="shared" si="77"/>
        <v>0.14335500000000001</v>
      </c>
      <c r="G190" s="4">
        <f t="shared" si="78"/>
        <v>2.1099999999999997E-2</v>
      </c>
      <c r="H190" s="4">
        <f t="shared" si="79"/>
        <v>3.6749999999999999E-3</v>
      </c>
      <c r="I190" s="3">
        <f t="shared" si="80"/>
        <v>44.227642558585515</v>
      </c>
      <c r="J190" s="4">
        <f t="shared" si="90"/>
        <v>1119073.503264823</v>
      </c>
      <c r="K190" s="1">
        <f t="shared" si="91"/>
        <v>1405.53</v>
      </c>
      <c r="L190" s="5">
        <f t="shared" si="92"/>
        <v>0.13698630136986328</v>
      </c>
      <c r="M190" s="5">
        <f t="shared" si="93"/>
        <v>-0.32219018621625295</v>
      </c>
      <c r="N190" s="5">
        <f t="shared" si="94"/>
        <v>16.542969049205503</v>
      </c>
      <c r="O190" s="1">
        <f t="shared" si="95"/>
        <v>0</v>
      </c>
      <c r="P190" s="1">
        <f t="shared" si="96"/>
        <v>1405.53</v>
      </c>
      <c r="Q190" s="5">
        <f t="shared" si="97"/>
        <v>0.13698630136986328</v>
      </c>
      <c r="R190" s="5">
        <f t="shared" si="98"/>
        <v>-0.32219018621625295</v>
      </c>
      <c r="S190" s="5">
        <f t="shared" si="81"/>
        <v>16.542969049205503</v>
      </c>
      <c r="T190" s="5">
        <f t="shared" si="82"/>
        <v>-769.57414105728708</v>
      </c>
      <c r="U190" s="4">
        <f t="shared" si="83"/>
        <v>1119127.6786862002</v>
      </c>
      <c r="V190" s="4">
        <f t="shared" si="99"/>
        <v>18.059348020443064</v>
      </c>
      <c r="W190" s="4">
        <f t="shared" si="84"/>
        <v>1106396.6374896206</v>
      </c>
      <c r="X190" s="4">
        <f t="shared" si="88"/>
        <v>-4057.0200753640383</v>
      </c>
      <c r="Y190" s="9">
        <f>SUM($X$6:X190)</f>
        <v>106396.6374896206</v>
      </c>
      <c r="Z190" s="16">
        <f t="shared" si="89"/>
        <v>0.1063966374896206</v>
      </c>
      <c r="AA190" s="16">
        <f t="shared" si="85"/>
        <v>0.12883498034548102</v>
      </c>
      <c r="AB190" s="16">
        <f t="shared" si="86"/>
        <v>-3.6534798617893862E-3</v>
      </c>
      <c r="AC190" s="16">
        <f t="shared" si="87"/>
        <v>-1.0501822375059325E-2</v>
      </c>
    </row>
    <row r="191" spans="1:29" x14ac:dyDescent="0.15">
      <c r="A191" s="8">
        <v>41178</v>
      </c>
      <c r="B191" s="4">
        <v>1433.32</v>
      </c>
      <c r="C191" s="1">
        <v>15.2226</v>
      </c>
      <c r="D191" s="1">
        <v>2.12</v>
      </c>
      <c r="E191" s="1">
        <v>0.36630000000000001</v>
      </c>
      <c r="F191" s="4">
        <f t="shared" si="77"/>
        <v>0.152226</v>
      </c>
      <c r="G191" s="4">
        <f t="shared" si="78"/>
        <v>2.12E-2</v>
      </c>
      <c r="H191" s="4">
        <f t="shared" si="79"/>
        <v>3.663E-3</v>
      </c>
      <c r="I191" s="3">
        <f t="shared" si="80"/>
        <v>46.513166980115244</v>
      </c>
      <c r="J191" s="4">
        <f t="shared" si="90"/>
        <v>1119127.6786862002</v>
      </c>
      <c r="K191" s="1">
        <f t="shared" si="91"/>
        <v>1405.53</v>
      </c>
      <c r="L191" s="5">
        <f t="shared" si="92"/>
        <v>0.13424657534246603</v>
      </c>
      <c r="M191" s="5">
        <f t="shared" si="93"/>
        <v>-0.36712084661147559</v>
      </c>
      <c r="N191" s="5">
        <f t="shared" si="94"/>
        <v>20.813954710266575</v>
      </c>
      <c r="O191" s="1">
        <f t="shared" si="95"/>
        <v>0</v>
      </c>
      <c r="P191" s="1">
        <f t="shared" si="96"/>
        <v>1405.53</v>
      </c>
      <c r="Q191" s="5">
        <f t="shared" si="97"/>
        <v>0.13424657534246603</v>
      </c>
      <c r="R191" s="5">
        <f t="shared" si="98"/>
        <v>-0.36712084661147559</v>
      </c>
      <c r="S191" s="5">
        <f t="shared" si="81"/>
        <v>20.813954710266575</v>
      </c>
      <c r="T191" s="5">
        <f t="shared" si="82"/>
        <v>-769.57414105728708</v>
      </c>
      <c r="U191" s="4">
        <f t="shared" si="83"/>
        <v>1119145.7380342206</v>
      </c>
      <c r="V191" s="4">
        <f t="shared" si="99"/>
        <v>18.059639443894682</v>
      </c>
      <c r="W191" s="4">
        <f t="shared" si="84"/>
        <v>1103127.8567160619</v>
      </c>
      <c r="X191" s="4">
        <f t="shared" si="88"/>
        <v>-3268.7807735586539</v>
      </c>
      <c r="Y191" s="9">
        <f>SUM($X$6:X191)</f>
        <v>103127.85671606194</v>
      </c>
      <c r="Z191" s="16">
        <f t="shared" si="89"/>
        <v>0.10312785671606194</v>
      </c>
      <c r="AA191" s="16">
        <f t="shared" si="85"/>
        <v>0.12235916871564374</v>
      </c>
      <c r="AB191" s="16">
        <f t="shared" si="86"/>
        <v>-2.9544384561538575E-3</v>
      </c>
      <c r="AC191" s="16">
        <f t="shared" si="87"/>
        <v>-5.7367212591652146E-3</v>
      </c>
    </row>
    <row r="192" spans="1:29" x14ac:dyDescent="0.15">
      <c r="A192" s="8">
        <v>41179</v>
      </c>
      <c r="B192" s="4">
        <v>1447.15</v>
      </c>
      <c r="C192" s="1">
        <v>14.101900000000001</v>
      </c>
      <c r="D192" s="1">
        <v>2.1</v>
      </c>
      <c r="E192" s="1">
        <v>0.36820000000000003</v>
      </c>
      <c r="F192" s="4">
        <f t="shared" si="77"/>
        <v>0.14101900000000001</v>
      </c>
      <c r="G192" s="4">
        <f t="shared" si="78"/>
        <v>2.1000000000000001E-2</v>
      </c>
      <c r="H192" s="4">
        <f t="shared" si="79"/>
        <v>3.6820000000000004E-3</v>
      </c>
      <c r="I192" s="3">
        <f t="shared" si="80"/>
        <v>43.708899273377583</v>
      </c>
      <c r="J192" s="4">
        <f t="shared" si="90"/>
        <v>1119145.7380342206</v>
      </c>
      <c r="K192" s="1">
        <f t="shared" si="91"/>
        <v>1405.53</v>
      </c>
      <c r="L192" s="5">
        <f t="shared" si="92"/>
        <v>0.13150684931506879</v>
      </c>
      <c r="M192" s="5">
        <f t="shared" si="93"/>
        <v>-0.28978594595858204</v>
      </c>
      <c r="N192" s="5">
        <f t="shared" si="94"/>
        <v>13.822633440872682</v>
      </c>
      <c r="O192" s="1">
        <f t="shared" si="95"/>
        <v>0</v>
      </c>
      <c r="P192" s="1">
        <f t="shared" si="96"/>
        <v>1405.53</v>
      </c>
      <c r="Q192" s="5">
        <f t="shared" si="97"/>
        <v>0.13150684931506879</v>
      </c>
      <c r="R192" s="5">
        <f t="shared" si="98"/>
        <v>-0.28978594595858204</v>
      </c>
      <c r="S192" s="5">
        <f t="shared" si="81"/>
        <v>13.822633440872682</v>
      </c>
      <c r="T192" s="5">
        <f t="shared" si="82"/>
        <v>-769.57414105728708</v>
      </c>
      <c r="U192" s="4">
        <f t="shared" si="83"/>
        <v>1119163.7976736645</v>
      </c>
      <c r="V192" s="4">
        <f t="shared" si="99"/>
        <v>18.059930872048998</v>
      </c>
      <c r="W192" s="4">
        <f t="shared" si="84"/>
        <v>1108526.2564162551</v>
      </c>
      <c r="X192" s="4">
        <f t="shared" si="88"/>
        <v>5398.3997001932003</v>
      </c>
      <c r="Y192" s="9">
        <f>SUM($X$6:X192)</f>
        <v>108526.25641625514</v>
      </c>
      <c r="Z192" s="16">
        <f t="shared" si="89"/>
        <v>0.10852625641625514</v>
      </c>
      <c r="AA192" s="16">
        <f t="shared" si="85"/>
        <v>0.13318873036505735</v>
      </c>
      <c r="AB192" s="16">
        <f t="shared" si="86"/>
        <v>4.8937207662073517E-3</v>
      </c>
      <c r="AC192" s="16">
        <f t="shared" si="87"/>
        <v>9.6489269667625905E-3</v>
      </c>
    </row>
    <row r="193" spans="1:29" x14ac:dyDescent="0.15">
      <c r="A193" s="8">
        <v>41180</v>
      </c>
      <c r="B193" s="4">
        <v>1440.67</v>
      </c>
      <c r="C193" s="1">
        <v>14.503299999999999</v>
      </c>
      <c r="D193" s="1">
        <v>2.11</v>
      </c>
      <c r="E193" s="1">
        <v>0.36649999999999999</v>
      </c>
      <c r="F193" s="4">
        <f t="shared" si="77"/>
        <v>0.145033</v>
      </c>
      <c r="G193" s="4">
        <f t="shared" si="78"/>
        <v>2.1099999999999997E-2</v>
      </c>
      <c r="H193" s="4">
        <f t="shared" si="79"/>
        <v>3.6649999999999999E-3</v>
      </c>
      <c r="I193" s="3">
        <f t="shared" si="80"/>
        <v>44.680229844466957</v>
      </c>
      <c r="J193" s="4">
        <f t="shared" si="90"/>
        <v>1119163.7976736645</v>
      </c>
      <c r="K193" s="1">
        <f t="shared" si="91"/>
        <v>1405.53</v>
      </c>
      <c r="L193" s="5">
        <f t="shared" si="92"/>
        <v>0.12876712328767154</v>
      </c>
      <c r="M193" s="5">
        <f t="shared" si="93"/>
        <v>-0.32282589654250665</v>
      </c>
      <c r="N193" s="5">
        <f t="shared" si="94"/>
        <v>16.250690908367645</v>
      </c>
      <c r="O193" s="1">
        <f t="shared" si="95"/>
        <v>0</v>
      </c>
      <c r="P193" s="1">
        <f t="shared" si="96"/>
        <v>1405.53</v>
      </c>
      <c r="Q193" s="5">
        <f t="shared" si="97"/>
        <v>0.12876712328767154</v>
      </c>
      <c r="R193" s="5">
        <f t="shared" si="98"/>
        <v>-0.32282589654250665</v>
      </c>
      <c r="S193" s="5">
        <f t="shared" si="81"/>
        <v>16.250690908367645</v>
      </c>
      <c r="T193" s="5">
        <f t="shared" si="82"/>
        <v>-769.57414105728708</v>
      </c>
      <c r="U193" s="4">
        <f t="shared" si="83"/>
        <v>1119181.8576045365</v>
      </c>
      <c r="V193" s="4">
        <f t="shared" si="99"/>
        <v>18.06022230490608</v>
      </c>
      <c r="W193" s="4">
        <f t="shared" si="84"/>
        <v>1106675.746107142</v>
      </c>
      <c r="X193" s="4">
        <f t="shared" si="88"/>
        <v>-1850.5103091131896</v>
      </c>
      <c r="Y193" s="9">
        <f>SUM($X$6:X193)</f>
        <v>106675.74610714195</v>
      </c>
      <c r="Z193" s="16">
        <f t="shared" si="89"/>
        <v>0.10667574610714195</v>
      </c>
      <c r="AA193" s="16">
        <f t="shared" si="85"/>
        <v>0.12811457566598292</v>
      </c>
      <c r="AB193" s="16">
        <f t="shared" si="86"/>
        <v>-1.6693427858855488E-3</v>
      </c>
      <c r="AC193" s="16">
        <f t="shared" si="87"/>
        <v>-4.4777666447845888E-3</v>
      </c>
    </row>
    <row r="194" spans="1:29" x14ac:dyDescent="0.15">
      <c r="A194" s="8">
        <v>41183</v>
      </c>
      <c r="B194" s="4">
        <v>1444.49</v>
      </c>
      <c r="C194" s="1">
        <v>14.835599999999999</v>
      </c>
      <c r="D194" s="1">
        <v>2.17</v>
      </c>
      <c r="E194" s="1">
        <v>0.36309999999999998</v>
      </c>
      <c r="F194" s="4">
        <f t="shared" si="77"/>
        <v>0.14835599999999999</v>
      </c>
      <c r="G194" s="4">
        <f t="shared" si="78"/>
        <v>2.1700000000000001E-2</v>
      </c>
      <c r="H194" s="4">
        <f t="shared" si="79"/>
        <v>3.6309999999999997E-3</v>
      </c>
      <c r="I194" s="3">
        <f t="shared" si="80"/>
        <v>45.865596366881661</v>
      </c>
      <c r="J194" s="4">
        <f t="shared" si="90"/>
        <v>1119181.8576045365</v>
      </c>
      <c r="K194" s="1">
        <f t="shared" si="91"/>
        <v>1405.53</v>
      </c>
      <c r="L194" s="5">
        <f t="shared" si="92"/>
        <v>0.12054794520547976</v>
      </c>
      <c r="M194" s="5">
        <f t="shared" si="93"/>
        <v>-0.30273437078086757</v>
      </c>
      <c r="N194" s="5">
        <f t="shared" si="94"/>
        <v>14.753608508997548</v>
      </c>
      <c r="O194" s="1">
        <f t="shared" si="95"/>
        <v>0</v>
      </c>
      <c r="P194" s="1">
        <f t="shared" si="96"/>
        <v>1405.53</v>
      </c>
      <c r="Q194" s="5">
        <f t="shared" si="97"/>
        <v>0.12054794520547976</v>
      </c>
      <c r="R194" s="5">
        <f t="shared" si="98"/>
        <v>-0.30273437078086757</v>
      </c>
      <c r="S194" s="5">
        <f t="shared" si="81"/>
        <v>14.753608508997548</v>
      </c>
      <c r="T194" s="5">
        <f t="shared" si="82"/>
        <v>-769.57414105728708</v>
      </c>
      <c r="U194" s="4">
        <f t="shared" si="83"/>
        <v>1119199.9178268414</v>
      </c>
      <c r="V194" s="4">
        <f t="shared" si="99"/>
        <v>54.181541227398043</v>
      </c>
      <c r="W194" s="4">
        <f t="shared" si="84"/>
        <v>1107845.9222310341</v>
      </c>
      <c r="X194" s="4">
        <f t="shared" si="88"/>
        <v>1170.1761238921899</v>
      </c>
      <c r="Y194" s="9">
        <f>SUM($X$6:X194)</f>
        <v>107845.92223103414</v>
      </c>
      <c r="Z194" s="16">
        <f t="shared" si="89"/>
        <v>0.10784592223103415</v>
      </c>
      <c r="AA194" s="16">
        <f t="shared" si="85"/>
        <v>0.13110582118302982</v>
      </c>
      <c r="AB194" s="16">
        <f t="shared" si="86"/>
        <v>1.0573793886858168E-3</v>
      </c>
      <c r="AC194" s="16">
        <f t="shared" si="87"/>
        <v>2.6515440732436547E-3</v>
      </c>
    </row>
    <row r="195" spans="1:29" x14ac:dyDescent="0.15">
      <c r="A195" s="8">
        <v>41184</v>
      </c>
      <c r="B195" s="4">
        <v>1445.75</v>
      </c>
      <c r="C195" s="1">
        <v>14.8691</v>
      </c>
      <c r="D195" s="1">
        <v>2.17</v>
      </c>
      <c r="E195" s="1">
        <v>0.3619</v>
      </c>
      <c r="F195" s="4">
        <f t="shared" si="77"/>
        <v>0.14869099999999999</v>
      </c>
      <c r="G195" s="4">
        <f t="shared" si="78"/>
        <v>2.1700000000000001E-2</v>
      </c>
      <c r="H195" s="4">
        <f t="shared" si="79"/>
        <v>3.6189999999999998E-3</v>
      </c>
      <c r="I195" s="3">
        <f t="shared" si="80"/>
        <v>46.003862387961085</v>
      </c>
      <c r="J195" s="4">
        <f t="shared" si="90"/>
        <v>1119199.9178268414</v>
      </c>
      <c r="K195" s="1">
        <f t="shared" si="91"/>
        <v>1405.53</v>
      </c>
      <c r="L195" s="5">
        <f t="shared" si="92"/>
        <v>0.1178082191780825</v>
      </c>
      <c r="M195" s="5">
        <f t="shared" si="93"/>
        <v>-0.29501460247621253</v>
      </c>
      <c r="N195" s="5">
        <f t="shared" si="94"/>
        <v>14.119138018748625</v>
      </c>
      <c r="O195" s="1">
        <f t="shared" si="95"/>
        <v>0</v>
      </c>
      <c r="P195" s="1">
        <f t="shared" si="96"/>
        <v>1405.53</v>
      </c>
      <c r="Q195" s="5">
        <f t="shared" si="97"/>
        <v>0.1178082191780825</v>
      </c>
      <c r="R195" s="5">
        <f t="shared" si="98"/>
        <v>-0.29501460247621253</v>
      </c>
      <c r="S195" s="5">
        <f t="shared" si="81"/>
        <v>14.119138018748625</v>
      </c>
      <c r="T195" s="5">
        <f t="shared" si="82"/>
        <v>-769.57414105728708</v>
      </c>
      <c r="U195" s="4">
        <f t="shared" si="83"/>
        <v>1119254.0993680689</v>
      </c>
      <c r="V195" s="4">
        <f t="shared" si="99"/>
        <v>18.061388069254591</v>
      </c>
      <c r="W195" s="4">
        <f t="shared" si="84"/>
        <v>1108388.3758548212</v>
      </c>
      <c r="X195" s="4">
        <f t="shared" si="88"/>
        <v>542.4536237870343</v>
      </c>
      <c r="Y195" s="9">
        <f>SUM($X$6:X195)</f>
        <v>108388.37585482118</v>
      </c>
      <c r="Z195" s="16">
        <f t="shared" si="89"/>
        <v>0.10838837585482118</v>
      </c>
      <c r="AA195" s="16">
        <f t="shared" si="85"/>
        <v>0.13209246237451652</v>
      </c>
      <c r="AB195" s="16">
        <f t="shared" si="86"/>
        <v>4.8964717286192178E-4</v>
      </c>
      <c r="AC195" s="16">
        <f t="shared" si="87"/>
        <v>8.7228018193271739E-4</v>
      </c>
    </row>
    <row r="196" spans="1:29" x14ac:dyDescent="0.15">
      <c r="A196" s="8">
        <v>41185</v>
      </c>
      <c r="B196" s="4">
        <v>1450.99</v>
      </c>
      <c r="C196" s="1">
        <v>14.499700000000001</v>
      </c>
      <c r="D196" s="1">
        <v>2.17</v>
      </c>
      <c r="E196" s="1">
        <v>0.36020000000000002</v>
      </c>
      <c r="F196" s="4">
        <f t="shared" si="77"/>
        <v>0.14499700000000001</v>
      </c>
      <c r="G196" s="4">
        <f t="shared" si="78"/>
        <v>2.1700000000000001E-2</v>
      </c>
      <c r="H196" s="4">
        <f t="shared" si="79"/>
        <v>3.6020000000000002E-3</v>
      </c>
      <c r="I196" s="3">
        <f t="shared" si="80"/>
        <v>45.112309735798036</v>
      </c>
      <c r="J196" s="4">
        <f t="shared" si="90"/>
        <v>1119254.0993680689</v>
      </c>
      <c r="K196" s="1">
        <f t="shared" si="91"/>
        <v>1405.53</v>
      </c>
      <c r="L196" s="5">
        <f t="shared" si="92"/>
        <v>0.11506849315068524</v>
      </c>
      <c r="M196" s="5">
        <f t="shared" si="93"/>
        <v>-0.26387484178103116</v>
      </c>
      <c r="N196" s="5">
        <f t="shared" si="94"/>
        <v>11.735828439500796</v>
      </c>
      <c r="O196" s="1">
        <f t="shared" si="95"/>
        <v>0</v>
      </c>
      <c r="P196" s="1">
        <f t="shared" si="96"/>
        <v>1405.53</v>
      </c>
      <c r="Q196" s="5">
        <f t="shared" si="97"/>
        <v>0.11506849315068524</v>
      </c>
      <c r="R196" s="5">
        <f t="shared" si="98"/>
        <v>-0.26387484178103116</v>
      </c>
      <c r="S196" s="5">
        <f t="shared" si="81"/>
        <v>11.735828439500796</v>
      </c>
      <c r="T196" s="5">
        <f t="shared" si="82"/>
        <v>-769.57414105728708</v>
      </c>
      <c r="U196" s="4">
        <f t="shared" si="83"/>
        <v>1119272.1607561382</v>
      </c>
      <c r="V196" s="4">
        <f t="shared" si="99"/>
        <v>18.061679525626445</v>
      </c>
      <c r="W196" s="4">
        <f t="shared" si="84"/>
        <v>1110240.5706652137</v>
      </c>
      <c r="X196" s="4">
        <f t="shared" si="88"/>
        <v>1852.1948103925679</v>
      </c>
      <c r="Y196" s="9">
        <f>SUM($X$6:X196)</f>
        <v>110240.57066521375</v>
      </c>
      <c r="Z196" s="16">
        <f t="shared" si="89"/>
        <v>0.11024057066521374</v>
      </c>
      <c r="AA196" s="16">
        <f t="shared" si="85"/>
        <v>0.13619563685339769</v>
      </c>
      <c r="AB196" s="16">
        <f t="shared" si="86"/>
        <v>1.6710702229839804E-3</v>
      </c>
      <c r="AC196" s="16">
        <f t="shared" si="87"/>
        <v>3.6244163928756765E-3</v>
      </c>
    </row>
    <row r="197" spans="1:29" x14ac:dyDescent="0.15">
      <c r="A197" s="8">
        <v>41186</v>
      </c>
      <c r="B197" s="4">
        <v>1461.4</v>
      </c>
      <c r="C197" s="1">
        <v>14.114699999999999</v>
      </c>
      <c r="D197" s="1">
        <v>2.15</v>
      </c>
      <c r="E197" s="1">
        <v>0.36009999999999998</v>
      </c>
      <c r="F197" s="4">
        <f t="shared" si="77"/>
        <v>0.14114699999999999</v>
      </c>
      <c r="G197" s="4">
        <f t="shared" si="78"/>
        <v>2.1499999999999998E-2</v>
      </c>
      <c r="H197" s="4">
        <f t="shared" si="79"/>
        <v>3.6009999999999996E-3</v>
      </c>
      <c r="I197" s="3">
        <f t="shared" si="80"/>
        <v>44.284802400003841</v>
      </c>
      <c r="J197" s="4">
        <f t="shared" si="90"/>
        <v>1119272.1607561382</v>
      </c>
      <c r="K197" s="1">
        <f t="shared" si="91"/>
        <v>1405.53</v>
      </c>
      <c r="L197" s="5">
        <f t="shared" si="92"/>
        <v>0.11232876712328797</v>
      </c>
      <c r="M197" s="5">
        <f t="shared" si="93"/>
        <v>-0.20985742969313606</v>
      </c>
      <c r="N197" s="5">
        <f t="shared" si="94"/>
        <v>8.4057252112637357</v>
      </c>
      <c r="O197" s="1">
        <f t="shared" si="95"/>
        <v>0</v>
      </c>
      <c r="P197" s="1">
        <f t="shared" si="96"/>
        <v>1405.53</v>
      </c>
      <c r="Q197" s="5">
        <f t="shared" si="97"/>
        <v>0.11232876712328797</v>
      </c>
      <c r="R197" s="5">
        <f t="shared" si="98"/>
        <v>-0.20985742969313606</v>
      </c>
      <c r="S197" s="5">
        <f t="shared" si="81"/>
        <v>8.4057252112637357</v>
      </c>
      <c r="T197" s="5">
        <f t="shared" si="82"/>
        <v>-769.57414105728708</v>
      </c>
      <c r="U197" s="4">
        <f t="shared" si="83"/>
        <v>1119290.2224356637</v>
      </c>
      <c r="V197" s="4">
        <f t="shared" si="99"/>
        <v>18.061970986701532</v>
      </c>
      <c r="W197" s="4">
        <f t="shared" si="84"/>
        <v>1112821.3936762419</v>
      </c>
      <c r="X197" s="4">
        <f t="shared" si="88"/>
        <v>2580.8230110281147</v>
      </c>
      <c r="Y197" s="9">
        <f>SUM($X$6:X197)</f>
        <v>112821.39367624186</v>
      </c>
      <c r="Z197" s="16">
        <f t="shared" si="89"/>
        <v>0.11282139367624186</v>
      </c>
      <c r="AA197" s="16">
        <f t="shared" si="85"/>
        <v>0.14434717241163308</v>
      </c>
      <c r="AB197" s="16">
        <f t="shared" si="86"/>
        <v>2.3245619726198477E-3</v>
      </c>
      <c r="AC197" s="16">
        <f t="shared" si="87"/>
        <v>7.1744119532182044E-3</v>
      </c>
    </row>
    <row r="198" spans="1:29" x14ac:dyDescent="0.15">
      <c r="A198" s="8">
        <v>41187</v>
      </c>
      <c r="B198" s="4">
        <v>1460.93</v>
      </c>
      <c r="C198" s="1">
        <v>14.0657</v>
      </c>
      <c r="D198" s="1">
        <v>2.15</v>
      </c>
      <c r="E198" s="1">
        <v>0.35909999999999997</v>
      </c>
      <c r="F198" s="4">
        <f t="shared" si="77"/>
        <v>0.140657</v>
      </c>
      <c r="G198" s="4">
        <f t="shared" si="78"/>
        <v>2.1499999999999998E-2</v>
      </c>
      <c r="H198" s="4">
        <f t="shared" si="79"/>
        <v>3.5909999999999996E-3</v>
      </c>
      <c r="I198" s="3">
        <f t="shared" si="80"/>
        <v>44.130744629332362</v>
      </c>
      <c r="J198" s="4">
        <f t="shared" si="90"/>
        <v>1119290.2224356637</v>
      </c>
      <c r="K198" s="1">
        <f t="shared" si="91"/>
        <v>1405.53</v>
      </c>
      <c r="L198" s="5">
        <f t="shared" si="92"/>
        <v>0.10958904109589071</v>
      </c>
      <c r="M198" s="5">
        <f t="shared" si="93"/>
        <v>-0.20808548000510493</v>
      </c>
      <c r="N198" s="5">
        <f t="shared" si="94"/>
        <v>8.1778523503611051</v>
      </c>
      <c r="O198" s="1">
        <f t="shared" si="95"/>
        <v>0</v>
      </c>
      <c r="P198" s="1">
        <f t="shared" si="96"/>
        <v>1405.53</v>
      </c>
      <c r="Q198" s="5">
        <f t="shared" si="97"/>
        <v>0.10958904109589071</v>
      </c>
      <c r="R198" s="5">
        <f t="shared" si="98"/>
        <v>-0.20808548000510493</v>
      </c>
      <c r="S198" s="5">
        <f t="shared" si="81"/>
        <v>8.1778523503611051</v>
      </c>
      <c r="T198" s="5">
        <f t="shared" si="82"/>
        <v>-769.57414105728708</v>
      </c>
      <c r="U198" s="4">
        <f t="shared" si="83"/>
        <v>1119308.2844066503</v>
      </c>
      <c r="V198" s="4">
        <f t="shared" si="99"/>
        <v>18.062262452479917</v>
      </c>
      <c r="W198" s="4">
        <f t="shared" si="84"/>
        <v>1113014.8207084278</v>
      </c>
      <c r="X198" s="4">
        <f t="shared" si="88"/>
        <v>193.42703218595125</v>
      </c>
      <c r="Y198" s="9">
        <f>SUM($X$6:X198)</f>
        <v>113014.82070842781</v>
      </c>
      <c r="Z198" s="16">
        <f t="shared" si="89"/>
        <v>0.1130148207084278</v>
      </c>
      <c r="AA198" s="16">
        <f t="shared" si="85"/>
        <v>0.14397913958623723</v>
      </c>
      <c r="AB198" s="16">
        <f t="shared" si="86"/>
        <v>1.7381678073869402E-4</v>
      </c>
      <c r="AC198" s="16">
        <f t="shared" si="87"/>
        <v>-3.2160941562886768E-4</v>
      </c>
    </row>
    <row r="199" spans="1:29" x14ac:dyDescent="0.15">
      <c r="A199" s="8">
        <v>41190</v>
      </c>
      <c r="B199" s="4">
        <v>1455.88</v>
      </c>
      <c r="C199" s="1">
        <v>14.3004</v>
      </c>
      <c r="D199" s="1">
        <v>2.16</v>
      </c>
      <c r="E199" s="1">
        <v>0.35799999999999998</v>
      </c>
      <c r="F199" s="4">
        <f t="shared" ref="F199:F262" si="100">C199/100</f>
        <v>0.14300399999999999</v>
      </c>
      <c r="G199" s="4">
        <f t="shared" ref="G199:G262" si="101">D199/100</f>
        <v>2.1600000000000001E-2</v>
      </c>
      <c r="H199" s="4">
        <f t="shared" ref="H199:H262" si="102">E199/100</f>
        <v>3.5799999999999998E-3</v>
      </c>
      <c r="I199" s="3">
        <f t="shared" ref="I199:I262" si="103">BSM_Put(B199,B199,F199,H199,G199,$B$3,$F$3)</f>
        <v>44.675540611660999</v>
      </c>
      <c r="J199" s="4">
        <f t="shared" si="90"/>
        <v>1119308.2844066503</v>
      </c>
      <c r="K199" s="1">
        <f t="shared" si="91"/>
        <v>1405.53</v>
      </c>
      <c r="L199" s="5">
        <f t="shared" si="92"/>
        <v>0.10136986301369894</v>
      </c>
      <c r="M199" s="5">
        <f t="shared" si="93"/>
        <v>-0.22443254745716101</v>
      </c>
      <c r="N199" s="5">
        <f t="shared" si="94"/>
        <v>8.7857197157582707</v>
      </c>
      <c r="O199" s="1">
        <f t="shared" si="95"/>
        <v>0</v>
      </c>
      <c r="P199" s="1">
        <f t="shared" si="96"/>
        <v>1405.53</v>
      </c>
      <c r="Q199" s="5">
        <f t="shared" si="97"/>
        <v>0.10136986301369894</v>
      </c>
      <c r="R199" s="5">
        <f t="shared" si="98"/>
        <v>-0.22443254745716101</v>
      </c>
      <c r="S199" s="5">
        <f t="shared" ref="S199:S262" si="104">BSM_Put(B199,P199,F199,H199,G199,Q199,$F$3)</f>
        <v>8.7857197157582707</v>
      </c>
      <c r="T199" s="5">
        <f t="shared" si="82"/>
        <v>-769.57414105728708</v>
      </c>
      <c r="U199" s="4">
        <f t="shared" si="83"/>
        <v>1119326.3466691028</v>
      </c>
      <c r="V199" s="4">
        <f t="shared" si="99"/>
        <v>54.18766176888505</v>
      </c>
      <c r="W199" s="4">
        <f t="shared" si="84"/>
        <v>1112565.083965278</v>
      </c>
      <c r="X199" s="4">
        <f t="shared" si="88"/>
        <v>-449.73674314981326</v>
      </c>
      <c r="Y199" s="9">
        <f>SUM($X$6:X199)</f>
        <v>112565.083965278</v>
      </c>
      <c r="Z199" s="16">
        <f t="shared" si="89"/>
        <v>0.11256508396527799</v>
      </c>
      <c r="AA199" s="16">
        <f t="shared" si="85"/>
        <v>0.14002474433464376</v>
      </c>
      <c r="AB199" s="16">
        <f t="shared" si="86"/>
        <v>-4.0407075879147618E-4</v>
      </c>
      <c r="AC199" s="16">
        <f t="shared" si="87"/>
        <v>-3.4567022376157338E-3</v>
      </c>
    </row>
    <row r="200" spans="1:29" x14ac:dyDescent="0.15">
      <c r="A200" s="8">
        <v>41191</v>
      </c>
      <c r="B200" s="4">
        <v>1441.48</v>
      </c>
      <c r="C200" s="1">
        <v>14.956200000000001</v>
      </c>
      <c r="D200" s="1">
        <v>2.1800000000000002</v>
      </c>
      <c r="E200" s="1">
        <v>0.35449999999999998</v>
      </c>
      <c r="F200" s="4">
        <f t="shared" si="100"/>
        <v>0.149562</v>
      </c>
      <c r="G200" s="4">
        <f t="shared" si="101"/>
        <v>2.18E-2</v>
      </c>
      <c r="H200" s="4">
        <f t="shared" si="102"/>
        <v>3.545E-3</v>
      </c>
      <c r="I200" s="3">
        <f t="shared" si="103"/>
        <v>46.149198990076194</v>
      </c>
      <c r="J200" s="4">
        <f t="shared" si="90"/>
        <v>1119326.3466691028</v>
      </c>
      <c r="K200" s="1">
        <f t="shared" si="91"/>
        <v>1405.53</v>
      </c>
      <c r="L200" s="5">
        <f t="shared" si="92"/>
        <v>9.8630136986301672E-2</v>
      </c>
      <c r="M200" s="5">
        <f t="shared" si="93"/>
        <v>-0.2998941373720479</v>
      </c>
      <c r="N200" s="5">
        <f t="shared" si="94"/>
        <v>13.218928595645176</v>
      </c>
      <c r="O200" s="1">
        <f t="shared" si="95"/>
        <v>0</v>
      </c>
      <c r="P200" s="1">
        <f t="shared" si="96"/>
        <v>1405.53</v>
      </c>
      <c r="Q200" s="5">
        <f t="shared" si="97"/>
        <v>9.8630136986301672E-2</v>
      </c>
      <c r="R200" s="5">
        <f t="shared" si="98"/>
        <v>-0.2998941373720479</v>
      </c>
      <c r="S200" s="5">
        <f t="shared" si="104"/>
        <v>13.218928595645176</v>
      </c>
      <c r="T200" s="5">
        <f t="shared" ref="T200:T263" si="105">IF(O200,-(J200+IF(L200&lt;=0.00001, MAX(K200-B200,0),N200)*T199)/P200,T199)</f>
        <v>-769.57414105728708</v>
      </c>
      <c r="U200" s="4">
        <f t="shared" ref="U200:U263" si="106">IF(O200,(J200+IF(L200&lt;=0.00001, MAX(K200-B200,0),N200)*T199)-(S200*T200),U199)+V199</f>
        <v>1119380.5343308717</v>
      </c>
      <c r="V200" s="4">
        <f t="shared" si="99"/>
        <v>18.063428348517352</v>
      </c>
      <c r="W200" s="4">
        <f t="shared" ref="W200:W263" si="107">S200*T200+U200</f>
        <v>1109207.5887111805</v>
      </c>
      <c r="X200" s="4">
        <f t="shared" si="88"/>
        <v>-3357.4952540975064</v>
      </c>
      <c r="Y200" s="9">
        <f>SUM($X$6:X200)</f>
        <v>109207.58871118049</v>
      </c>
      <c r="Z200" s="16">
        <f t="shared" si="89"/>
        <v>0.1092075887111805</v>
      </c>
      <c r="AA200" s="16">
        <f t="shared" ref="AA200:AA263" si="108">(B200-$B$6)/$B$6</f>
        <v>0.12874884500336717</v>
      </c>
      <c r="AB200" s="16">
        <f t="shared" ref="AB200:AB263" si="109">X200/W199</f>
        <v>-3.0177967136368359E-3</v>
      </c>
      <c r="AC200" s="16">
        <f t="shared" ref="AC200:AC263" si="110">(B200-B199)/B199</f>
        <v>-9.8909250762426095E-3</v>
      </c>
    </row>
    <row r="201" spans="1:29" x14ac:dyDescent="0.15">
      <c r="A201" s="8">
        <v>41192</v>
      </c>
      <c r="B201" s="4">
        <v>1432.56</v>
      </c>
      <c r="C201" s="1">
        <v>15.1289</v>
      </c>
      <c r="D201" s="1">
        <v>2.2000000000000002</v>
      </c>
      <c r="E201" s="1">
        <v>0.35020000000000001</v>
      </c>
      <c r="F201" s="4">
        <f t="shared" si="100"/>
        <v>0.15128900000000001</v>
      </c>
      <c r="G201" s="4">
        <f t="shared" si="101"/>
        <v>2.2000000000000002E-2</v>
      </c>
      <c r="H201" s="4">
        <f t="shared" si="102"/>
        <v>3.5019999999999999E-3</v>
      </c>
      <c r="I201" s="3">
        <f t="shared" si="103"/>
        <v>46.398087280881441</v>
      </c>
      <c r="J201" s="4">
        <f t="shared" si="90"/>
        <v>1119380.5343308717</v>
      </c>
      <c r="K201" s="1">
        <f t="shared" si="91"/>
        <v>1405.53</v>
      </c>
      <c r="L201" s="5">
        <f t="shared" si="92"/>
        <v>9.589041095890441E-2</v>
      </c>
      <c r="M201" s="5">
        <f t="shared" si="93"/>
        <v>-0.34673674552306466</v>
      </c>
      <c r="N201" s="5">
        <f t="shared" si="94"/>
        <v>16.025313932613638</v>
      </c>
      <c r="O201" s="1">
        <f t="shared" si="95"/>
        <v>0</v>
      </c>
      <c r="P201" s="1">
        <f t="shared" si="96"/>
        <v>1405.53</v>
      </c>
      <c r="Q201" s="5">
        <f t="shared" si="97"/>
        <v>9.589041095890441E-2</v>
      </c>
      <c r="R201" s="5">
        <f t="shared" si="98"/>
        <v>-0.34673674552306466</v>
      </c>
      <c r="S201" s="5">
        <f t="shared" si="104"/>
        <v>16.025313932613638</v>
      </c>
      <c r="T201" s="5">
        <f t="shared" si="105"/>
        <v>-769.57414105728708</v>
      </c>
      <c r="U201" s="4">
        <f t="shared" si="106"/>
        <v>1119398.5977592203</v>
      </c>
      <c r="V201" s="4">
        <f t="shared" si="99"/>
        <v>18.063719837813171</v>
      </c>
      <c r="W201" s="4">
        <f t="shared" si="107"/>
        <v>1107065.9305543557</v>
      </c>
      <c r="X201" s="4">
        <f t="shared" ref="X201:X264" si="111">W201-W200</f>
        <v>-2141.6581568247639</v>
      </c>
      <c r="Y201" s="9">
        <f>SUM($X$6:X201)</f>
        <v>107065.93055435573</v>
      </c>
      <c r="Z201" s="16">
        <f t="shared" si="89"/>
        <v>0.10706593055435573</v>
      </c>
      <c r="AA201" s="16">
        <f t="shared" si="108"/>
        <v>0.12176405180649304</v>
      </c>
      <c r="AB201" s="16">
        <f t="shared" si="109"/>
        <v>-1.9308001303103388E-3</v>
      </c>
      <c r="AC201" s="16">
        <f t="shared" si="110"/>
        <v>-6.1880844687405116E-3</v>
      </c>
    </row>
    <row r="202" spans="1:29" x14ac:dyDescent="0.15">
      <c r="A202" s="8">
        <v>41193</v>
      </c>
      <c r="B202" s="4">
        <v>1432.84</v>
      </c>
      <c r="C202" s="1">
        <v>14.7082</v>
      </c>
      <c r="D202" s="1">
        <v>2.19</v>
      </c>
      <c r="E202" s="1">
        <v>0.3478</v>
      </c>
      <c r="F202" s="4">
        <f t="shared" si="100"/>
        <v>0.14708199999999999</v>
      </c>
      <c r="G202" s="4">
        <f t="shared" si="101"/>
        <v>2.1899999999999999E-2</v>
      </c>
      <c r="H202" s="4">
        <f t="shared" si="102"/>
        <v>3.4780000000000002E-3</v>
      </c>
      <c r="I202" s="3">
        <f t="shared" si="103"/>
        <v>45.199822804851514</v>
      </c>
      <c r="J202" s="4">
        <f t="shared" si="90"/>
        <v>1119398.5977592203</v>
      </c>
      <c r="K202" s="1">
        <f t="shared" si="91"/>
        <v>1405.53</v>
      </c>
      <c r="L202" s="5">
        <f t="shared" si="92"/>
        <v>9.3150684931507147E-2</v>
      </c>
      <c r="M202" s="5">
        <f t="shared" si="93"/>
        <v>-0.33914432863592181</v>
      </c>
      <c r="N202" s="5">
        <f t="shared" si="94"/>
        <v>14.871075615200473</v>
      </c>
      <c r="O202" s="1">
        <f t="shared" si="95"/>
        <v>0</v>
      </c>
      <c r="P202" s="1">
        <f t="shared" si="96"/>
        <v>1405.53</v>
      </c>
      <c r="Q202" s="5">
        <f t="shared" si="97"/>
        <v>9.3150684931507147E-2</v>
      </c>
      <c r="R202" s="5">
        <f t="shared" si="98"/>
        <v>-0.33914432863592181</v>
      </c>
      <c r="S202" s="5">
        <f t="shared" si="104"/>
        <v>14.871075615200473</v>
      </c>
      <c r="T202" s="5">
        <f t="shared" si="105"/>
        <v>-769.57414105728708</v>
      </c>
      <c r="U202" s="4">
        <f t="shared" si="106"/>
        <v>1119416.6614790582</v>
      </c>
      <c r="V202" s="4">
        <f t="shared" si="99"/>
        <v>18.064011331812747</v>
      </c>
      <c r="W202" s="4">
        <f t="shared" si="107"/>
        <v>1107972.2662358924</v>
      </c>
      <c r="X202" s="4">
        <f t="shared" si="111"/>
        <v>906.33568153670058</v>
      </c>
      <c r="Y202" s="9">
        <f>SUM($X$6:X202)</f>
        <v>107972.26623589243</v>
      </c>
      <c r="Z202" s="16">
        <f t="shared" si="89"/>
        <v>0.10797226623589243</v>
      </c>
      <c r="AA202" s="16">
        <f t="shared" si="108"/>
        <v>0.12198330540460117</v>
      </c>
      <c r="AB202" s="16">
        <f t="shared" si="109"/>
        <v>8.1868266064592842E-4</v>
      </c>
      <c r="AC202" s="16">
        <f t="shared" si="110"/>
        <v>1.9545429161778405E-4</v>
      </c>
    </row>
    <row r="203" spans="1:29" x14ac:dyDescent="0.15">
      <c r="A203" s="8">
        <v>41194</v>
      </c>
      <c r="B203" s="4">
        <v>1428.59</v>
      </c>
      <c r="C203" s="1">
        <v>14.803900000000001</v>
      </c>
      <c r="D203" s="1">
        <v>2.2000000000000002</v>
      </c>
      <c r="E203" s="1">
        <v>0.3417</v>
      </c>
      <c r="F203" s="4">
        <f t="shared" si="100"/>
        <v>0.148039</v>
      </c>
      <c r="G203" s="4">
        <f t="shared" si="101"/>
        <v>2.2000000000000002E-2</v>
      </c>
      <c r="H203" s="4">
        <f t="shared" si="102"/>
        <v>3.4169999999999999E-3</v>
      </c>
      <c r="I203" s="3">
        <f t="shared" si="103"/>
        <v>45.366302013295318</v>
      </c>
      <c r="J203" s="4">
        <f t="shared" si="90"/>
        <v>1119416.6614790582</v>
      </c>
      <c r="K203" s="1">
        <f t="shared" si="91"/>
        <v>1405.53</v>
      </c>
      <c r="L203" s="5">
        <f t="shared" si="92"/>
        <v>9.0410958904109884E-2</v>
      </c>
      <c r="M203" s="5">
        <f t="shared" si="93"/>
        <v>-0.36240950862422477</v>
      </c>
      <c r="N203" s="5">
        <f t="shared" si="94"/>
        <v>16.143918770164184</v>
      </c>
      <c r="O203" s="1">
        <f t="shared" si="95"/>
        <v>0</v>
      </c>
      <c r="P203" s="1">
        <f t="shared" si="96"/>
        <v>1405.53</v>
      </c>
      <c r="Q203" s="5">
        <f t="shared" si="97"/>
        <v>9.0410958904109884E-2</v>
      </c>
      <c r="R203" s="5">
        <f t="shared" si="98"/>
        <v>-0.36240950862422477</v>
      </c>
      <c r="S203" s="5">
        <f t="shared" si="104"/>
        <v>16.143918770164184</v>
      </c>
      <c r="T203" s="5">
        <f t="shared" si="105"/>
        <v>-769.57414105728708</v>
      </c>
      <c r="U203" s="4">
        <f t="shared" si="106"/>
        <v>1119434.7254903901</v>
      </c>
      <c r="V203" s="4">
        <f t="shared" si="99"/>
        <v>18.064302830516155</v>
      </c>
      <c r="W203" s="4">
        <f t="shared" si="107"/>
        <v>1107010.7830695424</v>
      </c>
      <c r="X203" s="4">
        <f t="shared" si="111"/>
        <v>-961.48316635005176</v>
      </c>
      <c r="Y203" s="9">
        <f>SUM($X$6:X203)</f>
        <v>107010.78306954238</v>
      </c>
      <c r="Z203" s="16">
        <f t="shared" si="89"/>
        <v>0.10701078306954237</v>
      </c>
      <c r="AA203" s="16">
        <f t="shared" si="108"/>
        <v>0.11865534900474525</v>
      </c>
      <c r="AB203" s="16">
        <f t="shared" si="109"/>
        <v>-8.6778631167050131E-4</v>
      </c>
      <c r="AC203" s="16">
        <f t="shared" si="110"/>
        <v>-2.9661371820998857E-3</v>
      </c>
    </row>
    <row r="204" spans="1:29" x14ac:dyDescent="0.15">
      <c r="A204" s="8">
        <v>41197</v>
      </c>
      <c r="B204" s="4">
        <v>1440.13</v>
      </c>
      <c r="C204" s="1">
        <v>14.4871</v>
      </c>
      <c r="D204" s="1">
        <v>2.19</v>
      </c>
      <c r="E204" s="1">
        <v>0.33760000000000001</v>
      </c>
      <c r="F204" s="4">
        <f t="shared" si="100"/>
        <v>0.144871</v>
      </c>
      <c r="G204" s="4">
        <f t="shared" si="101"/>
        <v>2.1899999999999999E-2</v>
      </c>
      <c r="H204" s="4">
        <f t="shared" si="102"/>
        <v>3.3760000000000001E-3</v>
      </c>
      <c r="I204" s="3">
        <f t="shared" si="103"/>
        <v>44.818946557461437</v>
      </c>
      <c r="J204" s="4">
        <f t="shared" si="90"/>
        <v>1119434.7254903901</v>
      </c>
      <c r="K204" s="1">
        <f t="shared" si="91"/>
        <v>1405.53</v>
      </c>
      <c r="L204" s="5">
        <f t="shared" si="92"/>
        <v>8.2191780821918109E-2</v>
      </c>
      <c r="M204" s="5">
        <f t="shared" si="93"/>
        <v>-0.28394995533642192</v>
      </c>
      <c r="N204" s="5">
        <f t="shared" si="94"/>
        <v>10.8090408165155</v>
      </c>
      <c r="O204" s="1">
        <f t="shared" si="95"/>
        <v>0</v>
      </c>
      <c r="P204" s="1">
        <f t="shared" si="96"/>
        <v>1405.53</v>
      </c>
      <c r="Q204" s="5">
        <f t="shared" si="97"/>
        <v>8.2191780821918109E-2</v>
      </c>
      <c r="R204" s="5">
        <f t="shared" si="98"/>
        <v>-0.28394995533642192</v>
      </c>
      <c r="S204" s="5">
        <f t="shared" si="104"/>
        <v>10.8090408165155</v>
      </c>
      <c r="T204" s="5">
        <f t="shared" si="105"/>
        <v>-769.57414105728708</v>
      </c>
      <c r="U204" s="4">
        <f t="shared" si="106"/>
        <v>1119452.7897932206</v>
      </c>
      <c r="V204" s="4">
        <f t="shared" si="99"/>
        <v>54.193783001770427</v>
      </c>
      <c r="W204" s="4">
        <f t="shared" si="107"/>
        <v>1111134.4314911976</v>
      </c>
      <c r="X204" s="4">
        <f t="shared" si="111"/>
        <v>4123.6484216551762</v>
      </c>
      <c r="Y204" s="9">
        <f>SUM($X$6:X204)</f>
        <v>111134.43149119755</v>
      </c>
      <c r="Z204" s="16">
        <f t="shared" si="89"/>
        <v>0.11113443149119755</v>
      </c>
      <c r="AA204" s="16">
        <f t="shared" si="108"/>
        <v>0.12769172944106008</v>
      </c>
      <c r="AB204" s="16">
        <f t="shared" si="109"/>
        <v>3.7250300401058772E-3</v>
      </c>
      <c r="AC204" s="16">
        <f t="shared" si="110"/>
        <v>8.0778949873652976E-3</v>
      </c>
    </row>
    <row r="205" spans="1:29" x14ac:dyDescent="0.15">
      <c r="A205" s="8">
        <v>41198</v>
      </c>
      <c r="B205" s="4">
        <v>1454.92</v>
      </c>
      <c r="C205" s="1">
        <v>14.2942</v>
      </c>
      <c r="D205" s="1">
        <v>2.16</v>
      </c>
      <c r="E205" s="1">
        <v>0.33200000000000002</v>
      </c>
      <c r="F205" s="4">
        <f t="shared" si="100"/>
        <v>0.14294200000000001</v>
      </c>
      <c r="G205" s="4">
        <f t="shared" si="101"/>
        <v>2.1600000000000001E-2</v>
      </c>
      <c r="H205" s="4">
        <f t="shared" si="102"/>
        <v>3.32E-3</v>
      </c>
      <c r="I205" s="3">
        <f t="shared" si="103"/>
        <v>44.679049890994797</v>
      </c>
      <c r="J205" s="4">
        <f t="shared" si="90"/>
        <v>1119452.7897932206</v>
      </c>
      <c r="K205" s="1">
        <f t="shared" si="91"/>
        <v>1405.53</v>
      </c>
      <c r="L205" s="5">
        <f t="shared" si="92"/>
        <v>7.9452054794520846E-2</v>
      </c>
      <c r="M205" s="5">
        <f t="shared" si="93"/>
        <v>-0.19975645660420466</v>
      </c>
      <c r="N205" s="5">
        <f t="shared" si="94"/>
        <v>6.6644967332194307</v>
      </c>
      <c r="O205" s="1">
        <f t="shared" si="95"/>
        <v>0</v>
      </c>
      <c r="P205" s="1">
        <f t="shared" si="96"/>
        <v>1405.53</v>
      </c>
      <c r="Q205" s="5">
        <f t="shared" si="97"/>
        <v>7.9452054794520846E-2</v>
      </c>
      <c r="R205" s="5">
        <f t="shared" si="98"/>
        <v>-0.19975645660420466</v>
      </c>
      <c r="S205" s="5">
        <f t="shared" si="104"/>
        <v>6.6644967332194307</v>
      </c>
      <c r="T205" s="5">
        <f t="shared" si="105"/>
        <v>-769.57414105728708</v>
      </c>
      <c r="U205" s="4">
        <f t="shared" si="106"/>
        <v>1119506.9835762223</v>
      </c>
      <c r="V205" s="4">
        <f t="shared" si="99"/>
        <v>18.065468858257397</v>
      </c>
      <c r="W205" s="4">
        <f t="shared" si="107"/>
        <v>1114378.1592271759</v>
      </c>
      <c r="X205" s="4">
        <f t="shared" si="111"/>
        <v>3243.7277359783184</v>
      </c>
      <c r="Y205" s="9">
        <f>SUM($X$6:X205)</f>
        <v>114378.15922717587</v>
      </c>
      <c r="Z205" s="16">
        <f t="shared" si="89"/>
        <v>0.11437815922717587</v>
      </c>
      <c r="AA205" s="16">
        <f t="shared" si="108"/>
        <v>0.13927301771255865</v>
      </c>
      <c r="AB205" s="16">
        <f t="shared" si="109"/>
        <v>2.919293691245869E-3</v>
      </c>
      <c r="AC205" s="16">
        <f t="shared" si="110"/>
        <v>1.0269906189024576E-2</v>
      </c>
    </row>
    <row r="206" spans="1:29" x14ac:dyDescent="0.15">
      <c r="A206" s="8">
        <v>41199</v>
      </c>
      <c r="B206" s="4">
        <v>1460.91</v>
      </c>
      <c r="C206" s="1">
        <v>14.0336</v>
      </c>
      <c r="D206" s="1">
        <v>2.16</v>
      </c>
      <c r="E206" s="1">
        <v>0.3276</v>
      </c>
      <c r="F206" s="4">
        <f t="shared" si="100"/>
        <v>0.14033599999999999</v>
      </c>
      <c r="G206" s="4">
        <f t="shared" si="101"/>
        <v>2.1600000000000001E-2</v>
      </c>
      <c r="H206" s="4">
        <f t="shared" si="102"/>
        <v>3.2759999999999998E-3</v>
      </c>
      <c r="I206" s="3">
        <f t="shared" si="103"/>
        <v>44.117661768248503</v>
      </c>
      <c r="J206" s="4">
        <f t="shared" si="90"/>
        <v>1119506.9835762223</v>
      </c>
      <c r="K206" s="1">
        <f t="shared" si="91"/>
        <v>1405.53</v>
      </c>
      <c r="L206" s="5">
        <f t="shared" si="92"/>
        <v>7.6712328767123583E-2</v>
      </c>
      <c r="M206" s="5">
        <f t="shared" si="93"/>
        <v>-0.16388593327475343</v>
      </c>
      <c r="N206" s="5">
        <f t="shared" si="94"/>
        <v>5.017512695959141</v>
      </c>
      <c r="O206" s="1">
        <f t="shared" si="95"/>
        <v>0</v>
      </c>
      <c r="P206" s="1">
        <f t="shared" si="96"/>
        <v>1405.53</v>
      </c>
      <c r="Q206" s="5">
        <f t="shared" si="97"/>
        <v>7.6712328767123583E-2</v>
      </c>
      <c r="R206" s="5">
        <f t="shared" si="98"/>
        <v>-0.16388593327475343</v>
      </c>
      <c r="S206" s="5">
        <f t="shared" si="104"/>
        <v>5.017512695959141</v>
      </c>
      <c r="T206" s="5">
        <f t="shared" si="105"/>
        <v>-769.57414105728708</v>
      </c>
      <c r="U206" s="4">
        <f t="shared" si="106"/>
        <v>1119525.0490450806</v>
      </c>
      <c r="V206" s="4">
        <f t="shared" si="99"/>
        <v>18.065760380480889</v>
      </c>
      <c r="W206" s="4">
        <f t="shared" si="107"/>
        <v>1115663.7010218438</v>
      </c>
      <c r="X206" s="4">
        <f t="shared" si="111"/>
        <v>1285.5417946679518</v>
      </c>
      <c r="Y206" s="9">
        <f>SUM($X$6:X206)</f>
        <v>115663.70102184382</v>
      </c>
      <c r="Z206" s="16">
        <f t="shared" si="89"/>
        <v>0.11566370102184383</v>
      </c>
      <c r="AA206" s="16">
        <f t="shared" si="108"/>
        <v>0.14396347861494382</v>
      </c>
      <c r="AB206" s="16">
        <f t="shared" si="109"/>
        <v>1.1535956479616204E-3</v>
      </c>
      <c r="AC206" s="16">
        <f t="shared" si="110"/>
        <v>4.1170648557996379E-3</v>
      </c>
    </row>
    <row r="207" spans="1:29" x14ac:dyDescent="0.15">
      <c r="A207" s="8">
        <v>41200</v>
      </c>
      <c r="B207" s="4">
        <v>1457.34</v>
      </c>
      <c r="C207" s="1">
        <v>14.087999999999999</v>
      </c>
      <c r="D207" s="1">
        <v>2.17</v>
      </c>
      <c r="E207" s="1">
        <v>0.32579999999999998</v>
      </c>
      <c r="F207" s="4">
        <f t="shared" si="100"/>
        <v>0.14088000000000001</v>
      </c>
      <c r="G207" s="4">
        <f t="shared" si="101"/>
        <v>2.1700000000000001E-2</v>
      </c>
      <c r="H207" s="4">
        <f t="shared" si="102"/>
        <v>3.2579999999999996E-3</v>
      </c>
      <c r="I207" s="3">
        <f t="shared" si="103"/>
        <v>44.18888579806957</v>
      </c>
      <c r="J207" s="4">
        <f t="shared" si="90"/>
        <v>1119525.0490450806</v>
      </c>
      <c r="K207" s="1">
        <f t="shared" si="91"/>
        <v>1405.53</v>
      </c>
      <c r="L207" s="5">
        <f t="shared" si="92"/>
        <v>7.397260273972632E-2</v>
      </c>
      <c r="M207" s="5">
        <f t="shared" si="93"/>
        <v>-0.17634844085921211</v>
      </c>
      <c r="N207" s="5">
        <f t="shared" si="94"/>
        <v>5.4104371538764395</v>
      </c>
      <c r="O207" s="1">
        <f t="shared" si="95"/>
        <v>0</v>
      </c>
      <c r="P207" s="1">
        <f t="shared" si="96"/>
        <v>1405.53</v>
      </c>
      <c r="Q207" s="5">
        <f t="shared" si="97"/>
        <v>7.397260273972632E-2</v>
      </c>
      <c r="R207" s="5">
        <f t="shared" si="98"/>
        <v>-0.17634844085921211</v>
      </c>
      <c r="S207" s="5">
        <f t="shared" si="104"/>
        <v>5.4104371538764395</v>
      </c>
      <c r="T207" s="5">
        <f t="shared" si="105"/>
        <v>-769.57414105728708</v>
      </c>
      <c r="U207" s="4">
        <f t="shared" si="106"/>
        <v>1119543.1148054611</v>
      </c>
      <c r="V207" s="4">
        <f t="shared" si="99"/>
        <v>18.066051907408674</v>
      </c>
      <c r="W207" s="4">
        <f t="shared" si="107"/>
        <v>1115379.3822800221</v>
      </c>
      <c r="X207" s="4">
        <f t="shared" si="111"/>
        <v>-284.31874182168394</v>
      </c>
      <c r="Y207" s="9">
        <f>SUM($X$6:X207)</f>
        <v>115379.38228002214</v>
      </c>
      <c r="Z207" s="16">
        <f t="shared" si="89"/>
        <v>0.11537938228002213</v>
      </c>
      <c r="AA207" s="16">
        <f t="shared" si="108"/>
        <v>0.1411679952390647</v>
      </c>
      <c r="AB207" s="16">
        <f t="shared" si="109"/>
        <v>-2.5484269279467864E-4</v>
      </c>
      <c r="AC207" s="16">
        <f t="shared" si="110"/>
        <v>-2.4436823623632965E-3</v>
      </c>
    </row>
    <row r="208" spans="1:29" x14ac:dyDescent="0.15">
      <c r="A208" s="8">
        <v>41201</v>
      </c>
      <c r="B208" s="4">
        <v>1433.19</v>
      </c>
      <c r="C208" s="1">
        <v>14.954599999999999</v>
      </c>
      <c r="D208" s="1">
        <v>2.2000000000000002</v>
      </c>
      <c r="E208" s="1">
        <v>0.32429999999999998</v>
      </c>
      <c r="F208" s="4">
        <f t="shared" si="100"/>
        <v>0.14954599999999998</v>
      </c>
      <c r="G208" s="4">
        <f t="shared" si="101"/>
        <v>2.2000000000000002E-2</v>
      </c>
      <c r="H208" s="4">
        <f t="shared" si="102"/>
        <v>3.2429999999999998E-3</v>
      </c>
      <c r="I208" s="3">
        <f t="shared" si="103"/>
        <v>45.973647682483673</v>
      </c>
      <c r="J208" s="4">
        <f t="shared" si="90"/>
        <v>1119543.1148054611</v>
      </c>
      <c r="K208" s="1">
        <f t="shared" si="91"/>
        <v>1405.53</v>
      </c>
      <c r="L208" s="5">
        <f t="shared" si="92"/>
        <v>7.1232876712329057E-2</v>
      </c>
      <c r="M208" s="5">
        <f t="shared" si="93"/>
        <v>-0.31698581430445916</v>
      </c>
      <c r="N208" s="5">
        <f t="shared" si="94"/>
        <v>12.003531745870021</v>
      </c>
      <c r="O208" s="1">
        <f t="shared" si="95"/>
        <v>0</v>
      </c>
      <c r="P208" s="1">
        <f t="shared" si="96"/>
        <v>1405.53</v>
      </c>
      <c r="Q208" s="5">
        <f t="shared" si="97"/>
        <v>7.1232876712329057E-2</v>
      </c>
      <c r="R208" s="5">
        <f t="shared" si="98"/>
        <v>-0.31698581430445916</v>
      </c>
      <c r="S208" s="5">
        <f t="shared" si="104"/>
        <v>12.003531745870021</v>
      </c>
      <c r="T208" s="5">
        <f t="shared" si="105"/>
        <v>-769.57414105728708</v>
      </c>
      <c r="U208" s="4">
        <f t="shared" si="106"/>
        <v>1119561.1808573685</v>
      </c>
      <c r="V208" s="4">
        <f t="shared" si="99"/>
        <v>18.066343439040821</v>
      </c>
      <c r="W208" s="4">
        <f t="shared" si="107"/>
        <v>1110323.5732243867</v>
      </c>
      <c r="X208" s="4">
        <f t="shared" si="111"/>
        <v>-5055.8090556354728</v>
      </c>
      <c r="Y208" s="9">
        <f>SUM($X$6:X208)</f>
        <v>110323.57322438667</v>
      </c>
      <c r="Z208" s="16">
        <f t="shared" si="89"/>
        <v>0.11032357322438667</v>
      </c>
      <c r="AA208" s="16">
        <f t="shared" si="108"/>
        <v>0.12225737240223648</v>
      </c>
      <c r="AB208" s="16">
        <f t="shared" si="109"/>
        <v>-4.5328155925749257E-3</v>
      </c>
      <c r="AC208" s="16">
        <f t="shared" si="110"/>
        <v>-1.6571287414055651E-2</v>
      </c>
    </row>
    <row r="209" spans="1:29" x14ac:dyDescent="0.15">
      <c r="A209" s="8">
        <v>41204</v>
      </c>
      <c r="B209" s="4">
        <v>1433.82</v>
      </c>
      <c r="C209" s="1">
        <v>15.359299999999999</v>
      </c>
      <c r="D209" s="1">
        <v>2.2000000000000002</v>
      </c>
      <c r="E209" s="1">
        <v>0.32279999999999998</v>
      </c>
      <c r="F209" s="4">
        <f t="shared" si="100"/>
        <v>0.15359299999999998</v>
      </c>
      <c r="G209" s="4">
        <f t="shared" si="101"/>
        <v>2.2000000000000002E-2</v>
      </c>
      <c r="H209" s="4">
        <f t="shared" si="102"/>
        <v>3.228E-3</v>
      </c>
      <c r="I209" s="3">
        <f t="shared" si="103"/>
        <v>47.14597339980876</v>
      </c>
      <c r="J209" s="4">
        <f t="shared" si="90"/>
        <v>1119561.1808573685</v>
      </c>
      <c r="K209" s="1">
        <f t="shared" si="91"/>
        <v>1405.53</v>
      </c>
      <c r="L209" s="5">
        <f t="shared" si="92"/>
        <v>6.3013698630137283E-2</v>
      </c>
      <c r="M209" s="5">
        <f t="shared" si="93"/>
        <v>-0.30619534129834286</v>
      </c>
      <c r="N209" s="5">
        <f t="shared" si="94"/>
        <v>11.051647618549508</v>
      </c>
      <c r="O209" s="1">
        <f t="shared" si="95"/>
        <v>0</v>
      </c>
      <c r="P209" s="1">
        <f t="shared" si="96"/>
        <v>1405.53</v>
      </c>
      <c r="Q209" s="5">
        <f t="shared" si="97"/>
        <v>6.3013698630137283E-2</v>
      </c>
      <c r="R209" s="5">
        <f t="shared" si="98"/>
        <v>-0.30619534129834286</v>
      </c>
      <c r="S209" s="5">
        <f t="shared" si="104"/>
        <v>11.051647618549508</v>
      </c>
      <c r="T209" s="5">
        <f t="shared" si="105"/>
        <v>-769.57414105728708</v>
      </c>
      <c r="U209" s="4">
        <f t="shared" si="106"/>
        <v>1119579.2472008076</v>
      </c>
      <c r="V209" s="4">
        <f t="shared" si="99"/>
        <v>54.199904926132241</v>
      </c>
      <c r="W209" s="4">
        <f t="shared" si="107"/>
        <v>1111074.1849774944</v>
      </c>
      <c r="X209" s="4">
        <f t="shared" si="111"/>
        <v>750.61175310774706</v>
      </c>
      <c r="Y209" s="9">
        <f>SUM($X$6:X209)</f>
        <v>111074.18497749441</v>
      </c>
      <c r="Z209" s="16">
        <f t="shared" si="89"/>
        <v>0.11107418497749441</v>
      </c>
      <c r="AA209" s="16">
        <f t="shared" si="108"/>
        <v>0.12275069299797974</v>
      </c>
      <c r="AB209" s="16">
        <f t="shared" si="109"/>
        <v>6.7602973692431462E-4</v>
      </c>
      <c r="AC209" s="16">
        <f t="shared" si="110"/>
        <v>4.3957884160500822E-4</v>
      </c>
    </row>
    <row r="210" spans="1:29" x14ac:dyDescent="0.15">
      <c r="A210" s="8">
        <v>41205</v>
      </c>
      <c r="B210" s="4">
        <v>1413.11</v>
      </c>
      <c r="C210" s="1">
        <v>15.9894</v>
      </c>
      <c r="D210" s="1">
        <v>2.23</v>
      </c>
      <c r="E210" s="1">
        <v>0.32229999999999998</v>
      </c>
      <c r="F210" s="4">
        <f t="shared" si="100"/>
        <v>0.15989400000000001</v>
      </c>
      <c r="G210" s="4">
        <f t="shared" si="101"/>
        <v>2.23E-2</v>
      </c>
      <c r="H210" s="4">
        <f t="shared" si="102"/>
        <v>3.2229999999999997E-3</v>
      </c>
      <c r="I210" s="3">
        <f t="shared" si="103"/>
        <v>48.282886863025873</v>
      </c>
      <c r="J210" s="4">
        <f t="shared" si="90"/>
        <v>1119579.2472008076</v>
      </c>
      <c r="K210" s="1">
        <f t="shared" si="91"/>
        <v>1405.53</v>
      </c>
      <c r="L210" s="5">
        <f t="shared" si="92"/>
        <v>6.027397260274002E-2</v>
      </c>
      <c r="M210" s="5">
        <f t="shared" si="93"/>
        <v>-0.44872831602526625</v>
      </c>
      <c r="N210" s="5">
        <f t="shared" si="94"/>
        <v>19.202665611392511</v>
      </c>
      <c r="O210" s="1">
        <f t="shared" si="95"/>
        <v>0</v>
      </c>
      <c r="P210" s="1">
        <f t="shared" si="96"/>
        <v>1405.53</v>
      </c>
      <c r="Q210" s="5">
        <f t="shared" si="97"/>
        <v>6.027397260274002E-2</v>
      </c>
      <c r="R210" s="5">
        <f t="shared" si="98"/>
        <v>-0.44872831602526625</v>
      </c>
      <c r="S210" s="5">
        <f t="shared" si="104"/>
        <v>19.202665611392511</v>
      </c>
      <c r="T210" s="5">
        <f t="shared" si="105"/>
        <v>-769.57414105728708</v>
      </c>
      <c r="U210" s="4">
        <f t="shared" si="106"/>
        <v>1119633.4471057337</v>
      </c>
      <c r="V210" s="4">
        <f t="shared" si="99"/>
        <v>18.067509598500742</v>
      </c>
      <c r="W210" s="4">
        <f t="shared" si="107"/>
        <v>1104855.572211836</v>
      </c>
      <c r="X210" s="4">
        <f t="shared" si="111"/>
        <v>-6218.612765658414</v>
      </c>
      <c r="Y210" s="9">
        <f>SUM($X$6:X210)</f>
        <v>104855.572211836</v>
      </c>
      <c r="Z210" s="16">
        <f t="shared" ref="Z210:Z273" si="112">Y210/$H$3</f>
        <v>0.104855572211836</v>
      </c>
      <c r="AA210" s="16">
        <f t="shared" si="108"/>
        <v>0.10653375722362297</v>
      </c>
      <c r="AB210" s="16">
        <f t="shared" si="109"/>
        <v>-5.5969374950281797E-3</v>
      </c>
      <c r="AC210" s="16">
        <f t="shared" si="110"/>
        <v>-1.4443932990194053E-2</v>
      </c>
    </row>
    <row r="211" spans="1:29" x14ac:dyDescent="0.15">
      <c r="A211" s="8">
        <v>41206</v>
      </c>
      <c r="B211" s="4">
        <v>1408.75</v>
      </c>
      <c r="C211" s="1">
        <v>16.244599999999998</v>
      </c>
      <c r="D211" s="1">
        <v>2.2400000000000002</v>
      </c>
      <c r="E211" s="1">
        <v>0.3211</v>
      </c>
      <c r="F211" s="4">
        <f t="shared" si="100"/>
        <v>0.16244599999999998</v>
      </c>
      <c r="G211" s="4">
        <f t="shared" si="101"/>
        <v>2.2400000000000003E-2</v>
      </c>
      <c r="H211" s="4">
        <f t="shared" si="102"/>
        <v>3.2109999999999999E-3</v>
      </c>
      <c r="I211" s="3">
        <f t="shared" si="103"/>
        <v>48.865949706324301</v>
      </c>
      <c r="J211" s="4">
        <f t="shared" si="90"/>
        <v>1119633.4471057337</v>
      </c>
      <c r="K211" s="1">
        <f t="shared" si="91"/>
        <v>1405.53</v>
      </c>
      <c r="L211" s="5">
        <f t="shared" si="92"/>
        <v>5.7534246575342757E-2</v>
      </c>
      <c r="M211" s="5">
        <f t="shared" si="93"/>
        <v>-0.47949198846511393</v>
      </c>
      <c r="N211" s="5">
        <f t="shared" si="94"/>
        <v>21.033529884607773</v>
      </c>
      <c r="O211" s="1">
        <f t="shared" si="95"/>
        <v>0</v>
      </c>
      <c r="P211" s="1">
        <f t="shared" si="96"/>
        <v>1405.53</v>
      </c>
      <c r="Q211" s="5">
        <f t="shared" si="97"/>
        <v>5.7534246575342757E-2</v>
      </c>
      <c r="R211" s="5">
        <f t="shared" si="98"/>
        <v>-0.47949198846511393</v>
      </c>
      <c r="S211" s="5">
        <f t="shared" si="104"/>
        <v>21.033529884607773</v>
      </c>
      <c r="T211" s="5">
        <f t="shared" si="105"/>
        <v>-769.57414105728708</v>
      </c>
      <c r="U211" s="4">
        <f t="shared" si="106"/>
        <v>1119651.5146153322</v>
      </c>
      <c r="V211" s="4">
        <f t="shared" si="99"/>
        <v>18.067801153655633</v>
      </c>
      <c r="W211" s="4">
        <f t="shared" si="107"/>
        <v>1103464.6539209825</v>
      </c>
      <c r="X211" s="4">
        <f t="shared" si="111"/>
        <v>-1390.9182908535004</v>
      </c>
      <c r="Y211" s="9">
        <f>SUM($X$6:X211)</f>
        <v>103464.6539209825</v>
      </c>
      <c r="Z211" s="16">
        <f t="shared" si="112"/>
        <v>0.1034646539209825</v>
      </c>
      <c r="AA211" s="16">
        <f t="shared" si="108"/>
        <v>0.10311966548165322</v>
      </c>
      <c r="AB211" s="16">
        <f t="shared" si="109"/>
        <v>-1.2589141294449815E-3</v>
      </c>
      <c r="AC211" s="16">
        <f t="shared" si="110"/>
        <v>-3.0853932107195478E-3</v>
      </c>
    </row>
    <row r="212" spans="1:29" x14ac:dyDescent="0.15">
      <c r="A212" s="8">
        <v>41207</v>
      </c>
      <c r="B212" s="4">
        <v>1412.97</v>
      </c>
      <c r="C212" s="1">
        <v>15.9933</v>
      </c>
      <c r="D212" s="1">
        <v>2.2400000000000002</v>
      </c>
      <c r="E212" s="1">
        <v>0.32019999999999998</v>
      </c>
      <c r="F212" s="4">
        <f t="shared" si="100"/>
        <v>0.15993299999999999</v>
      </c>
      <c r="G212" s="4">
        <f t="shared" si="101"/>
        <v>2.2400000000000003E-2</v>
      </c>
      <c r="H212" s="4">
        <f t="shared" si="102"/>
        <v>3.202E-3</v>
      </c>
      <c r="I212" s="3">
        <f t="shared" si="103"/>
        <v>48.310799562590766</v>
      </c>
      <c r="J212" s="4">
        <f t="shared" si="90"/>
        <v>1119651.5146153322</v>
      </c>
      <c r="K212" s="1">
        <f t="shared" si="91"/>
        <v>1405.53</v>
      </c>
      <c r="L212" s="5">
        <f t="shared" si="92"/>
        <v>5.4794520547945494E-2</v>
      </c>
      <c r="M212" s="5">
        <f t="shared" si="93"/>
        <v>-0.44708561115132955</v>
      </c>
      <c r="N212" s="5">
        <f t="shared" si="94"/>
        <v>18.188938364434691</v>
      </c>
      <c r="O212" s="1">
        <f t="shared" si="95"/>
        <v>0</v>
      </c>
      <c r="P212" s="1">
        <f t="shared" si="96"/>
        <v>1405.53</v>
      </c>
      <c r="Q212" s="5">
        <f t="shared" si="97"/>
        <v>5.4794520547945494E-2</v>
      </c>
      <c r="R212" s="5">
        <f t="shared" si="98"/>
        <v>-0.44708561115132955</v>
      </c>
      <c r="S212" s="5">
        <f t="shared" si="104"/>
        <v>18.188938364434691</v>
      </c>
      <c r="T212" s="5">
        <f t="shared" si="105"/>
        <v>-769.57414105728708</v>
      </c>
      <c r="U212" s="4">
        <f t="shared" si="106"/>
        <v>1119669.582416486</v>
      </c>
      <c r="V212" s="4">
        <f t="shared" si="99"/>
        <v>18.068092713515348</v>
      </c>
      <c r="W212" s="4">
        <f t="shared" si="107"/>
        <v>1105671.8457979322</v>
      </c>
      <c r="X212" s="4">
        <f t="shared" si="111"/>
        <v>2207.1918769497424</v>
      </c>
      <c r="Y212" s="9">
        <f>SUM($X$6:X212)</f>
        <v>105671.84579793224</v>
      </c>
      <c r="Z212" s="16">
        <f t="shared" si="112"/>
        <v>0.10567184579793223</v>
      </c>
      <c r="AA212" s="16">
        <f t="shared" si="108"/>
        <v>0.106424130424569</v>
      </c>
      <c r="AB212" s="16">
        <f t="shared" si="109"/>
        <v>2.0002379497221271E-3</v>
      </c>
      <c r="AC212" s="16">
        <f t="shared" si="110"/>
        <v>2.995563442768431E-3</v>
      </c>
    </row>
    <row r="213" spans="1:29" x14ac:dyDescent="0.15">
      <c r="A213" s="8">
        <v>41208</v>
      </c>
      <c r="B213" s="4">
        <v>1411.94</v>
      </c>
      <c r="C213" s="1">
        <v>15.527200000000001</v>
      </c>
      <c r="D213" s="1">
        <v>2.2400000000000002</v>
      </c>
      <c r="E213" s="1">
        <v>0.32019999999999998</v>
      </c>
      <c r="F213" s="4">
        <f t="shared" si="100"/>
        <v>0.15527199999999999</v>
      </c>
      <c r="G213" s="4">
        <f t="shared" si="101"/>
        <v>2.2400000000000003E-2</v>
      </c>
      <c r="H213" s="4">
        <f t="shared" si="102"/>
        <v>3.202E-3</v>
      </c>
      <c r="I213" s="3">
        <f t="shared" si="103"/>
        <v>46.972254250593735</v>
      </c>
      <c r="J213" s="4">
        <f t="shared" si="90"/>
        <v>1119669.582416486</v>
      </c>
      <c r="K213" s="1">
        <f t="shared" si="91"/>
        <v>1405.53</v>
      </c>
      <c r="L213" s="5">
        <f t="shared" si="92"/>
        <v>5.2054794520548231E-2</v>
      </c>
      <c r="M213" s="5">
        <f t="shared" si="93"/>
        <v>-0.45252750359292815</v>
      </c>
      <c r="N213" s="5">
        <f t="shared" si="94"/>
        <v>17.495712108797381</v>
      </c>
      <c r="O213" s="1">
        <f t="shared" si="95"/>
        <v>0</v>
      </c>
      <c r="P213" s="1">
        <f t="shared" si="96"/>
        <v>1405.53</v>
      </c>
      <c r="Q213" s="5">
        <f t="shared" si="97"/>
        <v>5.2054794520548231E-2</v>
      </c>
      <c r="R213" s="5">
        <f t="shared" si="98"/>
        <v>-0.45252750359292815</v>
      </c>
      <c r="S213" s="5">
        <f t="shared" si="104"/>
        <v>17.495712108797381</v>
      </c>
      <c r="T213" s="5">
        <f t="shared" si="105"/>
        <v>-769.57414105728708</v>
      </c>
      <c r="U213" s="4">
        <f t="shared" si="106"/>
        <v>1119687.6505091996</v>
      </c>
      <c r="V213" s="4">
        <f t="shared" si="99"/>
        <v>18.068384278079957</v>
      </c>
      <c r="W213" s="4">
        <f t="shared" si="107"/>
        <v>1106223.4028908862</v>
      </c>
      <c r="X213" s="4">
        <f t="shared" si="111"/>
        <v>551.55709295393899</v>
      </c>
      <c r="Y213" s="9">
        <f>SUM($X$6:X213)</f>
        <v>106223.40289088618</v>
      </c>
      <c r="Z213" s="16">
        <f t="shared" si="112"/>
        <v>0.10622340289088618</v>
      </c>
      <c r="AA213" s="16">
        <f t="shared" si="108"/>
        <v>0.10561759040295689</v>
      </c>
      <c r="AB213" s="16">
        <f t="shared" si="109"/>
        <v>4.9884339105686084E-4</v>
      </c>
      <c r="AC213" s="16">
        <f t="shared" si="110"/>
        <v>-7.2896098289416814E-4</v>
      </c>
    </row>
    <row r="214" spans="1:29" x14ac:dyDescent="0.15">
      <c r="A214" s="8">
        <v>41213</v>
      </c>
      <c r="B214" s="4">
        <v>1412.16</v>
      </c>
      <c r="C214" s="1">
        <v>15.956200000000001</v>
      </c>
      <c r="D214" s="1">
        <v>2.2400000000000002</v>
      </c>
      <c r="E214" s="1">
        <v>0.31950000000000001</v>
      </c>
      <c r="F214" s="4">
        <f t="shared" si="100"/>
        <v>0.15956200000000001</v>
      </c>
      <c r="G214" s="4">
        <f t="shared" si="101"/>
        <v>2.2400000000000003E-2</v>
      </c>
      <c r="H214" s="4">
        <f t="shared" si="102"/>
        <v>3.1949999999999999E-3</v>
      </c>
      <c r="I214" s="3">
        <f t="shared" si="103"/>
        <v>48.180674433994547</v>
      </c>
      <c r="J214" s="4">
        <f t="shared" si="90"/>
        <v>1119687.6505091996</v>
      </c>
      <c r="K214" s="1">
        <f t="shared" si="91"/>
        <v>1405.53</v>
      </c>
      <c r="L214" s="5">
        <f t="shared" si="92"/>
        <v>3.835616438356193E-2</v>
      </c>
      <c r="M214" s="5">
        <f t="shared" si="93"/>
        <v>-0.44290445591696748</v>
      </c>
      <c r="N214" s="5">
        <f t="shared" si="94"/>
        <v>14.901210329284572</v>
      </c>
      <c r="O214" s="1">
        <f t="shared" si="95"/>
        <v>0</v>
      </c>
      <c r="P214" s="1">
        <f t="shared" si="96"/>
        <v>1405.53</v>
      </c>
      <c r="Q214" s="5">
        <f t="shared" si="97"/>
        <v>3.835616438356193E-2</v>
      </c>
      <c r="R214" s="5">
        <f t="shared" si="98"/>
        <v>-0.44290445591696748</v>
      </c>
      <c r="S214" s="5">
        <f t="shared" si="104"/>
        <v>14.901210329284572</v>
      </c>
      <c r="T214" s="5">
        <f t="shared" si="105"/>
        <v>-769.57414105728708</v>
      </c>
      <c r="U214" s="4">
        <f t="shared" si="106"/>
        <v>1119705.7188934777</v>
      </c>
      <c r="V214" s="4">
        <f t="shared" si="99"/>
        <v>90.343379236747708</v>
      </c>
      <c r="W214" s="4">
        <f t="shared" si="107"/>
        <v>1108238.1327536046</v>
      </c>
      <c r="X214" s="4">
        <f t="shared" si="111"/>
        <v>2014.7298627183773</v>
      </c>
      <c r="Y214" s="9">
        <f>SUM($X$6:X214)</f>
        <v>108238.13275360456</v>
      </c>
      <c r="Z214" s="16">
        <f t="shared" si="112"/>
        <v>0.10823813275360455</v>
      </c>
      <c r="AA214" s="16">
        <f t="shared" si="108"/>
        <v>0.10578986108718474</v>
      </c>
      <c r="AB214" s="16">
        <f t="shared" si="109"/>
        <v>1.8212685226630509E-3</v>
      </c>
      <c r="AC214" s="16">
        <f t="shared" si="110"/>
        <v>1.5581398643003759E-4</v>
      </c>
    </row>
    <row r="215" spans="1:29" x14ac:dyDescent="0.15">
      <c r="A215" s="8">
        <v>41214</v>
      </c>
      <c r="B215" s="4">
        <v>1427.59</v>
      </c>
      <c r="C215" s="1">
        <v>15.0075</v>
      </c>
      <c r="D215" s="1">
        <v>2.2200000000000002</v>
      </c>
      <c r="E215" s="1">
        <v>0.31969999999999998</v>
      </c>
      <c r="F215" s="4">
        <f t="shared" si="100"/>
        <v>0.15007500000000001</v>
      </c>
      <c r="G215" s="4">
        <f t="shared" si="101"/>
        <v>2.2200000000000001E-2</v>
      </c>
      <c r="H215" s="4">
        <f t="shared" si="102"/>
        <v>3.1969999999999998E-3</v>
      </c>
      <c r="I215" s="3">
        <f t="shared" si="103"/>
        <v>45.988520034312053</v>
      </c>
      <c r="J215" s="4">
        <f t="shared" si="90"/>
        <v>1119705.7188934777</v>
      </c>
      <c r="K215" s="1">
        <f t="shared" si="91"/>
        <v>1405.53</v>
      </c>
      <c r="L215" s="5">
        <f t="shared" si="92"/>
        <v>3.5616438356164667E-2</v>
      </c>
      <c r="M215" s="5">
        <f t="shared" si="93"/>
        <v>-0.29432555798112475</v>
      </c>
      <c r="N215" s="5">
        <f t="shared" si="94"/>
        <v>7.6151115790766282</v>
      </c>
      <c r="O215" s="1">
        <f t="shared" si="95"/>
        <v>0</v>
      </c>
      <c r="P215" s="1">
        <f t="shared" si="96"/>
        <v>1405.53</v>
      </c>
      <c r="Q215" s="5">
        <f t="shared" si="97"/>
        <v>3.5616438356164667E-2</v>
      </c>
      <c r="R215" s="5">
        <f t="shared" si="98"/>
        <v>-0.29432555798112475</v>
      </c>
      <c r="S215" s="5">
        <f t="shared" si="104"/>
        <v>7.6151115790766282</v>
      </c>
      <c r="T215" s="5">
        <f t="shared" si="105"/>
        <v>-769.57414105728708</v>
      </c>
      <c r="U215" s="4">
        <f t="shared" si="106"/>
        <v>1119796.0622727145</v>
      </c>
      <c r="V215" s="4">
        <f t="shared" si="99"/>
        <v>18.070133717222706</v>
      </c>
      <c r="W215" s="4">
        <f t="shared" si="107"/>
        <v>1113935.6693201913</v>
      </c>
      <c r="X215" s="4">
        <f t="shared" si="111"/>
        <v>5697.5365665866993</v>
      </c>
      <c r="Y215" s="9">
        <f>SUM($X$6:X215)</f>
        <v>113935.66932019126</v>
      </c>
      <c r="Z215" s="16">
        <f t="shared" si="112"/>
        <v>0.11393566932019125</v>
      </c>
      <c r="AA215" s="16">
        <f t="shared" si="108"/>
        <v>0.11787230044007328</v>
      </c>
      <c r="AB215" s="16">
        <f t="shared" si="109"/>
        <v>5.141076090235416E-3</v>
      </c>
      <c r="AC215" s="16">
        <f t="shared" si="110"/>
        <v>1.0926523906639358E-2</v>
      </c>
    </row>
    <row r="216" spans="1:29" x14ac:dyDescent="0.15">
      <c r="A216" s="8">
        <v>41215</v>
      </c>
      <c r="B216" s="4">
        <v>1414.2</v>
      </c>
      <c r="C216" s="1">
        <v>15.347300000000001</v>
      </c>
      <c r="D216" s="1">
        <v>2.2400000000000002</v>
      </c>
      <c r="E216" s="1">
        <v>0.31969999999999998</v>
      </c>
      <c r="F216" s="4">
        <f t="shared" si="100"/>
        <v>0.153473</v>
      </c>
      <c r="G216" s="4">
        <f t="shared" si="101"/>
        <v>2.2400000000000003E-2</v>
      </c>
      <c r="H216" s="4">
        <f t="shared" si="102"/>
        <v>3.1969999999999998E-3</v>
      </c>
      <c r="I216" s="3">
        <f t="shared" si="103"/>
        <v>46.544565297045885</v>
      </c>
      <c r="J216" s="4">
        <f t="shared" si="90"/>
        <v>1119796.0622727145</v>
      </c>
      <c r="K216" s="1">
        <f t="shared" si="91"/>
        <v>1405.53</v>
      </c>
      <c r="L216" s="5">
        <f t="shared" si="92"/>
        <v>3.2876712328767405E-2</v>
      </c>
      <c r="M216" s="5">
        <f t="shared" si="93"/>
        <v>-0.41566397020746676</v>
      </c>
      <c r="N216" s="5">
        <f t="shared" si="94"/>
        <v>12.062931464175264</v>
      </c>
      <c r="O216" s="1">
        <f t="shared" si="95"/>
        <v>0</v>
      </c>
      <c r="P216" s="1">
        <f t="shared" si="96"/>
        <v>1405.53</v>
      </c>
      <c r="Q216" s="5">
        <f t="shared" si="97"/>
        <v>3.2876712328767405E-2</v>
      </c>
      <c r="R216" s="5">
        <f t="shared" si="98"/>
        <v>-0.41566397020746676</v>
      </c>
      <c r="S216" s="5">
        <f t="shared" si="104"/>
        <v>12.062931464175264</v>
      </c>
      <c r="T216" s="5">
        <f t="shared" si="105"/>
        <v>-769.57414105728708</v>
      </c>
      <c r="U216" s="4">
        <f t="shared" si="106"/>
        <v>1119814.1324064317</v>
      </c>
      <c r="V216" s="4">
        <f t="shared" si="99"/>
        <v>18.070425314722964</v>
      </c>
      <c r="W216" s="4">
        <f t="shared" si="107"/>
        <v>1110530.8122862561</v>
      </c>
      <c r="X216" s="4">
        <f t="shared" si="111"/>
        <v>-3404.8570339351427</v>
      </c>
      <c r="Y216" s="9">
        <f>SUM($X$6:X216)</f>
        <v>110530.81228625611</v>
      </c>
      <c r="Z216" s="16">
        <f t="shared" si="112"/>
        <v>0.11053081228625611</v>
      </c>
      <c r="AA216" s="16">
        <f t="shared" si="108"/>
        <v>0.10738728015911556</v>
      </c>
      <c r="AB216" s="16">
        <f t="shared" si="109"/>
        <v>-3.0566011374903246E-3</v>
      </c>
      <c r="AC216" s="16">
        <f t="shared" si="110"/>
        <v>-9.3794436778065638E-3</v>
      </c>
    </row>
    <row r="217" spans="1:29" x14ac:dyDescent="0.15">
      <c r="A217" s="8">
        <v>41218</v>
      </c>
      <c r="B217" s="4">
        <v>1417.26</v>
      </c>
      <c r="C217" s="1">
        <v>15.9223</v>
      </c>
      <c r="D217" s="1">
        <v>2.23</v>
      </c>
      <c r="E217" s="1">
        <v>0.31869999999999998</v>
      </c>
      <c r="F217" s="4">
        <f t="shared" si="100"/>
        <v>0.159223</v>
      </c>
      <c r="G217" s="4">
        <f t="shared" si="101"/>
        <v>2.23E-2</v>
      </c>
      <c r="H217" s="4">
        <f t="shared" si="102"/>
        <v>3.1869999999999997E-3</v>
      </c>
      <c r="I217" s="3">
        <f t="shared" si="103"/>
        <v>48.243196907717333</v>
      </c>
      <c r="J217" s="4">
        <f t="shared" si="90"/>
        <v>1119814.1324064317</v>
      </c>
      <c r="K217" s="1">
        <f t="shared" si="91"/>
        <v>1405.53</v>
      </c>
      <c r="L217" s="5">
        <f t="shared" si="92"/>
        <v>2.4657534246575623E-2</v>
      </c>
      <c r="M217" s="5">
        <f t="shared" si="93"/>
        <v>-0.37198502086985213</v>
      </c>
      <c r="N217" s="5">
        <f t="shared" si="94"/>
        <v>9.2286356860940426</v>
      </c>
      <c r="O217" s="1">
        <f t="shared" si="95"/>
        <v>0</v>
      </c>
      <c r="P217" s="1">
        <f t="shared" si="96"/>
        <v>1405.53</v>
      </c>
      <c r="Q217" s="5">
        <f t="shared" si="97"/>
        <v>2.4657534246575623E-2</v>
      </c>
      <c r="R217" s="5">
        <f t="shared" si="98"/>
        <v>-0.37198502086985213</v>
      </c>
      <c r="S217" s="5">
        <f t="shared" si="104"/>
        <v>9.2286356860940426</v>
      </c>
      <c r="T217" s="5">
        <f t="shared" si="105"/>
        <v>-769.57414105728708</v>
      </c>
      <c r="U217" s="4">
        <f t="shared" si="106"/>
        <v>1119832.2028317465</v>
      </c>
      <c r="V217" s="4">
        <f t="shared" si="99"/>
        <v>54.212150750786193</v>
      </c>
      <c r="W217" s="4">
        <f t="shared" si="107"/>
        <v>1112730.0834504901</v>
      </c>
      <c r="X217" s="4">
        <f t="shared" si="111"/>
        <v>2199.2711642340291</v>
      </c>
      <c r="Y217" s="9">
        <f>SUM($X$6:X217)</f>
        <v>112730.08345049014</v>
      </c>
      <c r="Z217" s="16">
        <f t="shared" si="112"/>
        <v>0.11273008345049014</v>
      </c>
      <c r="AA217" s="16">
        <f t="shared" si="108"/>
        <v>0.10978340876701177</v>
      </c>
      <c r="AB217" s="16">
        <f t="shared" si="109"/>
        <v>1.9803783379106583E-3</v>
      </c>
      <c r="AC217" s="16">
        <f t="shared" si="110"/>
        <v>2.1637675010606318E-3</v>
      </c>
    </row>
    <row r="218" spans="1:29" x14ac:dyDescent="0.15">
      <c r="A218" s="8">
        <v>41219</v>
      </c>
      <c r="B218" s="4">
        <v>1428.39</v>
      </c>
      <c r="C218" s="1">
        <v>15.376300000000001</v>
      </c>
      <c r="D218" s="1">
        <v>2.2200000000000002</v>
      </c>
      <c r="E218" s="1">
        <v>0.31869999999999998</v>
      </c>
      <c r="F218" s="4">
        <f t="shared" si="100"/>
        <v>0.15376300000000001</v>
      </c>
      <c r="G218" s="4">
        <f t="shared" si="101"/>
        <v>2.2200000000000001E-2</v>
      </c>
      <c r="H218" s="4">
        <f t="shared" si="102"/>
        <v>3.1869999999999997E-3</v>
      </c>
      <c r="I218" s="3">
        <f t="shared" si="103"/>
        <v>47.059460255248695</v>
      </c>
      <c r="J218" s="4">
        <f t="shared" si="90"/>
        <v>1119832.2028317465</v>
      </c>
      <c r="K218" s="1">
        <f t="shared" si="91"/>
        <v>1405.53</v>
      </c>
      <c r="L218" s="5">
        <f t="shared" si="92"/>
        <v>2.1917808219178363E-2</v>
      </c>
      <c r="M218" s="5">
        <f t="shared" si="93"/>
        <v>-0.24128429433004264</v>
      </c>
      <c r="N218" s="5">
        <f t="shared" si="94"/>
        <v>4.682307616933624</v>
      </c>
      <c r="O218" s="1">
        <f t="shared" si="95"/>
        <v>0</v>
      </c>
      <c r="P218" s="1">
        <f t="shared" si="96"/>
        <v>1405.53</v>
      </c>
      <c r="Q218" s="5">
        <f t="shared" si="97"/>
        <v>2.1917808219178363E-2</v>
      </c>
      <c r="R218" s="5">
        <f t="shared" si="98"/>
        <v>-0.24128429433004264</v>
      </c>
      <c r="S218" s="5">
        <f t="shared" si="104"/>
        <v>4.682307616933624</v>
      </c>
      <c r="T218" s="5">
        <f t="shared" si="105"/>
        <v>-769.57414105728708</v>
      </c>
      <c r="U218" s="4">
        <f t="shared" si="106"/>
        <v>1119886.4149824972</v>
      </c>
      <c r="V218" s="4">
        <f t="shared" si="99"/>
        <v>18.071591737662761</v>
      </c>
      <c r="W218" s="4">
        <f t="shared" si="107"/>
        <v>1116283.0321200294</v>
      </c>
      <c r="X218" s="4">
        <f t="shared" si="111"/>
        <v>3552.9486695392989</v>
      </c>
      <c r="Y218" s="9">
        <f>SUM($X$6:X218)</f>
        <v>116283.03212002944</v>
      </c>
      <c r="Z218" s="16">
        <f t="shared" si="112"/>
        <v>0.11628303212002944</v>
      </c>
      <c r="AA218" s="16">
        <f t="shared" si="108"/>
        <v>0.118498739291811</v>
      </c>
      <c r="AB218" s="16">
        <f t="shared" si="109"/>
        <v>3.193001359792376E-3</v>
      </c>
      <c r="AC218" s="16">
        <f t="shared" si="110"/>
        <v>7.8531814910461802E-3</v>
      </c>
    </row>
    <row r="219" spans="1:29" x14ac:dyDescent="0.15">
      <c r="A219" s="8">
        <v>41220</v>
      </c>
      <c r="B219" s="4">
        <v>1394.53</v>
      </c>
      <c r="C219" s="1">
        <v>16.5123</v>
      </c>
      <c r="D219" s="1">
        <v>2.27</v>
      </c>
      <c r="E219" s="1">
        <v>0.31669999999999998</v>
      </c>
      <c r="F219" s="4">
        <f t="shared" si="100"/>
        <v>0.16512299999999999</v>
      </c>
      <c r="G219" s="4">
        <f t="shared" si="101"/>
        <v>2.2700000000000001E-2</v>
      </c>
      <c r="H219" s="4">
        <f t="shared" si="102"/>
        <v>3.1669999999999997E-3</v>
      </c>
      <c r="I219" s="3">
        <f t="shared" si="103"/>
        <v>49.17290039204039</v>
      </c>
      <c r="J219" s="4">
        <f t="shared" si="90"/>
        <v>1119886.4149824972</v>
      </c>
      <c r="K219" s="1">
        <f t="shared" si="91"/>
        <v>1405.53</v>
      </c>
      <c r="L219" s="5">
        <f t="shared" si="92"/>
        <v>1.9178082191781104E-2</v>
      </c>
      <c r="M219" s="5">
        <f t="shared" si="93"/>
        <v>-0.63600715532431007</v>
      </c>
      <c r="N219" s="5">
        <f t="shared" si="94"/>
        <v>19.347760405196933</v>
      </c>
      <c r="O219" s="1">
        <f t="shared" si="95"/>
        <v>0</v>
      </c>
      <c r="P219" s="1">
        <f t="shared" si="96"/>
        <v>1405.53</v>
      </c>
      <c r="Q219" s="5">
        <f t="shared" si="97"/>
        <v>1.9178082191781104E-2</v>
      </c>
      <c r="R219" s="5">
        <f t="shared" si="98"/>
        <v>-0.63600715532431007</v>
      </c>
      <c r="S219" s="5">
        <f t="shared" si="104"/>
        <v>19.347760405196933</v>
      </c>
      <c r="T219" s="5">
        <f t="shared" si="105"/>
        <v>-769.57414105728708</v>
      </c>
      <c r="U219" s="4">
        <f t="shared" si="106"/>
        <v>1119904.4865742349</v>
      </c>
      <c r="V219" s="4">
        <f t="shared" si="99"/>
        <v>18.071883358691078</v>
      </c>
      <c r="W219" s="4">
        <f t="shared" si="107"/>
        <v>1105014.9504790234</v>
      </c>
      <c r="X219" s="4">
        <f t="shared" si="111"/>
        <v>-11268.081641006051</v>
      </c>
      <c r="Y219" s="9">
        <f>SUM($X$6:X219)</f>
        <v>105014.95047902339</v>
      </c>
      <c r="Z219" s="16">
        <f t="shared" si="112"/>
        <v>0.10501495047902339</v>
      </c>
      <c r="AA219" s="16">
        <f t="shared" si="108"/>
        <v>9.1984714892017622E-2</v>
      </c>
      <c r="AB219" s="16">
        <f t="shared" si="109"/>
        <v>-1.0094287305976392E-2</v>
      </c>
      <c r="AC219" s="16">
        <f t="shared" si="110"/>
        <v>-2.3705010536338202E-2</v>
      </c>
    </row>
    <row r="220" spans="1:29" x14ac:dyDescent="0.15">
      <c r="A220" s="8">
        <v>41221</v>
      </c>
      <c r="B220" s="4">
        <v>1377.51</v>
      </c>
      <c r="C220" s="1">
        <v>16.849599999999999</v>
      </c>
      <c r="D220" s="1">
        <v>2.2999999999999998</v>
      </c>
      <c r="E220" s="1">
        <v>0.31690000000000002</v>
      </c>
      <c r="F220" s="4">
        <f t="shared" si="100"/>
        <v>0.16849599999999998</v>
      </c>
      <c r="G220" s="4">
        <f t="shared" si="101"/>
        <v>2.3E-2</v>
      </c>
      <c r="H220" s="4">
        <f t="shared" si="102"/>
        <v>3.1689999999999999E-3</v>
      </c>
      <c r="I220" s="3">
        <f t="shared" si="103"/>
        <v>49.544456703495229</v>
      </c>
      <c r="J220" s="4">
        <f t="shared" ref="J220:J283" si="113">U219</f>
        <v>1119904.4865742349</v>
      </c>
      <c r="K220" s="1">
        <f t="shared" ref="K220:K283" si="114">P219</f>
        <v>1405.53</v>
      </c>
      <c r="L220" s="5">
        <f t="shared" ref="L220:L283" si="115">Q219-(A220-A219)/365</f>
        <v>1.6438356164383845E-2</v>
      </c>
      <c r="M220" s="5">
        <f t="shared" ref="M220:M283" si="116">BSM_Put(B220,K220,F220,H220,G220,L220,$G$3)</f>
        <v>-0.82515794915927787</v>
      </c>
      <c r="N220" s="5">
        <f t="shared" ref="N220:N283" si="117">BSM_Put(B220,K220,F220,H220,G220,L220,$F$3)</f>
        <v>31.233295667384109</v>
      </c>
      <c r="O220" s="1">
        <f t="shared" ref="O220:O283" si="118">IF(OR(M220&gt;-0.05,L220&lt;=0.00001),1,0)</f>
        <v>0</v>
      </c>
      <c r="P220" s="1">
        <f t="shared" ref="P220:P283" si="119">IF(O220,B220,K220)</f>
        <v>1405.53</v>
      </c>
      <c r="Q220" s="5">
        <f t="shared" ref="Q220:Q283" si="120">IF(O220,$B$3,L220)</f>
        <v>1.6438356164383845E-2</v>
      </c>
      <c r="R220" s="5">
        <f t="shared" ref="R220:R283" si="121">IF(O220,BSM_Put(B220,P220,F220,H220,G220,Q220,$G$3),M220)</f>
        <v>-0.82515794915927787</v>
      </c>
      <c r="S220" s="5">
        <f t="shared" si="104"/>
        <v>31.233295667384109</v>
      </c>
      <c r="T220" s="5">
        <f t="shared" si="105"/>
        <v>-769.57414105728708</v>
      </c>
      <c r="U220" s="4">
        <f t="shared" si="106"/>
        <v>1119922.5584575937</v>
      </c>
      <c r="V220" s="4">
        <f t="shared" ref="V220:V283" si="122">U220*$H$6*(A220-A219)/365</f>
        <v>18.072174984425274</v>
      </c>
      <c r="W220" s="4">
        <f t="shared" si="107"/>
        <v>1095886.2217719783</v>
      </c>
      <c r="X220" s="4">
        <f t="shared" si="111"/>
        <v>-9128.7287070450839</v>
      </c>
      <c r="Y220" s="9">
        <f>SUM($X$6:X220)</f>
        <v>95886.221771978308</v>
      </c>
      <c r="Z220" s="16">
        <f t="shared" si="112"/>
        <v>9.5886221771978308E-2</v>
      </c>
      <c r="AA220" s="16">
        <f t="shared" si="108"/>
        <v>7.8657228321300524E-2</v>
      </c>
      <c r="AB220" s="16">
        <f t="shared" si="109"/>
        <v>-8.2611811750490666E-3</v>
      </c>
      <c r="AC220" s="16">
        <f t="shared" si="110"/>
        <v>-1.2204828867073482E-2</v>
      </c>
    </row>
    <row r="221" spans="1:29" x14ac:dyDescent="0.15">
      <c r="A221" s="8">
        <v>41222</v>
      </c>
      <c r="B221" s="4">
        <v>1379.85</v>
      </c>
      <c r="C221" s="1">
        <v>17.0642</v>
      </c>
      <c r="D221" s="1">
        <v>2.2999999999999998</v>
      </c>
      <c r="E221" s="1">
        <v>0.31690000000000002</v>
      </c>
      <c r="F221" s="4">
        <f t="shared" si="100"/>
        <v>0.17064199999999999</v>
      </c>
      <c r="G221" s="4">
        <f t="shared" si="101"/>
        <v>2.3E-2</v>
      </c>
      <c r="H221" s="4">
        <f t="shared" si="102"/>
        <v>3.1689999999999999E-3</v>
      </c>
      <c r="I221" s="3">
        <f t="shared" si="103"/>
        <v>50.215026243337796</v>
      </c>
      <c r="J221" s="4">
        <f t="shared" si="113"/>
        <v>1119922.5584575937</v>
      </c>
      <c r="K221" s="1">
        <f t="shared" si="114"/>
        <v>1405.53</v>
      </c>
      <c r="L221" s="5">
        <f t="shared" si="115"/>
        <v>1.3698630136986585E-2</v>
      </c>
      <c r="M221" s="5">
        <f t="shared" si="116"/>
        <v>-0.82274761329165191</v>
      </c>
      <c r="N221" s="5">
        <f t="shared" si="117"/>
        <v>28.66270551738679</v>
      </c>
      <c r="O221" s="1">
        <f t="shared" si="118"/>
        <v>0</v>
      </c>
      <c r="P221" s="1">
        <f t="shared" si="119"/>
        <v>1405.53</v>
      </c>
      <c r="Q221" s="5">
        <f t="shared" si="120"/>
        <v>1.3698630136986585E-2</v>
      </c>
      <c r="R221" s="5">
        <f t="shared" si="121"/>
        <v>-0.82274761329165191</v>
      </c>
      <c r="S221" s="5">
        <f t="shared" si="104"/>
        <v>28.66270551738679</v>
      </c>
      <c r="T221" s="5">
        <f t="shared" si="105"/>
        <v>-769.57414105728708</v>
      </c>
      <c r="U221" s="4">
        <f t="shared" si="106"/>
        <v>1119940.6306325782</v>
      </c>
      <c r="V221" s="4">
        <f t="shared" si="122"/>
        <v>18.072466614865437</v>
      </c>
      <c r="W221" s="4">
        <f t="shared" si="107"/>
        <v>1097882.5536536572</v>
      </c>
      <c r="X221" s="4">
        <f t="shared" si="111"/>
        <v>1996.331881678896</v>
      </c>
      <c r="Y221" s="9">
        <f>SUM($X$6:X221)</f>
        <v>97882.553653657204</v>
      </c>
      <c r="Z221" s="16">
        <f t="shared" si="112"/>
        <v>9.7882553653657209E-2</v>
      </c>
      <c r="AA221" s="16">
        <f t="shared" si="108"/>
        <v>8.0489561962632891E-2</v>
      </c>
      <c r="AB221" s="16">
        <f t="shared" si="109"/>
        <v>1.8216598055690073E-3</v>
      </c>
      <c r="AC221" s="16">
        <f t="shared" si="110"/>
        <v>1.6987172506914055E-3</v>
      </c>
    </row>
    <row r="222" spans="1:29" x14ac:dyDescent="0.15">
      <c r="A222" s="8">
        <v>41225</v>
      </c>
      <c r="B222" s="4">
        <v>1380.03</v>
      </c>
      <c r="C222" s="1">
        <v>16.6814</v>
      </c>
      <c r="D222" s="1">
        <v>2.2999999999999998</v>
      </c>
      <c r="E222" s="1">
        <v>0.31690000000000002</v>
      </c>
      <c r="F222" s="4">
        <f t="shared" si="100"/>
        <v>0.16681399999999999</v>
      </c>
      <c r="G222" s="4">
        <f t="shared" si="101"/>
        <v>2.3E-2</v>
      </c>
      <c r="H222" s="4">
        <f t="shared" si="102"/>
        <v>3.1689999999999999E-3</v>
      </c>
      <c r="I222" s="3">
        <f t="shared" si="103"/>
        <v>49.175424806862694</v>
      </c>
      <c r="J222" s="4">
        <f t="shared" si="113"/>
        <v>1119940.6306325782</v>
      </c>
      <c r="K222" s="1">
        <f t="shared" si="114"/>
        <v>1405.53</v>
      </c>
      <c r="L222" s="5">
        <f t="shared" si="115"/>
        <v>5.4794520547948051E-3</v>
      </c>
      <c r="M222" s="5">
        <f t="shared" si="116"/>
        <v>-0.93116086210254234</v>
      </c>
      <c r="N222" s="5">
        <f t="shared" si="117"/>
        <v>26.163249519000566</v>
      </c>
      <c r="O222" s="1">
        <f t="shared" si="118"/>
        <v>0</v>
      </c>
      <c r="P222" s="1">
        <f t="shared" si="119"/>
        <v>1405.53</v>
      </c>
      <c r="Q222" s="5">
        <f t="shared" si="120"/>
        <v>5.4794520547948051E-3</v>
      </c>
      <c r="R222" s="5">
        <f t="shared" si="121"/>
        <v>-0.93116086210254234</v>
      </c>
      <c r="S222" s="5">
        <f t="shared" si="104"/>
        <v>26.163249519000566</v>
      </c>
      <c r="T222" s="5">
        <f t="shared" si="105"/>
        <v>-769.57414105728708</v>
      </c>
      <c r="U222" s="4">
        <f t="shared" si="106"/>
        <v>1119958.7030991931</v>
      </c>
      <c r="V222" s="4">
        <f t="shared" si="122"/>
        <v>54.218274750034901</v>
      </c>
      <c r="W222" s="4">
        <f t="shared" si="107"/>
        <v>1099824.1428233406</v>
      </c>
      <c r="X222" s="4">
        <f t="shared" si="111"/>
        <v>1941.5891696834005</v>
      </c>
      <c r="Y222" s="9">
        <f>SUM($X$6:X222)</f>
        <v>99824.142823340604</v>
      </c>
      <c r="Z222" s="16">
        <f t="shared" si="112"/>
        <v>9.9824142823340609E-2</v>
      </c>
      <c r="AA222" s="16">
        <f t="shared" si="108"/>
        <v>8.0630510704273906E-2</v>
      </c>
      <c r="AB222" s="16">
        <f t="shared" si="109"/>
        <v>1.768485311313092E-3</v>
      </c>
      <c r="AC222" s="16">
        <f t="shared" si="110"/>
        <v>1.3044896184372481E-4</v>
      </c>
    </row>
    <row r="223" spans="1:29" x14ac:dyDescent="0.15">
      <c r="A223" s="8">
        <v>41226</v>
      </c>
      <c r="B223" s="4">
        <v>1374.53</v>
      </c>
      <c r="C223" s="1">
        <v>16.4086</v>
      </c>
      <c r="D223" s="1">
        <v>2.31</v>
      </c>
      <c r="E223" s="1">
        <v>0.31690000000000002</v>
      </c>
      <c r="F223" s="4">
        <f t="shared" si="100"/>
        <v>0.16408600000000001</v>
      </c>
      <c r="G223" s="4">
        <f t="shared" si="101"/>
        <v>2.3099999999999999E-2</v>
      </c>
      <c r="H223" s="4">
        <f t="shared" si="102"/>
        <v>3.1689999999999999E-3</v>
      </c>
      <c r="I223" s="3">
        <f t="shared" si="103"/>
        <v>48.254205349347799</v>
      </c>
      <c r="J223" s="4">
        <f t="shared" si="113"/>
        <v>1119958.7030991931</v>
      </c>
      <c r="K223" s="1">
        <f t="shared" si="114"/>
        <v>1405.53</v>
      </c>
      <c r="L223" s="5">
        <f t="shared" si="115"/>
        <v>2.7397260273975448E-3</v>
      </c>
      <c r="M223" s="5">
        <f t="shared" si="116"/>
        <v>-0.99525970497700189</v>
      </c>
      <c r="N223" s="5">
        <f t="shared" si="117"/>
        <v>31.092087447539747</v>
      </c>
      <c r="O223" s="1">
        <f t="shared" si="118"/>
        <v>0</v>
      </c>
      <c r="P223" s="1">
        <f t="shared" si="119"/>
        <v>1405.53</v>
      </c>
      <c r="Q223" s="5">
        <f t="shared" si="120"/>
        <v>2.7397260273975448E-3</v>
      </c>
      <c r="R223" s="5">
        <f t="shared" si="121"/>
        <v>-0.99525970497700189</v>
      </c>
      <c r="S223" s="5">
        <f t="shared" si="104"/>
        <v>31.092087447539747</v>
      </c>
      <c r="T223" s="5">
        <f t="shared" si="105"/>
        <v>-769.57414105728708</v>
      </c>
      <c r="U223" s="4">
        <f t="shared" si="106"/>
        <v>1120012.9213739431</v>
      </c>
      <c r="V223" s="4">
        <f t="shared" si="122"/>
        <v>18.073633169568559</v>
      </c>
      <c r="W223" s="4">
        <f t="shared" si="107"/>
        <v>1096085.2548828246</v>
      </c>
      <c r="X223" s="4">
        <f t="shared" si="111"/>
        <v>-3738.8879405159969</v>
      </c>
      <c r="Y223" s="9">
        <f>SUM($X$6:X223)</f>
        <v>96085.254882824607</v>
      </c>
      <c r="Z223" s="16">
        <f t="shared" si="112"/>
        <v>9.6085254882824614E-2</v>
      </c>
      <c r="AA223" s="16">
        <f t="shared" si="108"/>
        <v>7.6323743598578006E-2</v>
      </c>
      <c r="AB223" s="16">
        <f t="shared" si="109"/>
        <v>-3.3995325206427627E-3</v>
      </c>
      <c r="AC223" s="16">
        <f t="shared" si="110"/>
        <v>-3.9854206067984031E-3</v>
      </c>
    </row>
    <row r="224" spans="1:29" x14ac:dyDescent="0.15">
      <c r="A224" s="8">
        <v>41227</v>
      </c>
      <c r="B224" s="4">
        <v>1355.49</v>
      </c>
      <c r="C224" s="1">
        <v>17.296399999999998</v>
      </c>
      <c r="D224" s="1">
        <v>2.34</v>
      </c>
      <c r="E224" s="1">
        <v>0.31669999999999998</v>
      </c>
      <c r="F224" s="4">
        <f t="shared" si="100"/>
        <v>0.17296399999999998</v>
      </c>
      <c r="G224" s="4">
        <f t="shared" si="101"/>
        <v>2.3399999999999997E-2</v>
      </c>
      <c r="H224" s="4">
        <f t="shared" si="102"/>
        <v>3.1669999999999997E-3</v>
      </c>
      <c r="I224" s="3">
        <f t="shared" si="103"/>
        <v>50.020186342603594</v>
      </c>
      <c r="J224" s="4">
        <f t="shared" si="113"/>
        <v>1120012.9213739431</v>
      </c>
      <c r="K224" s="1">
        <f t="shared" si="114"/>
        <v>1405.53</v>
      </c>
      <c r="L224" s="5">
        <f t="shared" si="115"/>
        <v>2.8449465006019636E-16</v>
      </c>
      <c r="M224" s="5">
        <f t="shared" si="116"/>
        <v>-1</v>
      </c>
      <c r="N224" s="5">
        <f t="shared" si="117"/>
        <v>50.039999999999964</v>
      </c>
      <c r="O224" s="1">
        <f t="shared" si="118"/>
        <v>1</v>
      </c>
      <c r="P224" s="1">
        <f t="shared" si="119"/>
        <v>1355.49</v>
      </c>
      <c r="Q224" s="5">
        <f t="shared" si="120"/>
        <v>0.24931506849315069</v>
      </c>
      <c r="R224" s="5">
        <f t="shared" si="121"/>
        <v>-0.5031306888573589</v>
      </c>
      <c r="S224" s="5">
        <f t="shared" si="104"/>
        <v>50.020186342603594</v>
      </c>
      <c r="T224" s="5">
        <f t="shared" si="105"/>
        <v>-797.86898564757882</v>
      </c>
      <c r="U224" s="4">
        <f t="shared" si="106"/>
        <v>1121431.0603276822</v>
      </c>
      <c r="V224" s="4">
        <f t="shared" si="122"/>
        <v>18.096517658438486</v>
      </c>
      <c r="W224" s="4">
        <f t="shared" si="107"/>
        <v>1081521.5049886061</v>
      </c>
      <c r="X224" s="4">
        <f t="shared" si="111"/>
        <v>-14563.749894218519</v>
      </c>
      <c r="Y224" s="9">
        <f>SUM($X$6:X224)</f>
        <v>81521.504988606088</v>
      </c>
      <c r="Z224" s="16">
        <f t="shared" si="112"/>
        <v>8.1521504988606094E-2</v>
      </c>
      <c r="AA224" s="16">
        <f t="shared" si="108"/>
        <v>6.1414498927223518E-2</v>
      </c>
      <c r="AB224" s="16">
        <f t="shared" si="109"/>
        <v>-1.3287059404676907E-2</v>
      </c>
      <c r="AC224" s="16">
        <f t="shared" si="110"/>
        <v>-1.3852007595323465E-2</v>
      </c>
    </row>
    <row r="225" spans="1:29" x14ac:dyDescent="0.15">
      <c r="A225" s="8">
        <v>41228</v>
      </c>
      <c r="B225" s="4">
        <v>1353.33</v>
      </c>
      <c r="C225" s="1">
        <v>17.6693</v>
      </c>
      <c r="D225" s="1">
        <v>2.34</v>
      </c>
      <c r="E225" s="1">
        <v>0.31790000000000002</v>
      </c>
      <c r="F225" s="4">
        <f t="shared" si="100"/>
        <v>0.17669299999999999</v>
      </c>
      <c r="G225" s="4">
        <f t="shared" si="101"/>
        <v>2.3399999999999997E-2</v>
      </c>
      <c r="H225" s="4">
        <f t="shared" si="102"/>
        <v>3.179E-3</v>
      </c>
      <c r="I225" s="3">
        <f t="shared" si="103"/>
        <v>50.937609134884077</v>
      </c>
      <c r="J225" s="4">
        <f t="shared" si="113"/>
        <v>1121431.0603276822</v>
      </c>
      <c r="K225" s="1">
        <f t="shared" si="114"/>
        <v>1355.49</v>
      </c>
      <c r="L225" s="5">
        <f t="shared" si="115"/>
        <v>0.24657534246575344</v>
      </c>
      <c r="M225" s="5">
        <f t="shared" si="116"/>
        <v>-0.50947069377791454</v>
      </c>
      <c r="N225" s="5">
        <f t="shared" si="117"/>
        <v>51.812987121252881</v>
      </c>
      <c r="O225" s="1">
        <f t="shared" si="118"/>
        <v>0</v>
      </c>
      <c r="P225" s="1">
        <f t="shared" si="119"/>
        <v>1355.49</v>
      </c>
      <c r="Q225" s="5">
        <f t="shared" si="120"/>
        <v>0.24657534246575344</v>
      </c>
      <c r="R225" s="5">
        <f t="shared" si="121"/>
        <v>-0.50947069377791454</v>
      </c>
      <c r="S225" s="5">
        <f t="shared" si="104"/>
        <v>51.812987121252881</v>
      </c>
      <c r="T225" s="5">
        <f t="shared" si="105"/>
        <v>-797.86898564757882</v>
      </c>
      <c r="U225" s="4">
        <f t="shared" si="106"/>
        <v>1121449.1568453405</v>
      </c>
      <c r="V225" s="4">
        <f t="shared" si="122"/>
        <v>18.09680968169604</v>
      </c>
      <c r="W225" s="4">
        <f t="shared" si="107"/>
        <v>1080109.1813675354</v>
      </c>
      <c r="X225" s="4">
        <f t="shared" si="111"/>
        <v>-1412.3236210707109</v>
      </c>
      <c r="Y225" s="9">
        <f>SUM($X$6:X225)</f>
        <v>80109.181367535377</v>
      </c>
      <c r="Z225" s="16">
        <f t="shared" si="112"/>
        <v>8.0109181367535379E-2</v>
      </c>
      <c r="AA225" s="16">
        <f t="shared" si="108"/>
        <v>5.9723114027531977E-2</v>
      </c>
      <c r="AB225" s="16">
        <f t="shared" si="109"/>
        <v>-1.3058673494297183E-3</v>
      </c>
      <c r="AC225" s="16">
        <f t="shared" si="110"/>
        <v>-1.5935196866078553E-3</v>
      </c>
    </row>
    <row r="226" spans="1:29" x14ac:dyDescent="0.15">
      <c r="A226" s="8">
        <v>41229</v>
      </c>
      <c r="B226" s="4">
        <v>1359.88</v>
      </c>
      <c r="C226" s="1">
        <v>16.680099999999999</v>
      </c>
      <c r="D226" s="1">
        <v>2.33</v>
      </c>
      <c r="E226" s="1">
        <v>0.31840000000000002</v>
      </c>
      <c r="F226" s="4">
        <f t="shared" si="100"/>
        <v>0.166801</v>
      </c>
      <c r="G226" s="4">
        <f t="shared" si="101"/>
        <v>2.3300000000000001E-2</v>
      </c>
      <c r="H226" s="4">
        <f t="shared" si="102"/>
        <v>3.1840000000000002E-3</v>
      </c>
      <c r="I226" s="3">
        <f t="shared" si="103"/>
        <v>48.502456257845957</v>
      </c>
      <c r="J226" s="4">
        <f t="shared" si="113"/>
        <v>1121449.1568453405</v>
      </c>
      <c r="K226" s="1">
        <f t="shared" si="114"/>
        <v>1355.49</v>
      </c>
      <c r="L226" s="5">
        <f t="shared" si="115"/>
        <v>0.24383561643835619</v>
      </c>
      <c r="M226" s="5">
        <f t="shared" si="116"/>
        <v>-0.48888178626473966</v>
      </c>
      <c r="N226" s="5">
        <f t="shared" si="117"/>
        <v>45.596257440769214</v>
      </c>
      <c r="O226" s="1">
        <f t="shared" si="118"/>
        <v>0</v>
      </c>
      <c r="P226" s="1">
        <f t="shared" si="119"/>
        <v>1355.49</v>
      </c>
      <c r="Q226" s="5">
        <f t="shared" si="120"/>
        <v>0.24383561643835619</v>
      </c>
      <c r="R226" s="5">
        <f t="shared" si="121"/>
        <v>-0.48888178626473966</v>
      </c>
      <c r="S226" s="5">
        <f t="shared" si="104"/>
        <v>45.596257440769214</v>
      </c>
      <c r="T226" s="5">
        <f t="shared" si="105"/>
        <v>-797.86898564757882</v>
      </c>
      <c r="U226" s="4">
        <f t="shared" si="106"/>
        <v>1121467.2536550222</v>
      </c>
      <c r="V226" s="4">
        <f t="shared" si="122"/>
        <v>18.097101709665971</v>
      </c>
      <c r="W226" s="4">
        <f t="shared" si="107"/>
        <v>1085087.4139814298</v>
      </c>
      <c r="X226" s="4">
        <f t="shared" si="111"/>
        <v>4978.2326138943899</v>
      </c>
      <c r="Y226" s="9">
        <f>SUM($X$6:X226)</f>
        <v>85087.413981429767</v>
      </c>
      <c r="Z226" s="16">
        <f t="shared" si="112"/>
        <v>8.5087413981429771E-2</v>
      </c>
      <c r="AA226" s="16">
        <f t="shared" si="108"/>
        <v>6.4852082126133595E-2</v>
      </c>
      <c r="AB226" s="16">
        <f t="shared" si="109"/>
        <v>4.6090087000199434E-3</v>
      </c>
      <c r="AC226" s="16">
        <f t="shared" si="110"/>
        <v>4.8399133988016093E-3</v>
      </c>
    </row>
    <row r="227" spans="1:29" x14ac:dyDescent="0.15">
      <c r="A227" s="8">
        <v>41232</v>
      </c>
      <c r="B227" s="4">
        <v>1386.89</v>
      </c>
      <c r="C227" s="1">
        <v>15.3302</v>
      </c>
      <c r="D227" s="1">
        <v>2.29</v>
      </c>
      <c r="E227" s="1">
        <v>0.31840000000000002</v>
      </c>
      <c r="F227" s="4">
        <f t="shared" si="100"/>
        <v>0.15330199999999999</v>
      </c>
      <c r="G227" s="4">
        <f t="shared" si="101"/>
        <v>2.29E-2</v>
      </c>
      <c r="H227" s="4">
        <f t="shared" si="102"/>
        <v>3.1840000000000002E-3</v>
      </c>
      <c r="I227" s="3">
        <f t="shared" si="103"/>
        <v>45.688871805998218</v>
      </c>
      <c r="J227" s="4">
        <f t="shared" si="113"/>
        <v>1121467.2536550222</v>
      </c>
      <c r="K227" s="1">
        <f t="shared" si="114"/>
        <v>1355.49</v>
      </c>
      <c r="L227" s="5">
        <f t="shared" si="115"/>
        <v>0.23561643835616441</v>
      </c>
      <c r="M227" s="5">
        <f t="shared" si="116"/>
        <v>-0.38667615462215371</v>
      </c>
      <c r="N227" s="5">
        <f t="shared" si="117"/>
        <v>29.308165330040179</v>
      </c>
      <c r="O227" s="1">
        <f t="shared" si="118"/>
        <v>0</v>
      </c>
      <c r="P227" s="1">
        <f t="shared" si="119"/>
        <v>1355.49</v>
      </c>
      <c r="Q227" s="5">
        <f t="shared" si="120"/>
        <v>0.23561643835616441</v>
      </c>
      <c r="R227" s="5">
        <f t="shared" si="121"/>
        <v>-0.38667615462215371</v>
      </c>
      <c r="S227" s="5">
        <f t="shared" si="104"/>
        <v>29.308165330040179</v>
      </c>
      <c r="T227" s="5">
        <f t="shared" si="105"/>
        <v>-797.86898564757882</v>
      </c>
      <c r="U227" s="4">
        <f t="shared" si="106"/>
        <v>1121485.3507567318</v>
      </c>
      <c r="V227" s="4">
        <f t="shared" si="122"/>
        <v>54.292181227045063</v>
      </c>
      <c r="W227" s="4">
        <f t="shared" si="107"/>
        <v>1098101.2746136612</v>
      </c>
      <c r="X227" s="4">
        <f t="shared" si="111"/>
        <v>13013.860632231459</v>
      </c>
      <c r="Y227" s="9">
        <f>SUM($X$6:X227)</f>
        <v>98101.274613661226</v>
      </c>
      <c r="Z227" s="16">
        <f t="shared" si="112"/>
        <v>9.8101274613661221E-2</v>
      </c>
      <c r="AA227" s="16">
        <f t="shared" si="108"/>
        <v>8.600222385792379E-2</v>
      </c>
      <c r="AB227" s="16">
        <f t="shared" si="109"/>
        <v>1.1993375339670265E-2</v>
      </c>
      <c r="AC227" s="16">
        <f t="shared" si="110"/>
        <v>1.9862046651175094E-2</v>
      </c>
    </row>
    <row r="228" spans="1:29" x14ac:dyDescent="0.15">
      <c r="A228" s="8">
        <v>41233</v>
      </c>
      <c r="B228" s="4">
        <v>1387.81</v>
      </c>
      <c r="C228" s="1">
        <v>15.109</v>
      </c>
      <c r="D228" s="1">
        <v>2.29</v>
      </c>
      <c r="E228" s="1">
        <v>0.31730000000000003</v>
      </c>
      <c r="F228" s="4">
        <f t="shared" si="100"/>
        <v>0.15109</v>
      </c>
      <c r="G228" s="4">
        <f t="shared" si="101"/>
        <v>2.29E-2</v>
      </c>
      <c r="H228" s="4">
        <f t="shared" si="102"/>
        <v>3.1730000000000005E-3</v>
      </c>
      <c r="I228" s="3">
        <f t="shared" si="103"/>
        <v>45.113430704212462</v>
      </c>
      <c r="J228" s="4">
        <f t="shared" si="113"/>
        <v>1121485.3507567318</v>
      </c>
      <c r="K228" s="1">
        <f t="shared" si="114"/>
        <v>1355.49</v>
      </c>
      <c r="L228" s="5">
        <f t="shared" si="115"/>
        <v>0.23287671232876717</v>
      </c>
      <c r="M228" s="5">
        <f t="shared" si="116"/>
        <v>-0.38133443076180124</v>
      </c>
      <c r="N228" s="5">
        <f t="shared" si="117"/>
        <v>28.135196275543148</v>
      </c>
      <c r="O228" s="1">
        <f t="shared" si="118"/>
        <v>0</v>
      </c>
      <c r="P228" s="1">
        <f t="shared" si="119"/>
        <v>1355.49</v>
      </c>
      <c r="Q228" s="5">
        <f t="shared" si="120"/>
        <v>0.23287671232876717</v>
      </c>
      <c r="R228" s="5">
        <f t="shared" si="121"/>
        <v>-0.38133443076180124</v>
      </c>
      <c r="S228" s="5">
        <f t="shared" si="104"/>
        <v>28.135196275543148</v>
      </c>
      <c r="T228" s="5">
        <f t="shared" si="105"/>
        <v>-797.86898564757882</v>
      </c>
      <c r="U228" s="4">
        <f t="shared" si="106"/>
        <v>1121539.6429379589</v>
      </c>
      <c r="V228" s="4">
        <f t="shared" si="122"/>
        <v>18.098269854533086</v>
      </c>
      <c r="W228" s="4">
        <f t="shared" si="107"/>
        <v>1099091.4424245958</v>
      </c>
      <c r="X228" s="4">
        <f t="shared" si="111"/>
        <v>990.16781093459576</v>
      </c>
      <c r="Y228" s="9">
        <f>SUM($X$6:X228)</f>
        <v>99091.442424595822</v>
      </c>
      <c r="Z228" s="16">
        <f t="shared" si="112"/>
        <v>9.9091442424595819E-2</v>
      </c>
      <c r="AA228" s="16">
        <f t="shared" si="108"/>
        <v>8.6722628537421895E-2</v>
      </c>
      <c r="AB228" s="16">
        <f t="shared" si="109"/>
        <v>9.017090079263963E-4</v>
      </c>
      <c r="AC228" s="16">
        <f t="shared" si="110"/>
        <v>6.6335470008424991E-4</v>
      </c>
    </row>
    <row r="229" spans="1:29" x14ac:dyDescent="0.15">
      <c r="A229" s="8">
        <v>41234</v>
      </c>
      <c r="B229" s="4">
        <v>1391.03</v>
      </c>
      <c r="C229" s="1">
        <v>15.1456</v>
      </c>
      <c r="D229" s="1">
        <v>2.2800000000000002</v>
      </c>
      <c r="E229" s="1">
        <v>0.31830000000000003</v>
      </c>
      <c r="F229" s="4">
        <f t="shared" si="100"/>
        <v>0.15145600000000001</v>
      </c>
      <c r="G229" s="4">
        <f t="shared" si="101"/>
        <v>2.2800000000000001E-2</v>
      </c>
      <c r="H229" s="4">
        <f t="shared" si="102"/>
        <v>3.1830000000000001E-3</v>
      </c>
      <c r="I229" s="3">
        <f t="shared" si="103"/>
        <v>45.299414831819895</v>
      </c>
      <c r="J229" s="4">
        <f t="shared" si="113"/>
        <v>1121539.6429379589</v>
      </c>
      <c r="K229" s="1">
        <f t="shared" si="114"/>
        <v>1355.49</v>
      </c>
      <c r="L229" s="5">
        <f t="shared" si="115"/>
        <v>0.23013698630136992</v>
      </c>
      <c r="M229" s="5">
        <f t="shared" si="116"/>
        <v>-0.36860747053254839</v>
      </c>
      <c r="N229" s="5">
        <f t="shared" si="117"/>
        <v>26.75300543744661</v>
      </c>
      <c r="O229" s="1">
        <f t="shared" si="118"/>
        <v>0</v>
      </c>
      <c r="P229" s="1">
        <f t="shared" si="119"/>
        <v>1355.49</v>
      </c>
      <c r="Q229" s="5">
        <f t="shared" si="120"/>
        <v>0.23013698630136992</v>
      </c>
      <c r="R229" s="5">
        <f t="shared" si="121"/>
        <v>-0.36860747053254839</v>
      </c>
      <c r="S229" s="5">
        <f t="shared" si="104"/>
        <v>26.75300543744661</v>
      </c>
      <c r="T229" s="5">
        <f t="shared" si="105"/>
        <v>-797.86898564757882</v>
      </c>
      <c r="U229" s="4">
        <f t="shared" si="106"/>
        <v>1121557.7412078134</v>
      </c>
      <c r="V229" s="4">
        <f t="shared" si="122"/>
        <v>18.098561906065811</v>
      </c>
      <c r="W229" s="4">
        <f t="shared" si="107"/>
        <v>1100212.3478964136</v>
      </c>
      <c r="X229" s="4">
        <f t="shared" si="111"/>
        <v>1120.9054718178231</v>
      </c>
      <c r="Y229" s="9">
        <f>SUM($X$6:X229)</f>
        <v>100212.34789641364</v>
      </c>
      <c r="Z229" s="16">
        <f t="shared" si="112"/>
        <v>0.10021234789641364</v>
      </c>
      <c r="AA229" s="16">
        <f t="shared" si="108"/>
        <v>8.9244044915665691E-2</v>
      </c>
      <c r="AB229" s="16">
        <f t="shared" si="109"/>
        <v>1.0198473289402615E-3</v>
      </c>
      <c r="AC229" s="16">
        <f t="shared" si="110"/>
        <v>2.320202333172428E-3</v>
      </c>
    </row>
    <row r="230" spans="1:29" x14ac:dyDescent="0.15">
      <c r="A230" s="8">
        <v>41236</v>
      </c>
      <c r="B230" s="4">
        <v>1409.15</v>
      </c>
      <c r="C230" s="1">
        <v>14.593</v>
      </c>
      <c r="D230" s="1">
        <v>2.25</v>
      </c>
      <c r="E230" s="1">
        <v>0.31840000000000002</v>
      </c>
      <c r="F230" s="4">
        <f t="shared" si="100"/>
        <v>0.14593</v>
      </c>
      <c r="G230" s="4">
        <f t="shared" si="101"/>
        <v>2.2499999999999999E-2</v>
      </c>
      <c r="H230" s="4">
        <f t="shared" si="102"/>
        <v>3.1840000000000002E-3</v>
      </c>
      <c r="I230" s="3">
        <f t="shared" si="103"/>
        <v>44.293932329589239</v>
      </c>
      <c r="J230" s="4">
        <f t="shared" si="113"/>
        <v>1121557.7412078134</v>
      </c>
      <c r="K230" s="1">
        <f t="shared" si="114"/>
        <v>1355.49</v>
      </c>
      <c r="L230" s="5">
        <f t="shared" si="115"/>
        <v>0.22465753424657539</v>
      </c>
      <c r="M230" s="5">
        <f t="shared" si="116"/>
        <v>-0.29547062464131479</v>
      </c>
      <c r="N230" s="5">
        <f t="shared" si="117"/>
        <v>18.89045631246276</v>
      </c>
      <c r="O230" s="1">
        <f t="shared" si="118"/>
        <v>0</v>
      </c>
      <c r="P230" s="1">
        <f t="shared" si="119"/>
        <v>1355.49</v>
      </c>
      <c r="Q230" s="5">
        <f t="shared" si="120"/>
        <v>0.22465753424657539</v>
      </c>
      <c r="R230" s="5">
        <f t="shared" si="121"/>
        <v>-0.29547062464131479</v>
      </c>
      <c r="S230" s="5">
        <f t="shared" si="104"/>
        <v>18.89045631246276</v>
      </c>
      <c r="T230" s="5">
        <f t="shared" si="105"/>
        <v>-797.86898564757882</v>
      </c>
      <c r="U230" s="4">
        <f t="shared" si="106"/>
        <v>1121575.8397697194</v>
      </c>
      <c r="V230" s="4">
        <f t="shared" si="122"/>
        <v>36.197707924622719</v>
      </c>
      <c r="W230" s="4">
        <f t="shared" si="107"/>
        <v>1106503.7305532747</v>
      </c>
      <c r="X230" s="4">
        <f t="shared" si="111"/>
        <v>6291.3826568610966</v>
      </c>
      <c r="Y230" s="9">
        <f>SUM($X$6:X230)</f>
        <v>106503.73055327474</v>
      </c>
      <c r="Z230" s="16">
        <f t="shared" si="112"/>
        <v>0.10650373055327474</v>
      </c>
      <c r="AA230" s="16">
        <f t="shared" si="108"/>
        <v>0.10343288490752209</v>
      </c>
      <c r="AB230" s="16">
        <f t="shared" si="109"/>
        <v>5.7183348913417559E-3</v>
      </c>
      <c r="AC230" s="16">
        <f t="shared" si="110"/>
        <v>1.3026318627204388E-2</v>
      </c>
    </row>
    <row r="231" spans="1:29" x14ac:dyDescent="0.15">
      <c r="A231" s="8">
        <v>41239</v>
      </c>
      <c r="B231" s="4">
        <v>1406.29</v>
      </c>
      <c r="C231" s="1">
        <v>14.9458</v>
      </c>
      <c r="D231" s="1">
        <v>2.2599999999999998</v>
      </c>
      <c r="E231" s="1">
        <v>0.31840000000000002</v>
      </c>
      <c r="F231" s="4">
        <f t="shared" si="100"/>
        <v>0.14945800000000001</v>
      </c>
      <c r="G231" s="4">
        <f t="shared" si="101"/>
        <v>2.2599999999999999E-2</v>
      </c>
      <c r="H231" s="4">
        <f t="shared" si="102"/>
        <v>3.1840000000000002E-3</v>
      </c>
      <c r="I231" s="3">
        <f t="shared" si="103"/>
        <v>45.204218636648285</v>
      </c>
      <c r="J231" s="4">
        <f t="shared" si="113"/>
        <v>1121575.8397697194</v>
      </c>
      <c r="K231" s="1">
        <f t="shared" si="114"/>
        <v>1355.49</v>
      </c>
      <c r="L231" s="5">
        <f t="shared" si="115"/>
        <v>0.21643835616438362</v>
      </c>
      <c r="M231" s="5">
        <f t="shared" si="116"/>
        <v>-0.30581929022141163</v>
      </c>
      <c r="N231" s="5">
        <f t="shared" si="117"/>
        <v>19.870731979940462</v>
      </c>
      <c r="O231" s="1">
        <f t="shared" si="118"/>
        <v>0</v>
      </c>
      <c r="P231" s="1">
        <f t="shared" si="119"/>
        <v>1355.49</v>
      </c>
      <c r="Q231" s="5">
        <f t="shared" si="120"/>
        <v>0.21643835616438362</v>
      </c>
      <c r="R231" s="5">
        <f t="shared" si="121"/>
        <v>-0.30581929022141163</v>
      </c>
      <c r="S231" s="5">
        <f t="shared" si="104"/>
        <v>19.870731979940462</v>
      </c>
      <c r="T231" s="5">
        <f t="shared" si="105"/>
        <v>-797.86898564757882</v>
      </c>
      <c r="U231" s="4">
        <f t="shared" si="106"/>
        <v>1121612.0374776439</v>
      </c>
      <c r="V231" s="4">
        <f t="shared" si="122"/>
        <v>54.29831425268484</v>
      </c>
      <c r="W231" s="4">
        <f t="shared" si="107"/>
        <v>1105757.796708734</v>
      </c>
      <c r="X231" s="4">
        <f t="shared" si="111"/>
        <v>-745.93384454073384</v>
      </c>
      <c r="Y231" s="9">
        <f>SUM($X$6:X231)</f>
        <v>105757.79670873401</v>
      </c>
      <c r="Z231" s="16">
        <f t="shared" si="112"/>
        <v>0.105757796708734</v>
      </c>
      <c r="AA231" s="16">
        <f t="shared" si="108"/>
        <v>0.10119336601256011</v>
      </c>
      <c r="AB231" s="16">
        <f t="shared" si="109"/>
        <v>-6.7413586049795921E-4</v>
      </c>
      <c r="AC231" s="16">
        <f t="shared" si="110"/>
        <v>-2.0295923074194564E-3</v>
      </c>
    </row>
    <row r="232" spans="1:29" x14ac:dyDescent="0.15">
      <c r="A232" s="8">
        <v>41240</v>
      </c>
      <c r="B232" s="4">
        <v>1398.94</v>
      </c>
      <c r="C232" s="1">
        <v>15.0145</v>
      </c>
      <c r="D232" s="1">
        <v>2.27</v>
      </c>
      <c r="E232" s="1">
        <v>0.31850000000000001</v>
      </c>
      <c r="F232" s="4">
        <f t="shared" si="100"/>
        <v>0.150145</v>
      </c>
      <c r="G232" s="4">
        <f t="shared" si="101"/>
        <v>2.2700000000000001E-2</v>
      </c>
      <c r="H232" s="4">
        <f t="shared" si="102"/>
        <v>3.1849999999999999E-3</v>
      </c>
      <c r="I232" s="3">
        <f t="shared" si="103"/>
        <v>45.175783753662309</v>
      </c>
      <c r="J232" s="4">
        <f t="shared" si="113"/>
        <v>1121612.0374776439</v>
      </c>
      <c r="K232" s="1">
        <f t="shared" si="114"/>
        <v>1355.49</v>
      </c>
      <c r="L232" s="5">
        <f t="shared" si="115"/>
        <v>0.21369863013698637</v>
      </c>
      <c r="M232" s="5">
        <f t="shared" si="116"/>
        <v>-0.33227224784156356</v>
      </c>
      <c r="N232" s="5">
        <f t="shared" si="117"/>
        <v>22.138989984117647</v>
      </c>
      <c r="O232" s="1">
        <f t="shared" si="118"/>
        <v>0</v>
      </c>
      <c r="P232" s="1">
        <f t="shared" si="119"/>
        <v>1355.49</v>
      </c>
      <c r="Q232" s="5">
        <f t="shared" si="120"/>
        <v>0.21369863013698637</v>
      </c>
      <c r="R232" s="5">
        <f t="shared" si="121"/>
        <v>-0.33227224784156356</v>
      </c>
      <c r="S232" s="5">
        <f t="shared" si="104"/>
        <v>22.138989984117647</v>
      </c>
      <c r="T232" s="5">
        <f t="shared" si="105"/>
        <v>-797.86898564757882</v>
      </c>
      <c r="U232" s="4">
        <f t="shared" si="106"/>
        <v>1121666.3357918966</v>
      </c>
      <c r="V232" s="4">
        <f t="shared" si="122"/>
        <v>18.100314295381562</v>
      </c>
      <c r="W232" s="4">
        <f t="shared" si="107"/>
        <v>1104002.3223100067</v>
      </c>
      <c r="X232" s="4">
        <f t="shared" si="111"/>
        <v>-1755.4743987272959</v>
      </c>
      <c r="Y232" s="9">
        <f>SUM($X$6:X232)</f>
        <v>104002.32231000671</v>
      </c>
      <c r="Z232" s="16">
        <f t="shared" si="112"/>
        <v>0.10400232231000671</v>
      </c>
      <c r="AA232" s="16">
        <f t="shared" si="108"/>
        <v>9.5437959062221134E-2</v>
      </c>
      <c r="AB232" s="16">
        <f t="shared" si="109"/>
        <v>-1.5875758723586941E-3</v>
      </c>
      <c r="AC232" s="16">
        <f t="shared" si="110"/>
        <v>-5.2265180012656771E-3</v>
      </c>
    </row>
    <row r="233" spans="1:29" x14ac:dyDescent="0.15">
      <c r="A233" s="8">
        <v>41241</v>
      </c>
      <c r="B233" s="4">
        <v>1409.93</v>
      </c>
      <c r="C233" s="1">
        <v>14.9572</v>
      </c>
      <c r="D233" s="1">
        <v>2.25</v>
      </c>
      <c r="E233" s="1">
        <v>0.31759999999999999</v>
      </c>
      <c r="F233" s="4">
        <f t="shared" si="100"/>
        <v>0.14957200000000001</v>
      </c>
      <c r="G233" s="4">
        <f t="shared" si="101"/>
        <v>2.2499999999999999E-2</v>
      </c>
      <c r="H233" s="4">
        <f t="shared" si="102"/>
        <v>3.176E-3</v>
      </c>
      <c r="I233" s="3">
        <f t="shared" si="103"/>
        <v>45.336710279635206</v>
      </c>
      <c r="J233" s="4">
        <f t="shared" si="113"/>
        <v>1121666.3357918966</v>
      </c>
      <c r="K233" s="1">
        <f t="shared" si="114"/>
        <v>1355.49</v>
      </c>
      <c r="L233" s="5">
        <f t="shared" si="115"/>
        <v>0.21095890410958912</v>
      </c>
      <c r="M233" s="5">
        <f t="shared" si="116"/>
        <v>-0.29039786955997721</v>
      </c>
      <c r="N233" s="5">
        <f t="shared" si="117"/>
        <v>18.327415207052344</v>
      </c>
      <c r="O233" s="1">
        <f t="shared" si="118"/>
        <v>0</v>
      </c>
      <c r="P233" s="1">
        <f t="shared" si="119"/>
        <v>1355.49</v>
      </c>
      <c r="Q233" s="5">
        <f t="shared" si="120"/>
        <v>0.21095890410958912</v>
      </c>
      <c r="R233" s="5">
        <f t="shared" si="121"/>
        <v>-0.29039786955997721</v>
      </c>
      <c r="S233" s="5">
        <f t="shared" si="104"/>
        <v>18.327415207052344</v>
      </c>
      <c r="T233" s="5">
        <f t="shared" si="105"/>
        <v>-797.86898564757882</v>
      </c>
      <c r="U233" s="4">
        <f t="shared" si="106"/>
        <v>1121684.4361061919</v>
      </c>
      <c r="V233" s="4">
        <f t="shared" si="122"/>
        <v>18.100606379905397</v>
      </c>
      <c r="W233" s="4">
        <f t="shared" si="107"/>
        <v>1107061.559925399</v>
      </c>
      <c r="X233" s="4">
        <f t="shared" si="111"/>
        <v>3059.2376153923105</v>
      </c>
      <c r="Y233" s="9">
        <f>SUM($X$6:X233)</f>
        <v>107061.55992539902</v>
      </c>
      <c r="Z233" s="16">
        <f t="shared" si="112"/>
        <v>0.10706155992539902</v>
      </c>
      <c r="AA233" s="16">
        <f t="shared" si="108"/>
        <v>0.1040436627879662</v>
      </c>
      <c r="AB233" s="16">
        <f t="shared" si="109"/>
        <v>2.7710427356630765E-3</v>
      </c>
      <c r="AC233" s="16">
        <f t="shared" si="110"/>
        <v>7.8559480749710552E-3</v>
      </c>
    </row>
    <row r="234" spans="1:29" x14ac:dyDescent="0.15">
      <c r="A234" s="8">
        <v>41242</v>
      </c>
      <c r="B234" s="4">
        <v>1415.95</v>
      </c>
      <c r="C234" s="1">
        <v>14.638500000000001</v>
      </c>
      <c r="D234" s="1">
        <v>2.2400000000000002</v>
      </c>
      <c r="E234" s="1">
        <v>0.3105</v>
      </c>
      <c r="F234" s="4">
        <f t="shared" si="100"/>
        <v>0.14638500000000002</v>
      </c>
      <c r="G234" s="4">
        <f t="shared" si="101"/>
        <v>2.2400000000000003E-2</v>
      </c>
      <c r="H234" s="4">
        <f t="shared" si="102"/>
        <v>3.1050000000000001E-3</v>
      </c>
      <c r="I234" s="3">
        <f t="shared" si="103"/>
        <v>44.632345404780239</v>
      </c>
      <c r="J234" s="4">
        <f t="shared" si="113"/>
        <v>1121684.4361061919</v>
      </c>
      <c r="K234" s="1">
        <f t="shared" si="114"/>
        <v>1355.49</v>
      </c>
      <c r="L234" s="5">
        <f t="shared" si="115"/>
        <v>0.20821917808219187</v>
      </c>
      <c r="M234" s="5">
        <f t="shared" si="116"/>
        <v>-0.26424500434234582</v>
      </c>
      <c r="N234" s="5">
        <f t="shared" si="117"/>
        <v>15.737179505344931</v>
      </c>
      <c r="O234" s="1">
        <f t="shared" si="118"/>
        <v>0</v>
      </c>
      <c r="P234" s="1">
        <f t="shared" si="119"/>
        <v>1355.49</v>
      </c>
      <c r="Q234" s="5">
        <f t="shared" si="120"/>
        <v>0.20821917808219187</v>
      </c>
      <c r="R234" s="5">
        <f t="shared" si="121"/>
        <v>-0.26424500434234582</v>
      </c>
      <c r="S234" s="5">
        <f t="shared" si="104"/>
        <v>15.737179505344931</v>
      </c>
      <c r="T234" s="5">
        <f t="shared" si="105"/>
        <v>-797.86898564757882</v>
      </c>
      <c r="U234" s="4">
        <f t="shared" si="106"/>
        <v>1121702.5367125717</v>
      </c>
      <c r="V234" s="4">
        <f t="shared" si="122"/>
        <v>18.100898469142592</v>
      </c>
      <c r="W234" s="4">
        <f t="shared" si="107"/>
        <v>1109146.3292636883</v>
      </c>
      <c r="X234" s="4">
        <f t="shared" si="111"/>
        <v>2084.7693382892758</v>
      </c>
      <c r="Y234" s="9">
        <f>SUM($X$6:X234)</f>
        <v>109146.3292636883</v>
      </c>
      <c r="Z234" s="16">
        <f t="shared" si="112"/>
        <v>0.10914632926368829</v>
      </c>
      <c r="AA234" s="16">
        <f t="shared" si="108"/>
        <v>0.10875761514729151</v>
      </c>
      <c r="AB234" s="16">
        <f t="shared" si="109"/>
        <v>1.8831557464878113E-3</v>
      </c>
      <c r="AC234" s="16">
        <f t="shared" si="110"/>
        <v>4.2697155177916502E-3</v>
      </c>
    </row>
    <row r="235" spans="1:29" x14ac:dyDescent="0.15">
      <c r="A235" s="8">
        <v>41243</v>
      </c>
      <c r="B235" s="4">
        <v>1416.18</v>
      </c>
      <c r="C235" s="1">
        <v>15.0786</v>
      </c>
      <c r="D235" s="1">
        <v>2.25</v>
      </c>
      <c r="E235" s="1">
        <v>0.3105</v>
      </c>
      <c r="F235" s="4">
        <f t="shared" si="100"/>
        <v>0.150786</v>
      </c>
      <c r="G235" s="4">
        <f t="shared" si="101"/>
        <v>2.2499999999999999E-2</v>
      </c>
      <c r="H235" s="4">
        <f t="shared" si="102"/>
        <v>3.1050000000000001E-3</v>
      </c>
      <c r="I235" s="3">
        <f t="shared" si="103"/>
        <v>45.89165181056201</v>
      </c>
      <c r="J235" s="4">
        <f t="shared" si="113"/>
        <v>1121702.5367125717</v>
      </c>
      <c r="K235" s="1">
        <f t="shared" si="114"/>
        <v>1355.49</v>
      </c>
      <c r="L235" s="5">
        <f t="shared" si="115"/>
        <v>0.20547945205479462</v>
      </c>
      <c r="M235" s="5">
        <f t="shared" si="116"/>
        <v>-0.26748327553263868</v>
      </c>
      <c r="N235" s="5">
        <f t="shared" si="117"/>
        <v>16.384355429578807</v>
      </c>
      <c r="O235" s="1">
        <f t="shared" si="118"/>
        <v>0</v>
      </c>
      <c r="P235" s="1">
        <f t="shared" si="119"/>
        <v>1355.49</v>
      </c>
      <c r="Q235" s="5">
        <f t="shared" si="120"/>
        <v>0.20547945205479462</v>
      </c>
      <c r="R235" s="5">
        <f t="shared" si="121"/>
        <v>-0.26748327553263868</v>
      </c>
      <c r="S235" s="5">
        <f t="shared" si="104"/>
        <v>16.384355429578807</v>
      </c>
      <c r="T235" s="5">
        <f t="shared" si="105"/>
        <v>-797.86898564757882</v>
      </c>
      <c r="U235" s="4">
        <f t="shared" si="106"/>
        <v>1121720.6376110408</v>
      </c>
      <c r="V235" s="4">
        <f t="shared" si="122"/>
        <v>18.101190563093233</v>
      </c>
      <c r="W235" s="4">
        <f t="shared" si="107"/>
        <v>1108648.0685639535</v>
      </c>
      <c r="X235" s="4">
        <f t="shared" si="111"/>
        <v>-498.26069973479025</v>
      </c>
      <c r="Y235" s="9">
        <f>SUM($X$6:X235)</f>
        <v>108648.06856395351</v>
      </c>
      <c r="Z235" s="16">
        <f t="shared" si="112"/>
        <v>0.10864806856395351</v>
      </c>
      <c r="AA235" s="16">
        <f t="shared" si="108"/>
        <v>0.10893771631716609</v>
      </c>
      <c r="AB235" s="16">
        <f t="shared" si="109"/>
        <v>-4.4922900305279179E-4</v>
      </c>
      <c r="AC235" s="16">
        <f t="shared" si="110"/>
        <v>1.6243511423427251E-4</v>
      </c>
    </row>
    <row r="236" spans="1:29" x14ac:dyDescent="0.15">
      <c r="A236" s="8">
        <v>41246</v>
      </c>
      <c r="B236" s="4">
        <v>1409.46</v>
      </c>
      <c r="C236" s="1">
        <v>15.444900000000001</v>
      </c>
      <c r="D236" s="1">
        <v>2.2599999999999998</v>
      </c>
      <c r="E236" s="1">
        <v>0.3105</v>
      </c>
      <c r="F236" s="4">
        <f t="shared" si="100"/>
        <v>0.154449</v>
      </c>
      <c r="G236" s="4">
        <f t="shared" si="101"/>
        <v>2.2599999999999999E-2</v>
      </c>
      <c r="H236" s="4">
        <f t="shared" si="102"/>
        <v>3.1050000000000001E-3</v>
      </c>
      <c r="I236" s="3">
        <f t="shared" si="103"/>
        <v>46.714045276268344</v>
      </c>
      <c r="J236" s="4">
        <f t="shared" si="113"/>
        <v>1121720.6376110408</v>
      </c>
      <c r="K236" s="1">
        <f t="shared" si="114"/>
        <v>1355.49</v>
      </c>
      <c r="L236" s="5">
        <f t="shared" si="115"/>
        <v>0.19726027397260285</v>
      </c>
      <c r="M236" s="5">
        <f t="shared" si="116"/>
        <v>-0.29074868366321016</v>
      </c>
      <c r="N236" s="5">
        <f t="shared" si="117"/>
        <v>18.321354471370704</v>
      </c>
      <c r="O236" s="1">
        <f t="shared" si="118"/>
        <v>0</v>
      </c>
      <c r="P236" s="1">
        <f t="shared" si="119"/>
        <v>1355.49</v>
      </c>
      <c r="Q236" s="5">
        <f t="shared" si="120"/>
        <v>0.19726027397260285</v>
      </c>
      <c r="R236" s="5">
        <f t="shared" si="121"/>
        <v>-0.29074868366321016</v>
      </c>
      <c r="S236" s="5">
        <f t="shared" si="104"/>
        <v>18.321354471370704</v>
      </c>
      <c r="T236" s="5">
        <f t="shared" si="105"/>
        <v>-797.86898564757882</v>
      </c>
      <c r="U236" s="4">
        <f t="shared" si="106"/>
        <v>1121738.7388016039</v>
      </c>
      <c r="V236" s="4">
        <f t="shared" si="122"/>
        <v>54.304447985272169</v>
      </c>
      <c r="W236" s="4">
        <f t="shared" si="107"/>
        <v>1107120.6982938417</v>
      </c>
      <c r="X236" s="4">
        <f t="shared" si="111"/>
        <v>-1527.3702701118309</v>
      </c>
      <c r="Y236" s="9">
        <f>SUM($X$6:X236)</f>
        <v>107120.69829384168</v>
      </c>
      <c r="Z236" s="16">
        <f t="shared" si="112"/>
        <v>0.10712069829384167</v>
      </c>
      <c r="AA236" s="16">
        <f t="shared" si="108"/>
        <v>0.10367562996257035</v>
      </c>
      <c r="AB236" s="16">
        <f t="shared" si="109"/>
        <v>-1.3776872151053795E-3</v>
      </c>
      <c r="AC236" s="16">
        <f t="shared" si="110"/>
        <v>-4.7451595136211687E-3</v>
      </c>
    </row>
    <row r="237" spans="1:29" x14ac:dyDescent="0.15">
      <c r="A237" s="8">
        <v>41247</v>
      </c>
      <c r="B237" s="4">
        <v>1407.05</v>
      </c>
      <c r="C237" s="1">
        <v>15.849600000000001</v>
      </c>
      <c r="D237" s="1">
        <v>2.27</v>
      </c>
      <c r="E237" s="1">
        <v>0.3105</v>
      </c>
      <c r="F237" s="4">
        <f t="shared" si="100"/>
        <v>0.158496</v>
      </c>
      <c r="G237" s="4">
        <f t="shared" si="101"/>
        <v>2.2700000000000001E-2</v>
      </c>
      <c r="H237" s="4">
        <f t="shared" si="102"/>
        <v>3.1050000000000001E-3</v>
      </c>
      <c r="I237" s="3">
        <f t="shared" si="103"/>
        <v>47.779539448948057</v>
      </c>
      <c r="J237" s="4">
        <f t="shared" si="113"/>
        <v>1121738.7388016039</v>
      </c>
      <c r="K237" s="1">
        <f t="shared" si="114"/>
        <v>1355.49</v>
      </c>
      <c r="L237" s="5">
        <f t="shared" si="115"/>
        <v>0.1945205479452056</v>
      </c>
      <c r="M237" s="5">
        <f t="shared" si="116"/>
        <v>-0.30212213407537009</v>
      </c>
      <c r="N237" s="5">
        <f t="shared" si="117"/>
        <v>19.656674301634762</v>
      </c>
      <c r="O237" s="1">
        <f t="shared" si="118"/>
        <v>0</v>
      </c>
      <c r="P237" s="1">
        <f t="shared" si="119"/>
        <v>1355.49</v>
      </c>
      <c r="Q237" s="5">
        <f t="shared" si="120"/>
        <v>0.1945205479452056</v>
      </c>
      <c r="R237" s="5">
        <f t="shared" si="121"/>
        <v>-0.30212213407537009</v>
      </c>
      <c r="S237" s="5">
        <f t="shared" si="104"/>
        <v>19.656674301634762</v>
      </c>
      <c r="T237" s="5">
        <f t="shared" si="105"/>
        <v>-797.86898564757882</v>
      </c>
      <c r="U237" s="4">
        <f t="shared" si="106"/>
        <v>1121793.0432495892</v>
      </c>
      <c r="V237" s="4">
        <f t="shared" si="122"/>
        <v>18.102358971890627</v>
      </c>
      <c r="W237" s="4">
        <f t="shared" si="107"/>
        <v>1106109.592463339</v>
      </c>
      <c r="X237" s="4">
        <f t="shared" si="111"/>
        <v>-1011.1058305026963</v>
      </c>
      <c r="Y237" s="9">
        <f>SUM($X$6:X237)</f>
        <v>106109.59246333898</v>
      </c>
      <c r="Z237" s="16">
        <f t="shared" si="112"/>
        <v>0.10610959246333898</v>
      </c>
      <c r="AA237" s="16">
        <f t="shared" si="108"/>
        <v>0.10178848292171082</v>
      </c>
      <c r="AB237" s="16">
        <f t="shared" si="109"/>
        <v>-9.1327515785847777E-4</v>
      </c>
      <c r="AC237" s="16">
        <f t="shared" si="110"/>
        <v>-1.7098747037873241E-3</v>
      </c>
    </row>
    <row r="238" spans="1:29" x14ac:dyDescent="0.15">
      <c r="A238" s="8">
        <v>41248</v>
      </c>
      <c r="B238" s="4">
        <v>1409.28</v>
      </c>
      <c r="C238" s="1">
        <v>15.4617</v>
      </c>
      <c r="D238" s="1">
        <v>2.2599999999999998</v>
      </c>
      <c r="E238" s="1">
        <v>0.3105</v>
      </c>
      <c r="F238" s="4">
        <f t="shared" si="100"/>
        <v>0.154617</v>
      </c>
      <c r="G238" s="4">
        <f t="shared" si="101"/>
        <v>2.2599999999999999E-2</v>
      </c>
      <c r="H238" s="4">
        <f t="shared" si="102"/>
        <v>3.1050000000000001E-3</v>
      </c>
      <c r="I238" s="3">
        <f t="shared" si="103"/>
        <v>46.754962396372981</v>
      </c>
      <c r="J238" s="4">
        <f t="shared" si="113"/>
        <v>1121793.0432495892</v>
      </c>
      <c r="K238" s="1">
        <f t="shared" si="114"/>
        <v>1355.49</v>
      </c>
      <c r="L238" s="5">
        <f t="shared" si="115"/>
        <v>0.19178082191780835</v>
      </c>
      <c r="M238" s="5">
        <f t="shared" si="116"/>
        <v>-0.28874947621840497</v>
      </c>
      <c r="N238" s="5">
        <f t="shared" si="117"/>
        <v>17.903989485136762</v>
      </c>
      <c r="O238" s="1">
        <f t="shared" si="118"/>
        <v>0</v>
      </c>
      <c r="P238" s="1">
        <f t="shared" si="119"/>
        <v>1355.49</v>
      </c>
      <c r="Q238" s="5">
        <f t="shared" si="120"/>
        <v>0.19178082191780835</v>
      </c>
      <c r="R238" s="5">
        <f t="shared" si="121"/>
        <v>-0.28874947621840497</v>
      </c>
      <c r="S238" s="5">
        <f t="shared" si="104"/>
        <v>17.903989485136762</v>
      </c>
      <c r="T238" s="5">
        <f t="shared" si="105"/>
        <v>-797.86898564757882</v>
      </c>
      <c r="U238" s="4">
        <f t="shared" si="106"/>
        <v>1121811.1456085611</v>
      </c>
      <c r="V238" s="4">
        <f t="shared" si="122"/>
        <v>18.102651089409381</v>
      </c>
      <c r="W238" s="4">
        <f t="shared" si="107"/>
        <v>1107526.1076790101</v>
      </c>
      <c r="X238" s="4">
        <f t="shared" si="111"/>
        <v>1416.5152156711556</v>
      </c>
      <c r="Y238" s="9">
        <f>SUM($X$6:X238)</f>
        <v>107526.10767901014</v>
      </c>
      <c r="Z238" s="16">
        <f t="shared" si="112"/>
        <v>0.10752610767901014</v>
      </c>
      <c r="AA238" s="16">
        <f t="shared" si="108"/>
        <v>0.10353468122092935</v>
      </c>
      <c r="AB238" s="16">
        <f t="shared" si="109"/>
        <v>1.2806282716674882E-3</v>
      </c>
      <c r="AC238" s="16">
        <f t="shared" si="110"/>
        <v>1.584876159340477E-3</v>
      </c>
    </row>
    <row r="239" spans="1:29" x14ac:dyDescent="0.15">
      <c r="A239" s="8">
        <v>41249</v>
      </c>
      <c r="B239" s="4">
        <v>1413.94</v>
      </c>
      <c r="C239" s="1">
        <v>15.769399999999999</v>
      </c>
      <c r="D239" s="1">
        <v>2.2599999999999998</v>
      </c>
      <c r="E239" s="1">
        <v>0.3105</v>
      </c>
      <c r="F239" s="4">
        <f t="shared" si="100"/>
        <v>0.157694</v>
      </c>
      <c r="G239" s="4">
        <f t="shared" si="101"/>
        <v>2.2599999999999999E-2</v>
      </c>
      <c r="H239" s="4">
        <f t="shared" si="102"/>
        <v>3.1050000000000001E-3</v>
      </c>
      <c r="I239" s="3">
        <f t="shared" si="103"/>
        <v>47.77110845580075</v>
      </c>
      <c r="J239" s="4">
        <f t="shared" si="113"/>
        <v>1121811.1456085611</v>
      </c>
      <c r="K239" s="1">
        <f t="shared" si="114"/>
        <v>1355.49</v>
      </c>
      <c r="L239" s="5">
        <f t="shared" si="115"/>
        <v>0.1890410958904111</v>
      </c>
      <c r="M239" s="5">
        <f t="shared" si="116"/>
        <v>-0.27432361659476723</v>
      </c>
      <c r="N239" s="5">
        <f t="shared" si="117"/>
        <v>16.976413450590954</v>
      </c>
      <c r="O239" s="1">
        <f t="shared" si="118"/>
        <v>0</v>
      </c>
      <c r="P239" s="1">
        <f t="shared" si="119"/>
        <v>1355.49</v>
      </c>
      <c r="Q239" s="5">
        <f t="shared" si="120"/>
        <v>0.1890410958904111</v>
      </c>
      <c r="R239" s="5">
        <f t="shared" si="121"/>
        <v>-0.27432361659476723</v>
      </c>
      <c r="S239" s="5">
        <f t="shared" si="104"/>
        <v>16.976413450590954</v>
      </c>
      <c r="T239" s="5">
        <f t="shared" si="105"/>
        <v>-797.86898564757882</v>
      </c>
      <c r="U239" s="4">
        <f t="shared" si="106"/>
        <v>1121829.2482596505</v>
      </c>
      <c r="V239" s="4">
        <f t="shared" si="122"/>
        <v>18.102943211642032</v>
      </c>
      <c r="W239" s="4">
        <f t="shared" si="107"/>
        <v>1108284.2944798935</v>
      </c>
      <c r="X239" s="4">
        <f t="shared" si="111"/>
        <v>758.18680088338442</v>
      </c>
      <c r="Y239" s="9">
        <f>SUM($X$6:X239)</f>
        <v>108284.29447989352</v>
      </c>
      <c r="Z239" s="16">
        <f t="shared" si="112"/>
        <v>0.10828429447989352</v>
      </c>
      <c r="AA239" s="16">
        <f t="shared" si="108"/>
        <v>0.10718368753230084</v>
      </c>
      <c r="AB239" s="16">
        <f t="shared" si="109"/>
        <v>6.8457691031074703E-4</v>
      </c>
      <c r="AC239" s="16">
        <f t="shared" si="110"/>
        <v>3.306653042688523E-3</v>
      </c>
    </row>
    <row r="240" spans="1:29" x14ac:dyDescent="0.15">
      <c r="A240" s="8">
        <v>41250</v>
      </c>
      <c r="B240" s="4">
        <v>1418.07</v>
      </c>
      <c r="C240" s="1">
        <v>15.2448</v>
      </c>
      <c r="D240" s="1">
        <v>2.25</v>
      </c>
      <c r="E240" s="1">
        <v>0.3095</v>
      </c>
      <c r="F240" s="4">
        <f t="shared" si="100"/>
        <v>0.152448</v>
      </c>
      <c r="G240" s="4">
        <f t="shared" si="101"/>
        <v>2.2499999999999999E-2</v>
      </c>
      <c r="H240" s="4">
        <f t="shared" si="102"/>
        <v>3.0950000000000001E-3</v>
      </c>
      <c r="I240" s="3">
        <f t="shared" si="103"/>
        <v>46.421498374307632</v>
      </c>
      <c r="J240" s="4">
        <f t="shared" si="113"/>
        <v>1121829.2482596505</v>
      </c>
      <c r="K240" s="1">
        <f t="shared" si="114"/>
        <v>1355.49</v>
      </c>
      <c r="L240" s="5">
        <f t="shared" si="115"/>
        <v>0.18630136986301385</v>
      </c>
      <c r="M240" s="5">
        <f t="shared" si="116"/>
        <v>-0.2523247791321972</v>
      </c>
      <c r="N240" s="5">
        <f t="shared" si="117"/>
        <v>14.587960453121436</v>
      </c>
      <c r="O240" s="1">
        <f t="shared" si="118"/>
        <v>0</v>
      </c>
      <c r="P240" s="1">
        <f t="shared" si="119"/>
        <v>1355.49</v>
      </c>
      <c r="Q240" s="5">
        <f t="shared" si="120"/>
        <v>0.18630136986301385</v>
      </c>
      <c r="R240" s="5">
        <f t="shared" si="121"/>
        <v>-0.2523247791321972</v>
      </c>
      <c r="S240" s="5">
        <f t="shared" si="104"/>
        <v>14.587960453121436</v>
      </c>
      <c r="T240" s="5">
        <f t="shared" si="105"/>
        <v>-797.86898564757882</v>
      </c>
      <c r="U240" s="4">
        <f t="shared" si="106"/>
        <v>1121847.3512028621</v>
      </c>
      <c r="V240" s="4">
        <f t="shared" si="122"/>
        <v>18.10323533858865</v>
      </c>
      <c r="W240" s="4">
        <f t="shared" si="107"/>
        <v>1110208.0699934631</v>
      </c>
      <c r="X240" s="4">
        <f t="shared" si="111"/>
        <v>1923.7755135695916</v>
      </c>
      <c r="Y240" s="9">
        <f>SUM($X$6:X240)</f>
        <v>110208.06999346311</v>
      </c>
      <c r="Z240" s="16">
        <f t="shared" si="112"/>
        <v>0.11020806999346311</v>
      </c>
      <c r="AA240" s="16">
        <f t="shared" si="108"/>
        <v>0.11041767810439604</v>
      </c>
      <c r="AB240" s="16">
        <f t="shared" si="109"/>
        <v>1.7358141075818454E-3</v>
      </c>
      <c r="AC240" s="16">
        <f t="shared" si="110"/>
        <v>2.920916021896178E-3</v>
      </c>
    </row>
    <row r="241" spans="1:29" x14ac:dyDescent="0.15">
      <c r="A241" s="8">
        <v>41253</v>
      </c>
      <c r="B241" s="4">
        <v>1418.55</v>
      </c>
      <c r="C241" s="1">
        <v>15.3155</v>
      </c>
      <c r="D241" s="1">
        <v>2.25</v>
      </c>
      <c r="E241" s="1">
        <v>0.3105</v>
      </c>
      <c r="F241" s="4">
        <f t="shared" si="100"/>
        <v>0.15315500000000001</v>
      </c>
      <c r="G241" s="4">
        <f t="shared" si="101"/>
        <v>2.2499999999999999E-2</v>
      </c>
      <c r="H241" s="4">
        <f t="shared" si="102"/>
        <v>3.1050000000000001E-3</v>
      </c>
      <c r="I241" s="3">
        <f t="shared" si="103"/>
        <v>46.633899126955178</v>
      </c>
      <c r="J241" s="4">
        <f t="shared" si="113"/>
        <v>1121847.3512028621</v>
      </c>
      <c r="K241" s="1">
        <f t="shared" si="114"/>
        <v>1355.49</v>
      </c>
      <c r="L241" s="5">
        <f t="shared" si="115"/>
        <v>0.17808219178082207</v>
      </c>
      <c r="M241" s="5">
        <f t="shared" si="116"/>
        <v>-0.24649046346693562</v>
      </c>
      <c r="N241" s="5">
        <f t="shared" si="117"/>
        <v>13.886092164651345</v>
      </c>
      <c r="O241" s="1">
        <f t="shared" si="118"/>
        <v>0</v>
      </c>
      <c r="P241" s="1">
        <f t="shared" si="119"/>
        <v>1355.49</v>
      </c>
      <c r="Q241" s="5">
        <f t="shared" si="120"/>
        <v>0.17808219178082207</v>
      </c>
      <c r="R241" s="5">
        <f t="shared" si="121"/>
        <v>-0.24649046346693562</v>
      </c>
      <c r="S241" s="5">
        <f t="shared" si="104"/>
        <v>13.886092164651345</v>
      </c>
      <c r="T241" s="5">
        <f t="shared" si="105"/>
        <v>-797.86898564757882</v>
      </c>
      <c r="U241" s="4">
        <f t="shared" si="106"/>
        <v>1121865.4544382007</v>
      </c>
      <c r="V241" s="4">
        <f t="shared" si="122"/>
        <v>54.310582410747955</v>
      </c>
      <c r="W241" s="4">
        <f t="shared" si="107"/>
        <v>1110786.1721681815</v>
      </c>
      <c r="X241" s="4">
        <f t="shared" si="111"/>
        <v>578.1021747183986</v>
      </c>
      <c r="Y241" s="9">
        <f>SUM($X$6:X241)</f>
        <v>110786.17216818151</v>
      </c>
      <c r="Z241" s="16">
        <f t="shared" si="112"/>
        <v>0.11078617216818151</v>
      </c>
      <c r="AA241" s="16">
        <f t="shared" si="108"/>
        <v>0.1107935414154386</v>
      </c>
      <c r="AB241" s="16">
        <f t="shared" si="109"/>
        <v>5.2071516172801958E-4</v>
      </c>
      <c r="AC241" s="16">
        <f t="shared" si="110"/>
        <v>3.3848822695636902E-4</v>
      </c>
    </row>
    <row r="242" spans="1:29" x14ac:dyDescent="0.15">
      <c r="A242" s="8">
        <v>41254</v>
      </c>
      <c r="B242" s="4">
        <v>1427.84</v>
      </c>
      <c r="C242" s="1">
        <v>15.1622</v>
      </c>
      <c r="D242" s="1">
        <v>2.2400000000000002</v>
      </c>
      <c r="E242" s="1">
        <v>0.3095</v>
      </c>
      <c r="F242" s="4">
        <f t="shared" si="100"/>
        <v>0.15162200000000001</v>
      </c>
      <c r="G242" s="4">
        <f t="shared" si="101"/>
        <v>2.2400000000000003E-2</v>
      </c>
      <c r="H242" s="4">
        <f t="shared" si="102"/>
        <v>3.0950000000000001E-3</v>
      </c>
      <c r="I242" s="3">
        <f t="shared" si="103"/>
        <v>46.489719603570052</v>
      </c>
      <c r="J242" s="4">
        <f t="shared" si="113"/>
        <v>1121865.4544382007</v>
      </c>
      <c r="K242" s="1">
        <f t="shared" si="114"/>
        <v>1355.49</v>
      </c>
      <c r="L242" s="5">
        <f t="shared" si="115"/>
        <v>0.17534246575342483</v>
      </c>
      <c r="M242" s="5">
        <f t="shared" si="116"/>
        <v>-0.21176079267807094</v>
      </c>
      <c r="N242" s="5">
        <f t="shared" si="117"/>
        <v>11.245965720275844</v>
      </c>
      <c r="O242" s="1">
        <f t="shared" si="118"/>
        <v>0</v>
      </c>
      <c r="P242" s="1">
        <f t="shared" si="119"/>
        <v>1355.49</v>
      </c>
      <c r="Q242" s="5">
        <f t="shared" si="120"/>
        <v>0.17534246575342483</v>
      </c>
      <c r="R242" s="5">
        <f t="shared" si="121"/>
        <v>-0.21176079267807094</v>
      </c>
      <c r="S242" s="5">
        <f t="shared" si="104"/>
        <v>11.245965720275844</v>
      </c>
      <c r="T242" s="5">
        <f t="shared" si="105"/>
        <v>-797.86898564757882</v>
      </c>
      <c r="U242" s="4">
        <f t="shared" si="106"/>
        <v>1121919.7650206115</v>
      </c>
      <c r="V242" s="4">
        <f t="shared" si="122"/>
        <v>18.104403879373702</v>
      </c>
      <c r="W242" s="4">
        <f t="shared" si="107"/>
        <v>1112946.9577587475</v>
      </c>
      <c r="X242" s="4">
        <f t="shared" si="111"/>
        <v>2160.7855905659962</v>
      </c>
      <c r="Y242" s="9">
        <f>SUM($X$6:X242)</f>
        <v>112946.95775874751</v>
      </c>
      <c r="Z242" s="16">
        <f t="shared" si="112"/>
        <v>0.11294695775874751</v>
      </c>
      <c r="AA242" s="16">
        <f t="shared" si="108"/>
        <v>0.11806806258124128</v>
      </c>
      <c r="AB242" s="16">
        <f t="shared" si="109"/>
        <v>1.9452759178197952E-3</v>
      </c>
      <c r="AC242" s="16">
        <f t="shared" si="110"/>
        <v>6.5489408198512308E-3</v>
      </c>
    </row>
    <row r="243" spans="1:29" x14ac:dyDescent="0.15">
      <c r="A243" s="8">
        <v>41255</v>
      </c>
      <c r="B243" s="4">
        <v>1428.48</v>
      </c>
      <c r="C243" s="1">
        <v>15.1828</v>
      </c>
      <c r="D243" s="1">
        <v>2.2400000000000002</v>
      </c>
      <c r="E243" s="1">
        <v>0.3095</v>
      </c>
      <c r="F243" s="4">
        <f t="shared" si="100"/>
        <v>0.15182799999999999</v>
      </c>
      <c r="G243" s="4">
        <f t="shared" si="101"/>
        <v>2.2400000000000003E-2</v>
      </c>
      <c r="H243" s="4">
        <f t="shared" si="102"/>
        <v>3.0950000000000001E-3</v>
      </c>
      <c r="I243" s="3">
        <f t="shared" si="103"/>
        <v>46.568829333793559</v>
      </c>
      <c r="J243" s="4">
        <f t="shared" si="113"/>
        <v>1121919.7650206115</v>
      </c>
      <c r="K243" s="1">
        <f t="shared" si="114"/>
        <v>1355.49</v>
      </c>
      <c r="L243" s="5">
        <f t="shared" si="115"/>
        <v>0.17260273972602758</v>
      </c>
      <c r="M243" s="5">
        <f t="shared" si="116"/>
        <v>-0.20810784880284752</v>
      </c>
      <c r="N243" s="5">
        <f t="shared" si="117"/>
        <v>10.926411595883561</v>
      </c>
      <c r="O243" s="1">
        <f t="shared" si="118"/>
        <v>0</v>
      </c>
      <c r="P243" s="1">
        <f t="shared" si="119"/>
        <v>1355.49</v>
      </c>
      <c r="Q243" s="5">
        <f t="shared" si="120"/>
        <v>0.17260273972602758</v>
      </c>
      <c r="R243" s="5">
        <f t="shared" si="121"/>
        <v>-0.20810784880284752</v>
      </c>
      <c r="S243" s="5">
        <f t="shared" si="104"/>
        <v>10.926411595883561</v>
      </c>
      <c r="T243" s="5">
        <f t="shared" si="105"/>
        <v>-797.86898564757882</v>
      </c>
      <c r="U243" s="4">
        <f t="shared" si="106"/>
        <v>1121937.8694244907</v>
      </c>
      <c r="V243" s="4">
        <f t="shared" si="122"/>
        <v>18.104696029891095</v>
      </c>
      <c r="W243" s="4">
        <f t="shared" si="107"/>
        <v>1113220.0244877152</v>
      </c>
      <c r="X243" s="4">
        <f t="shared" si="111"/>
        <v>273.0667289677076</v>
      </c>
      <c r="Y243" s="9">
        <f>SUM($X$6:X243)</f>
        <v>113220.02448771521</v>
      </c>
      <c r="Z243" s="16">
        <f t="shared" si="112"/>
        <v>0.11322002448771522</v>
      </c>
      <c r="AA243" s="16">
        <f t="shared" si="108"/>
        <v>0.11856921366263141</v>
      </c>
      <c r="AB243" s="16">
        <f t="shared" si="109"/>
        <v>2.4535466588417596E-4</v>
      </c>
      <c r="AC243" s="16">
        <f t="shared" si="110"/>
        <v>4.4822949350074246E-4</v>
      </c>
    </row>
    <row r="244" spans="1:29" x14ac:dyDescent="0.15">
      <c r="A244" s="8">
        <v>41256</v>
      </c>
      <c r="B244" s="4">
        <v>1419.45</v>
      </c>
      <c r="C244" s="1">
        <v>15.8301</v>
      </c>
      <c r="D244" s="1">
        <v>2.2599999999999998</v>
      </c>
      <c r="E244" s="1">
        <v>0.308</v>
      </c>
      <c r="F244" s="4">
        <f t="shared" si="100"/>
        <v>0.158301</v>
      </c>
      <c r="G244" s="4">
        <f t="shared" si="101"/>
        <v>2.2599999999999999E-2</v>
      </c>
      <c r="H244" s="4">
        <f t="shared" si="102"/>
        <v>3.0799999999999998E-3</v>
      </c>
      <c r="I244" s="3">
        <f t="shared" si="103"/>
        <v>48.132667993187155</v>
      </c>
      <c r="J244" s="4">
        <f t="shared" si="113"/>
        <v>1121937.8694244907</v>
      </c>
      <c r="K244" s="1">
        <f t="shared" si="114"/>
        <v>1355.49</v>
      </c>
      <c r="L244" s="5">
        <f t="shared" si="115"/>
        <v>0.16986301369863033</v>
      </c>
      <c r="M244" s="5">
        <f t="shared" si="116"/>
        <v>-0.24463128304602491</v>
      </c>
      <c r="N244" s="5">
        <f t="shared" si="117"/>
        <v>13.89010259304448</v>
      </c>
      <c r="O244" s="1">
        <f t="shared" si="118"/>
        <v>0</v>
      </c>
      <c r="P244" s="1">
        <f t="shared" si="119"/>
        <v>1355.49</v>
      </c>
      <c r="Q244" s="5">
        <f t="shared" si="120"/>
        <v>0.16986301369863033</v>
      </c>
      <c r="R244" s="5">
        <f t="shared" si="121"/>
        <v>-0.24463128304602491</v>
      </c>
      <c r="S244" s="5">
        <f t="shared" si="104"/>
        <v>13.89010259304448</v>
      </c>
      <c r="T244" s="5">
        <f t="shared" si="105"/>
        <v>-797.86898564757882</v>
      </c>
      <c r="U244" s="4">
        <f t="shared" si="106"/>
        <v>1121955.9741205205</v>
      </c>
      <c r="V244" s="4">
        <f t="shared" si="122"/>
        <v>18.104988185122917</v>
      </c>
      <c r="W244" s="4">
        <f t="shared" si="107"/>
        <v>1110873.4920540673</v>
      </c>
      <c r="X244" s="4">
        <f t="shared" si="111"/>
        <v>-2346.5324336478952</v>
      </c>
      <c r="Y244" s="9">
        <f>SUM($X$6:X244)</f>
        <v>110873.49205406732</v>
      </c>
      <c r="Z244" s="16">
        <f t="shared" si="112"/>
        <v>0.11087349205406732</v>
      </c>
      <c r="AA244" s="16">
        <f t="shared" si="108"/>
        <v>0.11149828512364345</v>
      </c>
      <c r="AB244" s="16">
        <f t="shared" si="109"/>
        <v>-2.1078783906422534E-3</v>
      </c>
      <c r="AC244" s="16">
        <f t="shared" si="110"/>
        <v>-6.3214045698924536E-3</v>
      </c>
    </row>
    <row r="245" spans="1:29" x14ac:dyDescent="0.15">
      <c r="A245" s="8">
        <v>41257</v>
      </c>
      <c r="B245" s="4">
        <v>1413.58</v>
      </c>
      <c r="C245" s="1">
        <v>15.9681</v>
      </c>
      <c r="D245" s="1">
        <v>2.27</v>
      </c>
      <c r="E245" s="1">
        <v>0.308</v>
      </c>
      <c r="F245" s="4">
        <f t="shared" si="100"/>
        <v>0.15968099999999999</v>
      </c>
      <c r="G245" s="4">
        <f t="shared" si="101"/>
        <v>2.2700000000000001E-2</v>
      </c>
      <c r="H245" s="4">
        <f t="shared" si="102"/>
        <v>3.0799999999999998E-3</v>
      </c>
      <c r="I245" s="3">
        <f t="shared" si="103"/>
        <v>48.33774968234728</v>
      </c>
      <c r="J245" s="4">
        <f t="shared" si="113"/>
        <v>1121955.9741205205</v>
      </c>
      <c r="K245" s="1">
        <f t="shared" si="114"/>
        <v>1355.49</v>
      </c>
      <c r="L245" s="5">
        <f t="shared" si="115"/>
        <v>0.16712328767123308</v>
      </c>
      <c r="M245" s="5">
        <f t="shared" si="116"/>
        <v>-0.26490340935062939</v>
      </c>
      <c r="N245" s="5">
        <f t="shared" si="117"/>
        <v>15.388272613014633</v>
      </c>
      <c r="O245" s="1">
        <f t="shared" si="118"/>
        <v>0</v>
      </c>
      <c r="P245" s="1">
        <f t="shared" si="119"/>
        <v>1355.49</v>
      </c>
      <c r="Q245" s="5">
        <f t="shared" si="120"/>
        <v>0.16712328767123308</v>
      </c>
      <c r="R245" s="5">
        <f t="shared" si="121"/>
        <v>-0.26490340935062939</v>
      </c>
      <c r="S245" s="5">
        <f t="shared" si="104"/>
        <v>15.388272613014633</v>
      </c>
      <c r="T245" s="5">
        <f t="shared" si="105"/>
        <v>-797.86898564757882</v>
      </c>
      <c r="U245" s="4">
        <f t="shared" si="106"/>
        <v>1121974.0791087057</v>
      </c>
      <c r="V245" s="4">
        <f t="shared" si="122"/>
        <v>18.10528034506925</v>
      </c>
      <c r="W245" s="4">
        <f t="shared" si="107"/>
        <v>1109696.2536480913</v>
      </c>
      <c r="X245" s="4">
        <f t="shared" si="111"/>
        <v>-1177.2384059759788</v>
      </c>
      <c r="Y245" s="9">
        <f>SUM($X$6:X245)</f>
        <v>109696.25364809134</v>
      </c>
      <c r="Z245" s="16">
        <f t="shared" si="112"/>
        <v>0.10969625364809134</v>
      </c>
      <c r="AA245" s="16">
        <f t="shared" si="108"/>
        <v>0.10690179004901883</v>
      </c>
      <c r="AB245" s="16">
        <f t="shared" si="109"/>
        <v>-1.0597411986122732E-3</v>
      </c>
      <c r="AC245" s="16">
        <f t="shared" si="110"/>
        <v>-4.1354045581035743E-3</v>
      </c>
    </row>
    <row r="246" spans="1:29" x14ac:dyDescent="0.15">
      <c r="A246" s="8">
        <v>41260</v>
      </c>
      <c r="B246" s="4">
        <v>1430.36</v>
      </c>
      <c r="C246" s="1">
        <v>15.600300000000001</v>
      </c>
      <c r="D246" s="1">
        <v>2.25</v>
      </c>
      <c r="E246" s="1">
        <v>0.309</v>
      </c>
      <c r="F246" s="4">
        <f t="shared" si="100"/>
        <v>0.156003</v>
      </c>
      <c r="G246" s="4">
        <f t="shared" si="101"/>
        <v>2.2499999999999999E-2</v>
      </c>
      <c r="H246" s="4">
        <f t="shared" si="102"/>
        <v>3.0899999999999999E-3</v>
      </c>
      <c r="I246" s="3">
        <f t="shared" si="103"/>
        <v>47.831724647223488</v>
      </c>
      <c r="J246" s="4">
        <f t="shared" si="113"/>
        <v>1121974.0791087057</v>
      </c>
      <c r="K246" s="1">
        <f t="shared" si="114"/>
        <v>1355.49</v>
      </c>
      <c r="L246" s="5">
        <f t="shared" si="115"/>
        <v>0.1589041095890413</v>
      </c>
      <c r="M246" s="5">
        <f t="shared" si="116"/>
        <v>-0.19805744128527084</v>
      </c>
      <c r="N246" s="5">
        <f t="shared" si="117"/>
        <v>10.114045043183152</v>
      </c>
      <c r="O246" s="1">
        <f t="shared" si="118"/>
        <v>0</v>
      </c>
      <c r="P246" s="1">
        <f t="shared" si="119"/>
        <v>1355.49</v>
      </c>
      <c r="Q246" s="5">
        <f t="shared" si="120"/>
        <v>0.1589041095890413</v>
      </c>
      <c r="R246" s="5">
        <f t="shared" si="121"/>
        <v>-0.19805744128527084</v>
      </c>
      <c r="S246" s="5">
        <f t="shared" si="104"/>
        <v>10.114045043183152</v>
      </c>
      <c r="T246" s="5">
        <f t="shared" si="105"/>
        <v>-797.86898564757882</v>
      </c>
      <c r="U246" s="4">
        <f t="shared" si="106"/>
        <v>1121992.1843890508</v>
      </c>
      <c r="V246" s="4">
        <f t="shared" si="122"/>
        <v>54.316717529190477</v>
      </c>
      <c r="W246" s="4">
        <f t="shared" si="107"/>
        <v>1113922.5015296524</v>
      </c>
      <c r="X246" s="4">
        <f t="shared" si="111"/>
        <v>4226.2478815610521</v>
      </c>
      <c r="Y246" s="9">
        <f>SUM($X$6:X246)</f>
        <v>113922.50152965239</v>
      </c>
      <c r="Z246" s="16">
        <f t="shared" si="112"/>
        <v>0.11392250152965239</v>
      </c>
      <c r="AA246" s="16">
        <f t="shared" si="108"/>
        <v>0.12004134496421465</v>
      </c>
      <c r="AB246" s="16">
        <f t="shared" si="109"/>
        <v>3.8084726948184205E-3</v>
      </c>
      <c r="AC246" s="16">
        <f t="shared" si="110"/>
        <v>1.1870569759051468E-2</v>
      </c>
    </row>
    <row r="247" spans="1:29" x14ac:dyDescent="0.15">
      <c r="A247" s="8">
        <v>41261</v>
      </c>
      <c r="B247" s="4">
        <v>1446.79</v>
      </c>
      <c r="C247" s="1">
        <v>14.7865</v>
      </c>
      <c r="D247" s="1">
        <v>2.2200000000000002</v>
      </c>
      <c r="E247" s="1">
        <v>0.309</v>
      </c>
      <c r="F247" s="4">
        <f t="shared" si="100"/>
        <v>0.147865</v>
      </c>
      <c r="G247" s="4">
        <f t="shared" si="101"/>
        <v>2.2200000000000001E-2</v>
      </c>
      <c r="H247" s="4">
        <f t="shared" si="102"/>
        <v>3.0899999999999999E-3</v>
      </c>
      <c r="I247" s="3">
        <f t="shared" si="103"/>
        <v>45.994690726314801</v>
      </c>
      <c r="J247" s="4">
        <f t="shared" si="113"/>
        <v>1121992.1843890508</v>
      </c>
      <c r="K247" s="1">
        <f t="shared" si="114"/>
        <v>1355.49</v>
      </c>
      <c r="L247" s="5">
        <f t="shared" si="115"/>
        <v>0.15616438356164405</v>
      </c>
      <c r="M247" s="5">
        <f t="shared" si="116"/>
        <v>-0.13657168826644212</v>
      </c>
      <c r="N247" s="5">
        <f t="shared" si="117"/>
        <v>6.0073439990747959</v>
      </c>
      <c r="O247" s="1">
        <f t="shared" si="118"/>
        <v>0</v>
      </c>
      <c r="P247" s="1">
        <f t="shared" si="119"/>
        <v>1355.49</v>
      </c>
      <c r="Q247" s="5">
        <f t="shared" si="120"/>
        <v>0.15616438356164405</v>
      </c>
      <c r="R247" s="5">
        <f t="shared" si="121"/>
        <v>-0.13657168826644212</v>
      </c>
      <c r="S247" s="5">
        <f t="shared" si="104"/>
        <v>6.0073439990747959</v>
      </c>
      <c r="T247" s="5">
        <f t="shared" si="105"/>
        <v>-797.86898564757882</v>
      </c>
      <c r="U247" s="4">
        <f t="shared" si="106"/>
        <v>1122046.50110658</v>
      </c>
      <c r="V247" s="4">
        <f t="shared" si="122"/>
        <v>18.106449017856864</v>
      </c>
      <c r="W247" s="4">
        <f t="shared" si="107"/>
        <v>1117253.4276436022</v>
      </c>
      <c r="X247" s="4">
        <f t="shared" si="111"/>
        <v>3330.9261139498558</v>
      </c>
      <c r="Y247" s="9">
        <f>SUM($X$6:X247)</f>
        <v>117253.42764360225</v>
      </c>
      <c r="Z247" s="16">
        <f t="shared" si="112"/>
        <v>0.11725342764360225</v>
      </c>
      <c r="AA247" s="16">
        <f t="shared" si="108"/>
        <v>0.13290683288177535</v>
      </c>
      <c r="AB247" s="16">
        <f t="shared" si="109"/>
        <v>2.9902673744140961E-3</v>
      </c>
      <c r="AC247" s="16">
        <f t="shared" si="110"/>
        <v>1.1486618753320887E-2</v>
      </c>
    </row>
    <row r="248" spans="1:29" x14ac:dyDescent="0.15">
      <c r="A248" s="8">
        <v>41262</v>
      </c>
      <c r="B248" s="4">
        <v>1435.81</v>
      </c>
      <c r="C248" s="1">
        <v>15.4442</v>
      </c>
      <c r="D248" s="1">
        <v>2.2400000000000002</v>
      </c>
      <c r="E248" s="1">
        <v>0.31</v>
      </c>
      <c r="F248" s="4">
        <f t="shared" si="100"/>
        <v>0.154442</v>
      </c>
      <c r="G248" s="4">
        <f t="shared" si="101"/>
        <v>2.2400000000000003E-2</v>
      </c>
      <c r="H248" s="4">
        <f t="shared" si="102"/>
        <v>3.0999999999999999E-3</v>
      </c>
      <c r="I248" s="3">
        <f t="shared" si="103"/>
        <v>47.550062658544611</v>
      </c>
      <c r="J248" s="4">
        <f t="shared" si="113"/>
        <v>1122046.50110658</v>
      </c>
      <c r="K248" s="1">
        <f t="shared" si="114"/>
        <v>1355.49</v>
      </c>
      <c r="L248" s="5">
        <f t="shared" si="115"/>
        <v>0.15342465753424681</v>
      </c>
      <c r="M248" s="5">
        <f t="shared" si="116"/>
        <v>-0.174834482629009</v>
      </c>
      <c r="N248" s="5">
        <f t="shared" si="117"/>
        <v>8.4158048773288527</v>
      </c>
      <c r="O248" s="1">
        <f t="shared" si="118"/>
        <v>0</v>
      </c>
      <c r="P248" s="1">
        <f t="shared" si="119"/>
        <v>1355.49</v>
      </c>
      <c r="Q248" s="5">
        <f t="shared" si="120"/>
        <v>0.15342465753424681</v>
      </c>
      <c r="R248" s="5">
        <f t="shared" si="121"/>
        <v>-0.174834482629009</v>
      </c>
      <c r="S248" s="5">
        <f t="shared" si="104"/>
        <v>8.4158048773288527</v>
      </c>
      <c r="T248" s="5">
        <f t="shared" si="105"/>
        <v>-797.86898564757882</v>
      </c>
      <c r="U248" s="4">
        <f t="shared" si="106"/>
        <v>1122064.6075555978</v>
      </c>
      <c r="V248" s="4">
        <f t="shared" si="122"/>
        <v>18.106741201376632</v>
      </c>
      <c r="W248" s="4">
        <f t="shared" si="107"/>
        <v>1115349.8978547156</v>
      </c>
      <c r="X248" s="4">
        <f t="shared" si="111"/>
        <v>-1903.5297888866626</v>
      </c>
      <c r="Y248" s="9">
        <f>SUM($X$6:X248)</f>
        <v>115349.89785471559</v>
      </c>
      <c r="Z248" s="16">
        <f t="shared" si="112"/>
        <v>0.11534989785471558</v>
      </c>
      <c r="AA248" s="16">
        <f t="shared" si="108"/>
        <v>0.12430895964167699</v>
      </c>
      <c r="AB248" s="16">
        <f t="shared" si="109"/>
        <v>-1.7037582895595986E-3</v>
      </c>
      <c r="AC248" s="16">
        <f t="shared" si="110"/>
        <v>-7.5892147443651246E-3</v>
      </c>
    </row>
    <row r="249" spans="1:29" x14ac:dyDescent="0.15">
      <c r="A249" s="8">
        <v>41263</v>
      </c>
      <c r="B249" s="4">
        <v>1443.69</v>
      </c>
      <c r="C249" s="1">
        <v>15.5657</v>
      </c>
      <c r="D249" s="1">
        <v>2.23</v>
      </c>
      <c r="E249" s="1">
        <v>0.31</v>
      </c>
      <c r="F249" s="4">
        <f t="shared" si="100"/>
        <v>0.15565699999999999</v>
      </c>
      <c r="G249" s="4">
        <f t="shared" si="101"/>
        <v>2.23E-2</v>
      </c>
      <c r="H249" s="4">
        <f t="shared" si="102"/>
        <v>3.0999999999999999E-3</v>
      </c>
      <c r="I249" s="3">
        <f t="shared" si="103"/>
        <v>48.140171006086845</v>
      </c>
      <c r="J249" s="4">
        <f t="shared" si="113"/>
        <v>1122064.6075555978</v>
      </c>
      <c r="K249" s="1">
        <f t="shared" si="114"/>
        <v>1355.49</v>
      </c>
      <c r="L249" s="5">
        <f t="shared" si="115"/>
        <v>0.15068493150684956</v>
      </c>
      <c r="M249" s="5">
        <f t="shared" si="116"/>
        <v>-0.15202198601685502</v>
      </c>
      <c r="N249" s="5">
        <f t="shared" si="117"/>
        <v>7.0883593500163631</v>
      </c>
      <c r="O249" s="1">
        <f t="shared" si="118"/>
        <v>0</v>
      </c>
      <c r="P249" s="1">
        <f t="shared" si="119"/>
        <v>1355.49</v>
      </c>
      <c r="Q249" s="5">
        <f t="shared" si="120"/>
        <v>0.15068493150684956</v>
      </c>
      <c r="R249" s="5">
        <f t="shared" si="121"/>
        <v>-0.15202198601685502</v>
      </c>
      <c r="S249" s="5">
        <f t="shared" si="104"/>
        <v>7.0883593500163631</v>
      </c>
      <c r="T249" s="5">
        <f t="shared" si="105"/>
        <v>-797.86898564757882</v>
      </c>
      <c r="U249" s="4">
        <f t="shared" si="106"/>
        <v>1122082.7142967992</v>
      </c>
      <c r="V249" s="4">
        <f t="shared" si="122"/>
        <v>18.10703338961136</v>
      </c>
      <c r="W249" s="4">
        <f t="shared" si="107"/>
        <v>1116427.1322122961</v>
      </c>
      <c r="X249" s="4">
        <f t="shared" si="111"/>
        <v>1077.2343575805426</v>
      </c>
      <c r="Y249" s="9">
        <f>SUM($X$6:X249)</f>
        <v>116427.13221229613</v>
      </c>
      <c r="Z249" s="16">
        <f t="shared" si="112"/>
        <v>0.11642713221229613</v>
      </c>
      <c r="AA249" s="16">
        <f t="shared" si="108"/>
        <v>0.13047938233129228</v>
      </c>
      <c r="AB249" s="16">
        <f t="shared" si="109"/>
        <v>9.6582638296064294E-4</v>
      </c>
      <c r="AC249" s="16">
        <f t="shared" si="110"/>
        <v>5.4881913345081242E-3</v>
      </c>
    </row>
    <row r="250" spans="1:29" x14ac:dyDescent="0.15">
      <c r="A250" s="8">
        <v>41264</v>
      </c>
      <c r="B250" s="4">
        <v>1430.15</v>
      </c>
      <c r="C250" s="1">
        <v>16.0867</v>
      </c>
      <c r="D250" s="1">
        <v>2.25</v>
      </c>
      <c r="E250" s="1">
        <v>0.31</v>
      </c>
      <c r="F250" s="4">
        <f t="shared" si="100"/>
        <v>0.16086700000000001</v>
      </c>
      <c r="G250" s="4">
        <f t="shared" si="101"/>
        <v>2.2499999999999999E-2</v>
      </c>
      <c r="H250" s="4">
        <f t="shared" si="102"/>
        <v>3.0999999999999999E-3</v>
      </c>
      <c r="I250" s="3">
        <f t="shared" si="103"/>
        <v>49.200373386508197</v>
      </c>
      <c r="J250" s="4">
        <f t="shared" si="113"/>
        <v>1122082.7142967992</v>
      </c>
      <c r="K250" s="1">
        <f t="shared" si="114"/>
        <v>1355.49</v>
      </c>
      <c r="L250" s="5">
        <f t="shared" si="115"/>
        <v>0.14794520547945231</v>
      </c>
      <c r="M250" s="5">
        <f t="shared" si="116"/>
        <v>-0.19670827616888331</v>
      </c>
      <c r="N250" s="5">
        <f t="shared" si="117"/>
        <v>9.9716525434812997</v>
      </c>
      <c r="O250" s="1">
        <f t="shared" si="118"/>
        <v>0</v>
      </c>
      <c r="P250" s="1">
        <f t="shared" si="119"/>
        <v>1355.49</v>
      </c>
      <c r="Q250" s="5">
        <f t="shared" si="120"/>
        <v>0.14794520547945231</v>
      </c>
      <c r="R250" s="5">
        <f t="shared" si="121"/>
        <v>-0.19670827616888331</v>
      </c>
      <c r="S250" s="5">
        <f t="shared" si="104"/>
        <v>9.9716525434812997</v>
      </c>
      <c r="T250" s="5">
        <f t="shared" si="105"/>
        <v>-797.86898564757882</v>
      </c>
      <c r="U250" s="4">
        <f t="shared" si="106"/>
        <v>1122100.8213301888</v>
      </c>
      <c r="V250" s="4">
        <f t="shared" si="122"/>
        <v>18.107325582561128</v>
      </c>
      <c r="W250" s="4">
        <f t="shared" si="107"/>
        <v>1114144.7490300913</v>
      </c>
      <c r="X250" s="4">
        <f t="shared" si="111"/>
        <v>-2282.3831822047941</v>
      </c>
      <c r="Y250" s="9">
        <f>SUM($X$6:X250)</f>
        <v>114144.74903009133</v>
      </c>
      <c r="Z250" s="16">
        <f t="shared" si="112"/>
        <v>0.11414474903009134</v>
      </c>
      <c r="AA250" s="16">
        <f t="shared" si="108"/>
        <v>0.11987690476563369</v>
      </c>
      <c r="AB250" s="16">
        <f t="shared" si="109"/>
        <v>-2.0443637711330576E-3</v>
      </c>
      <c r="AC250" s="16">
        <f t="shared" si="110"/>
        <v>-9.3787447443703029E-3</v>
      </c>
    </row>
    <row r="251" spans="1:29" x14ac:dyDescent="0.15">
      <c r="A251" s="8">
        <v>41267</v>
      </c>
      <c r="B251" s="4">
        <v>1426.66</v>
      </c>
      <c r="C251" s="1">
        <v>16.355799999999999</v>
      </c>
      <c r="D251" s="1">
        <v>2.25</v>
      </c>
      <c r="E251" s="1">
        <v>0.31</v>
      </c>
      <c r="F251" s="4">
        <f t="shared" si="100"/>
        <v>0.16355799999999998</v>
      </c>
      <c r="G251" s="4">
        <f t="shared" si="101"/>
        <v>2.2499999999999999E-2</v>
      </c>
      <c r="H251" s="4">
        <f t="shared" si="102"/>
        <v>3.0999999999999999E-3</v>
      </c>
      <c r="I251" s="3">
        <f t="shared" si="103"/>
        <v>49.840639381167335</v>
      </c>
      <c r="J251" s="4">
        <f t="shared" si="113"/>
        <v>1122100.8213301888</v>
      </c>
      <c r="K251" s="1">
        <f t="shared" si="114"/>
        <v>1355.49</v>
      </c>
      <c r="L251" s="5">
        <f t="shared" si="115"/>
        <v>0.13972602739726053</v>
      </c>
      <c r="M251" s="5">
        <f t="shared" si="116"/>
        <v>-0.20454117435474778</v>
      </c>
      <c r="N251" s="5">
        <f t="shared" si="117"/>
        <v>10.331263847947476</v>
      </c>
      <c r="O251" s="1">
        <f t="shared" si="118"/>
        <v>0</v>
      </c>
      <c r="P251" s="1">
        <f t="shared" si="119"/>
        <v>1355.49</v>
      </c>
      <c r="Q251" s="5">
        <f t="shared" si="120"/>
        <v>0.13972602739726053</v>
      </c>
      <c r="R251" s="5">
        <f t="shared" si="121"/>
        <v>-0.20454117435474778</v>
      </c>
      <c r="S251" s="5">
        <f t="shared" si="104"/>
        <v>10.331263847947476</v>
      </c>
      <c r="T251" s="5">
        <f t="shared" si="105"/>
        <v>-797.86898564757882</v>
      </c>
      <c r="U251" s="4">
        <f t="shared" si="106"/>
        <v>1122118.9286557713</v>
      </c>
      <c r="V251" s="4">
        <f t="shared" si="122"/>
        <v>54.322853340678016</v>
      </c>
      <c r="W251" s="4">
        <f t="shared" si="107"/>
        <v>1113875.9336489521</v>
      </c>
      <c r="X251" s="4">
        <f t="shared" si="111"/>
        <v>-268.815381139284</v>
      </c>
      <c r="Y251" s="9">
        <f>SUM($X$6:X251)</f>
        <v>113875.93364895205</v>
      </c>
      <c r="Z251" s="16">
        <f t="shared" si="112"/>
        <v>0.11387593364895204</v>
      </c>
      <c r="AA251" s="16">
        <f t="shared" si="108"/>
        <v>0.11714406527492846</v>
      </c>
      <c r="AB251" s="16">
        <f t="shared" si="109"/>
        <v>-2.4127509587358267E-4</v>
      </c>
      <c r="AC251" s="16">
        <f t="shared" si="110"/>
        <v>-2.4403034646715443E-3</v>
      </c>
    </row>
    <row r="252" spans="1:29" x14ac:dyDescent="0.15">
      <c r="A252" s="8">
        <v>41269</v>
      </c>
      <c r="B252" s="4">
        <v>1419.83</v>
      </c>
      <c r="C252" s="1">
        <v>16.861699999999999</v>
      </c>
      <c r="D252" s="1">
        <v>2.2599999999999998</v>
      </c>
      <c r="E252" s="1">
        <v>0.31</v>
      </c>
      <c r="F252" s="4">
        <f t="shared" si="100"/>
        <v>0.16861699999999999</v>
      </c>
      <c r="G252" s="4">
        <f t="shared" si="101"/>
        <v>2.2599999999999999E-2</v>
      </c>
      <c r="H252" s="4">
        <f t="shared" si="102"/>
        <v>3.0999999999999999E-3</v>
      </c>
      <c r="I252" s="3">
        <f t="shared" si="103"/>
        <v>51.042464205174468</v>
      </c>
      <c r="J252" s="4">
        <f t="shared" si="113"/>
        <v>1122118.9286557713</v>
      </c>
      <c r="K252" s="1">
        <f t="shared" si="114"/>
        <v>1355.49</v>
      </c>
      <c r="L252" s="5">
        <f t="shared" si="115"/>
        <v>0.13424657534246601</v>
      </c>
      <c r="M252" s="5">
        <f t="shared" si="116"/>
        <v>-0.22921376090439191</v>
      </c>
      <c r="N252" s="5">
        <f t="shared" si="117"/>
        <v>12.05154834049276</v>
      </c>
      <c r="O252" s="1">
        <f t="shared" si="118"/>
        <v>0</v>
      </c>
      <c r="P252" s="1">
        <f t="shared" si="119"/>
        <v>1355.49</v>
      </c>
      <c r="Q252" s="5">
        <f t="shared" si="120"/>
        <v>0.13424657534246601</v>
      </c>
      <c r="R252" s="5">
        <f t="shared" si="121"/>
        <v>-0.22921376090439191</v>
      </c>
      <c r="S252" s="5">
        <f t="shared" si="104"/>
        <v>12.05154834049276</v>
      </c>
      <c r="T252" s="5">
        <f t="shared" si="105"/>
        <v>-797.86898564757882</v>
      </c>
      <c r="U252" s="4">
        <f t="shared" si="106"/>
        <v>1122173.2515091121</v>
      </c>
      <c r="V252" s="4">
        <f t="shared" si="122"/>
        <v>36.216988774732435</v>
      </c>
      <c r="W252" s="4">
        <f t="shared" si="107"/>
        <v>1112557.6948592004</v>
      </c>
      <c r="X252" s="4">
        <f t="shared" si="111"/>
        <v>-1318.2387897516601</v>
      </c>
      <c r="Y252" s="9">
        <f>SUM($X$6:X252)</f>
        <v>112557.69485920039</v>
      </c>
      <c r="Z252" s="16">
        <f t="shared" si="112"/>
        <v>0.11255769485920039</v>
      </c>
      <c r="AA252" s="16">
        <f t="shared" si="108"/>
        <v>0.11179584357821871</v>
      </c>
      <c r="AB252" s="16">
        <f t="shared" si="109"/>
        <v>-1.1834700346143889E-3</v>
      </c>
      <c r="AC252" s="16">
        <f t="shared" si="110"/>
        <v>-4.7874055486241667E-3</v>
      </c>
    </row>
    <row r="253" spans="1:29" x14ac:dyDescent="0.15">
      <c r="A253" s="8">
        <v>41270</v>
      </c>
      <c r="B253" s="4">
        <v>1418.1</v>
      </c>
      <c r="C253" s="1">
        <v>17.196400000000001</v>
      </c>
      <c r="D253" s="1">
        <v>2.27</v>
      </c>
      <c r="E253" s="1">
        <v>0.3075</v>
      </c>
      <c r="F253" s="4">
        <f t="shared" si="100"/>
        <v>0.17196400000000001</v>
      </c>
      <c r="G253" s="4">
        <f t="shared" si="101"/>
        <v>2.2700000000000001E-2</v>
      </c>
      <c r="H253" s="4">
        <f t="shared" si="102"/>
        <v>3.075E-3</v>
      </c>
      <c r="I253" s="3">
        <f t="shared" si="103"/>
        <v>51.942865361944023</v>
      </c>
      <c r="J253" s="4">
        <f t="shared" si="113"/>
        <v>1122173.2515091121</v>
      </c>
      <c r="K253" s="1">
        <f t="shared" si="114"/>
        <v>1355.49</v>
      </c>
      <c r="L253" s="5">
        <f t="shared" si="115"/>
        <v>0.13150684931506876</v>
      </c>
      <c r="M253" s="5">
        <f t="shared" si="116"/>
        <v>-0.2369402610461207</v>
      </c>
      <c r="N253" s="5">
        <f t="shared" si="117"/>
        <v>12.694138035595396</v>
      </c>
      <c r="O253" s="1">
        <f t="shared" si="118"/>
        <v>0</v>
      </c>
      <c r="P253" s="1">
        <f t="shared" si="119"/>
        <v>1355.49</v>
      </c>
      <c r="Q253" s="5">
        <f t="shared" si="120"/>
        <v>0.13150684931506876</v>
      </c>
      <c r="R253" s="5">
        <f t="shared" si="121"/>
        <v>-0.2369402610461207</v>
      </c>
      <c r="S253" s="5">
        <f t="shared" si="104"/>
        <v>12.694138035595396</v>
      </c>
      <c r="T253" s="5">
        <f t="shared" si="105"/>
        <v>-797.86898564757882</v>
      </c>
      <c r="U253" s="4">
        <f t="shared" si="106"/>
        <v>1122209.4684978868</v>
      </c>
      <c r="V253" s="4">
        <f t="shared" si="122"/>
        <v>18.109078820417952</v>
      </c>
      <c r="W253" s="4">
        <f t="shared" si="107"/>
        <v>1112081.209459756</v>
      </c>
      <c r="X253" s="4">
        <f t="shared" si="111"/>
        <v>-476.4853994443547</v>
      </c>
      <c r="Y253" s="9">
        <f>SUM($X$6:X253)</f>
        <v>112081.20945975604</v>
      </c>
      <c r="Z253" s="16">
        <f t="shared" si="112"/>
        <v>0.11208120945975604</v>
      </c>
      <c r="AA253" s="16">
        <f t="shared" si="108"/>
        <v>0.11044116956133616</v>
      </c>
      <c r="AB253" s="16">
        <f t="shared" si="109"/>
        <v>-4.2827927184904891E-4</v>
      </c>
      <c r="AC253" s="16">
        <f t="shared" si="110"/>
        <v>-1.21845573061565E-3</v>
      </c>
    </row>
    <row r="254" spans="1:29" x14ac:dyDescent="0.15">
      <c r="A254" s="8">
        <v>41271</v>
      </c>
      <c r="B254" s="4">
        <v>1402.43</v>
      </c>
      <c r="C254" s="1">
        <v>17.829599999999999</v>
      </c>
      <c r="D254" s="1">
        <v>2.29</v>
      </c>
      <c r="E254" s="1">
        <v>0.308</v>
      </c>
      <c r="F254" s="4">
        <f t="shared" si="100"/>
        <v>0.17829599999999998</v>
      </c>
      <c r="G254" s="4">
        <f t="shared" si="101"/>
        <v>2.29E-2</v>
      </c>
      <c r="H254" s="4">
        <f t="shared" si="102"/>
        <v>3.0799999999999998E-3</v>
      </c>
      <c r="I254" s="3">
        <f t="shared" si="103"/>
        <v>53.161815277805303</v>
      </c>
      <c r="J254" s="4">
        <f t="shared" si="113"/>
        <v>1122209.4684978868</v>
      </c>
      <c r="K254" s="1">
        <f t="shared" si="114"/>
        <v>1355.49</v>
      </c>
      <c r="L254" s="5">
        <f t="shared" si="115"/>
        <v>0.12876712328767151</v>
      </c>
      <c r="M254" s="5">
        <f t="shared" si="116"/>
        <v>-0.29918790609099521</v>
      </c>
      <c r="N254" s="5">
        <f t="shared" si="117"/>
        <v>17.627241728512246</v>
      </c>
      <c r="O254" s="1">
        <f t="shared" si="118"/>
        <v>0</v>
      </c>
      <c r="P254" s="1">
        <f t="shared" si="119"/>
        <v>1355.49</v>
      </c>
      <c r="Q254" s="5">
        <f t="shared" si="120"/>
        <v>0.12876712328767151</v>
      </c>
      <c r="R254" s="5">
        <f t="shared" si="121"/>
        <v>-0.29918790609099521</v>
      </c>
      <c r="S254" s="5">
        <f t="shared" si="104"/>
        <v>17.627241728512246</v>
      </c>
      <c r="T254" s="5">
        <f t="shared" si="105"/>
        <v>-797.86898564757882</v>
      </c>
      <c r="U254" s="4">
        <f t="shared" si="106"/>
        <v>1122227.5775767071</v>
      </c>
      <c r="V254" s="4">
        <f t="shared" si="122"/>
        <v>18.109371046374807</v>
      </c>
      <c r="W254" s="4">
        <f t="shared" si="107"/>
        <v>1108163.3480990145</v>
      </c>
      <c r="X254" s="4">
        <f t="shared" si="111"/>
        <v>-3917.8613607415464</v>
      </c>
      <c r="Y254" s="9">
        <f>SUM($X$6:X254)</f>
        <v>108163.34809901449</v>
      </c>
      <c r="Z254" s="16">
        <f t="shared" si="112"/>
        <v>0.10816334809901448</v>
      </c>
      <c r="AA254" s="16">
        <f t="shared" si="108"/>
        <v>9.8170798552926347E-2</v>
      </c>
      <c r="AB254" s="16">
        <f t="shared" si="109"/>
        <v>-3.5229993344144585E-3</v>
      </c>
      <c r="AC254" s="16">
        <f t="shared" si="110"/>
        <v>-1.1049996474155452E-2</v>
      </c>
    </row>
    <row r="255" spans="1:29" x14ac:dyDescent="0.15">
      <c r="A255" s="8">
        <v>41274</v>
      </c>
      <c r="B255" s="4">
        <v>1426.19</v>
      </c>
      <c r="C255" s="1">
        <v>16.5566</v>
      </c>
      <c r="D255" s="1">
        <v>2.25</v>
      </c>
      <c r="E255" s="1">
        <v>0.30599999999999999</v>
      </c>
      <c r="F255" s="4">
        <f t="shared" si="100"/>
        <v>0.16556599999999999</v>
      </c>
      <c r="G255" s="4">
        <f t="shared" si="101"/>
        <v>2.2499999999999999E-2</v>
      </c>
      <c r="H255" s="4">
        <f t="shared" si="102"/>
        <v>3.0599999999999998E-3</v>
      </c>
      <c r="I255" s="3">
        <f t="shared" si="103"/>
        <v>50.399070785914745</v>
      </c>
      <c r="J255" s="4">
        <f t="shared" si="113"/>
        <v>1122227.5775767071</v>
      </c>
      <c r="K255" s="1">
        <f t="shared" si="114"/>
        <v>1355.49</v>
      </c>
      <c r="L255" s="5">
        <f t="shared" si="115"/>
        <v>0.12054794520547973</v>
      </c>
      <c r="M255" s="5">
        <f t="shared" si="116"/>
        <v>-0.19096310633675867</v>
      </c>
      <c r="N255" s="5">
        <f t="shared" si="117"/>
        <v>8.8735772465384972</v>
      </c>
      <c r="O255" s="1">
        <f t="shared" si="118"/>
        <v>0</v>
      </c>
      <c r="P255" s="1">
        <f t="shared" si="119"/>
        <v>1355.49</v>
      </c>
      <c r="Q255" s="5">
        <f t="shared" si="120"/>
        <v>0.12054794520547973</v>
      </c>
      <c r="R255" s="5">
        <f t="shared" si="121"/>
        <v>-0.19096310633675867</v>
      </c>
      <c r="S255" s="5">
        <f t="shared" si="104"/>
        <v>8.8735772465384972</v>
      </c>
      <c r="T255" s="5">
        <f t="shared" si="105"/>
        <v>-797.86898564757882</v>
      </c>
      <c r="U255" s="4">
        <f t="shared" si="106"/>
        <v>1122245.6869477534</v>
      </c>
      <c r="V255" s="4">
        <f t="shared" si="122"/>
        <v>54.328989831141918</v>
      </c>
      <c r="W255" s="4">
        <f t="shared" si="107"/>
        <v>1115165.7348709924</v>
      </c>
      <c r="X255" s="4">
        <f t="shared" si="111"/>
        <v>7002.3867719778791</v>
      </c>
      <c r="Y255" s="9">
        <f>SUM($X$6:X255)</f>
        <v>115165.73487099237</v>
      </c>
      <c r="Z255" s="16">
        <f t="shared" si="112"/>
        <v>0.11516573487099237</v>
      </c>
      <c r="AA255" s="16">
        <f t="shared" si="108"/>
        <v>0.11677603244953261</v>
      </c>
      <c r="AB255" s="16">
        <f t="shared" si="109"/>
        <v>6.3189120845677125E-3</v>
      </c>
      <c r="AC255" s="16">
        <f t="shared" si="110"/>
        <v>1.6942022061707172E-2</v>
      </c>
    </row>
    <row r="256" spans="1:29" x14ac:dyDescent="0.15">
      <c r="A256" s="8">
        <v>41276</v>
      </c>
      <c r="B256" s="4">
        <v>1462.42</v>
      </c>
      <c r="C256" s="1">
        <v>14.4688</v>
      </c>
      <c r="D256" s="1">
        <v>2.35</v>
      </c>
      <c r="E256" s="1">
        <v>0.30499999999999999</v>
      </c>
      <c r="F256" s="4">
        <f t="shared" si="100"/>
        <v>0.14468800000000001</v>
      </c>
      <c r="G256" s="4">
        <f t="shared" si="101"/>
        <v>2.35E-2</v>
      </c>
      <c r="H256" s="4">
        <f t="shared" si="102"/>
        <v>3.0499999999999998E-3</v>
      </c>
      <c r="I256" s="3">
        <f t="shared" si="103"/>
        <v>45.821155096949035</v>
      </c>
      <c r="J256" s="4">
        <f t="shared" si="113"/>
        <v>1122245.6869477534</v>
      </c>
      <c r="K256" s="1">
        <f t="shared" si="114"/>
        <v>1355.49</v>
      </c>
      <c r="L256" s="5">
        <f t="shared" si="115"/>
        <v>0.11506849315068521</v>
      </c>
      <c r="M256" s="5">
        <f t="shared" si="116"/>
        <v>-6.3628117085353902E-2</v>
      </c>
      <c r="N256" s="5">
        <f t="shared" si="117"/>
        <v>2.0258394989390767</v>
      </c>
      <c r="O256" s="1">
        <f t="shared" si="118"/>
        <v>0</v>
      </c>
      <c r="P256" s="1">
        <f t="shared" si="119"/>
        <v>1355.49</v>
      </c>
      <c r="Q256" s="5">
        <f t="shared" si="120"/>
        <v>0.11506849315068521</v>
      </c>
      <c r="R256" s="5">
        <f t="shared" si="121"/>
        <v>-6.3628117085353902E-2</v>
      </c>
      <c r="S256" s="5">
        <f t="shared" si="104"/>
        <v>2.0258394989390767</v>
      </c>
      <c r="T256" s="5">
        <f t="shared" si="105"/>
        <v>-797.86898564757882</v>
      </c>
      <c r="U256" s="4">
        <f t="shared" si="106"/>
        <v>1122300.0159375845</v>
      </c>
      <c r="V256" s="4">
        <f t="shared" si="122"/>
        <v>36.221079966423957</v>
      </c>
      <c r="W256" s="4">
        <f t="shared" si="107"/>
        <v>1120683.6614314811</v>
      </c>
      <c r="X256" s="4">
        <f t="shared" si="111"/>
        <v>5517.9265604887623</v>
      </c>
      <c r="Y256" s="9">
        <f>SUM($X$6:X256)</f>
        <v>120683.66143148113</v>
      </c>
      <c r="Z256" s="16">
        <f t="shared" si="112"/>
        <v>0.12068366143148113</v>
      </c>
      <c r="AA256" s="16">
        <f t="shared" si="108"/>
        <v>0.1451458819475985</v>
      </c>
      <c r="AB256" s="16">
        <f t="shared" si="109"/>
        <v>4.9480775708438552E-3</v>
      </c>
      <c r="AC256" s="16">
        <f t="shared" si="110"/>
        <v>2.5403347380082611E-2</v>
      </c>
    </row>
    <row r="257" spans="1:29" x14ac:dyDescent="0.15">
      <c r="A257" s="8">
        <v>41277</v>
      </c>
      <c r="B257" s="4">
        <v>1459.37</v>
      </c>
      <c r="C257" s="1">
        <v>14.502000000000001</v>
      </c>
      <c r="D257" s="1">
        <v>2.35</v>
      </c>
      <c r="E257" s="1">
        <v>0.30499999999999999</v>
      </c>
      <c r="F257" s="4">
        <f t="shared" si="100"/>
        <v>0.14502000000000001</v>
      </c>
      <c r="G257" s="4">
        <f t="shared" si="101"/>
        <v>2.35E-2</v>
      </c>
      <c r="H257" s="4">
        <f t="shared" si="102"/>
        <v>3.0499999999999998E-3</v>
      </c>
      <c r="I257" s="3">
        <f t="shared" si="103"/>
        <v>45.821484341959518</v>
      </c>
      <c r="J257" s="4">
        <f t="shared" si="113"/>
        <v>1122300.0159375845</v>
      </c>
      <c r="K257" s="1">
        <f t="shared" si="114"/>
        <v>1355.49</v>
      </c>
      <c r="L257" s="5">
        <f t="shared" si="115"/>
        <v>0.11232876712328795</v>
      </c>
      <c r="M257" s="5">
        <f t="shared" si="116"/>
        <v>-6.7111737623193377E-2</v>
      </c>
      <c r="N257" s="5">
        <f t="shared" si="117"/>
        <v>2.1312447109435579</v>
      </c>
      <c r="O257" s="1">
        <f t="shared" si="118"/>
        <v>0</v>
      </c>
      <c r="P257" s="1">
        <f t="shared" si="119"/>
        <v>1355.49</v>
      </c>
      <c r="Q257" s="5">
        <f t="shared" si="120"/>
        <v>0.11232876712328795</v>
      </c>
      <c r="R257" s="5">
        <f t="shared" si="121"/>
        <v>-6.7111737623193377E-2</v>
      </c>
      <c r="S257" s="5">
        <f t="shared" si="104"/>
        <v>2.1312447109435579</v>
      </c>
      <c r="T257" s="5">
        <f t="shared" si="105"/>
        <v>-797.86898564757882</v>
      </c>
      <c r="U257" s="4">
        <f t="shared" si="106"/>
        <v>1122336.237017551</v>
      </c>
      <c r="V257" s="4">
        <f t="shared" si="122"/>
        <v>18.111124482283216</v>
      </c>
      <c r="W257" s="4">
        <f t="shared" si="107"/>
        <v>1120635.7829618636</v>
      </c>
      <c r="X257" s="4">
        <f t="shared" si="111"/>
        <v>-47.878469617571682</v>
      </c>
      <c r="Y257" s="9">
        <f>SUM($X$6:X257)</f>
        <v>120635.78296186356</v>
      </c>
      <c r="Z257" s="16">
        <f t="shared" si="112"/>
        <v>0.12063578296186356</v>
      </c>
      <c r="AA257" s="16">
        <f t="shared" si="108"/>
        <v>0.14275758382534881</v>
      </c>
      <c r="AB257" s="16">
        <f t="shared" si="109"/>
        <v>-4.2722555227061263E-5</v>
      </c>
      <c r="AC257" s="16">
        <f t="shared" si="110"/>
        <v>-2.0855841687067887E-3</v>
      </c>
    </row>
    <row r="258" spans="1:29" x14ac:dyDescent="0.15">
      <c r="A258" s="8">
        <v>41278</v>
      </c>
      <c r="B258" s="4">
        <v>1466.47</v>
      </c>
      <c r="C258" s="1">
        <v>14.0555</v>
      </c>
      <c r="D258" s="1">
        <v>2.33</v>
      </c>
      <c r="E258" s="1">
        <v>0.30499999999999999</v>
      </c>
      <c r="F258" s="4">
        <f t="shared" si="100"/>
        <v>0.14055500000000001</v>
      </c>
      <c r="G258" s="4">
        <f t="shared" si="101"/>
        <v>2.3300000000000001E-2</v>
      </c>
      <c r="H258" s="4">
        <f t="shared" si="102"/>
        <v>3.0499999999999998E-3</v>
      </c>
      <c r="I258" s="3">
        <f t="shared" si="103"/>
        <v>44.711133251947075</v>
      </c>
      <c r="J258" s="4">
        <f t="shared" si="113"/>
        <v>1122336.237017551</v>
      </c>
      <c r="K258" s="1">
        <f t="shared" si="114"/>
        <v>1355.49</v>
      </c>
      <c r="L258" s="5">
        <f t="shared" si="115"/>
        <v>0.10958904109589068</v>
      </c>
      <c r="M258" s="5">
        <f t="shared" si="116"/>
        <v>-4.7649213355501853E-2</v>
      </c>
      <c r="N258" s="5">
        <f t="shared" si="117"/>
        <v>1.3724828489556786</v>
      </c>
      <c r="O258" s="1">
        <f t="shared" si="118"/>
        <v>1</v>
      </c>
      <c r="P258" s="1">
        <f t="shared" si="119"/>
        <v>1466.47</v>
      </c>
      <c r="Q258" s="5">
        <f t="shared" si="120"/>
        <v>0.24931506849315069</v>
      </c>
      <c r="R258" s="5">
        <f t="shared" si="121"/>
        <v>-0.51171508823756551</v>
      </c>
      <c r="S258" s="5">
        <f t="shared" si="104"/>
        <v>44.711133251947075</v>
      </c>
      <c r="T258" s="5">
        <f t="shared" si="105"/>
        <v>-764.5851435890512</v>
      </c>
      <c r="U258" s="4">
        <f t="shared" si="106"/>
        <v>1155444.7548809873</v>
      </c>
      <c r="V258" s="4">
        <f t="shared" si="122"/>
        <v>18.64539618150415</v>
      </c>
      <c r="W258" s="4">
        <f t="shared" si="107"/>
        <v>1121259.2866435181</v>
      </c>
      <c r="X258" s="4">
        <f t="shared" si="111"/>
        <v>623.50368165457621</v>
      </c>
      <c r="Y258" s="9">
        <f>SUM($X$6:X258)</f>
        <v>121259.28664351813</v>
      </c>
      <c r="Z258" s="16">
        <f t="shared" si="112"/>
        <v>0.12125928664351814</v>
      </c>
      <c r="AA258" s="16">
        <f t="shared" si="108"/>
        <v>0.14831722863451999</v>
      </c>
      <c r="AB258" s="16">
        <f t="shared" si="109"/>
        <v>5.5638387702259791E-4</v>
      </c>
      <c r="AC258" s="16">
        <f t="shared" si="110"/>
        <v>4.8651130282246014E-3</v>
      </c>
    </row>
    <row r="259" spans="1:29" x14ac:dyDescent="0.15">
      <c r="A259" s="8">
        <v>41281</v>
      </c>
      <c r="B259" s="4">
        <v>1461.89</v>
      </c>
      <c r="C259" s="1">
        <v>14.345599999999999</v>
      </c>
      <c r="D259" s="1">
        <v>2.34</v>
      </c>
      <c r="E259" s="1">
        <v>0.30499999999999999</v>
      </c>
      <c r="F259" s="4">
        <f t="shared" si="100"/>
        <v>0.143456</v>
      </c>
      <c r="G259" s="4">
        <f t="shared" si="101"/>
        <v>2.3399999999999997E-2</v>
      </c>
      <c r="H259" s="4">
        <f t="shared" si="102"/>
        <v>3.0499999999999998E-3</v>
      </c>
      <c r="I259" s="3">
        <f t="shared" si="103"/>
        <v>45.429471340063529</v>
      </c>
      <c r="J259" s="4">
        <f t="shared" si="113"/>
        <v>1155444.7548809873</v>
      </c>
      <c r="K259" s="1">
        <f t="shared" si="114"/>
        <v>1466.47</v>
      </c>
      <c r="L259" s="5">
        <f t="shared" si="115"/>
        <v>0.24109589041095891</v>
      </c>
      <c r="M259" s="5">
        <f t="shared" si="116"/>
        <v>-0.52843090239184021</v>
      </c>
      <c r="N259" s="5">
        <f t="shared" si="117"/>
        <v>47.135404698575776</v>
      </c>
      <c r="O259" s="1">
        <f t="shared" si="118"/>
        <v>0</v>
      </c>
      <c r="P259" s="1">
        <f t="shared" si="119"/>
        <v>1466.47</v>
      </c>
      <c r="Q259" s="5">
        <f t="shared" si="120"/>
        <v>0.24109589041095891</v>
      </c>
      <c r="R259" s="5">
        <f t="shared" si="121"/>
        <v>-0.52843090239184021</v>
      </c>
      <c r="S259" s="5">
        <f t="shared" si="104"/>
        <v>47.135404698575776</v>
      </c>
      <c r="T259" s="5">
        <f t="shared" si="105"/>
        <v>-764.5851435890512</v>
      </c>
      <c r="U259" s="4">
        <f t="shared" si="106"/>
        <v>1155463.400277169</v>
      </c>
      <c r="V259" s="4">
        <f t="shared" si="122"/>
        <v>55.937091186020751</v>
      </c>
      <c r="W259" s="4">
        <f t="shared" si="107"/>
        <v>1119424.3701075804</v>
      </c>
      <c r="X259" s="4">
        <f t="shared" si="111"/>
        <v>-1834.916535937693</v>
      </c>
      <c r="Y259" s="9">
        <f>SUM($X$6:X259)</f>
        <v>119424.37010758044</v>
      </c>
      <c r="Z259" s="16">
        <f t="shared" si="112"/>
        <v>0.11942437010758045</v>
      </c>
      <c r="AA259" s="16">
        <f t="shared" si="108"/>
        <v>0.14473086620832237</v>
      </c>
      <c r="AB259" s="16">
        <f t="shared" si="109"/>
        <v>-1.6364783398410039E-3</v>
      </c>
      <c r="AC259" s="16">
        <f t="shared" si="110"/>
        <v>-3.1231460582213937E-3</v>
      </c>
    </row>
    <row r="260" spans="1:29" x14ac:dyDescent="0.15">
      <c r="A260" s="8">
        <v>41282</v>
      </c>
      <c r="B260" s="4">
        <v>1457.15</v>
      </c>
      <c r="C260" s="1">
        <v>14.286799999999999</v>
      </c>
      <c r="D260" s="1">
        <v>2.35</v>
      </c>
      <c r="E260" s="1">
        <v>0.30499999999999999</v>
      </c>
      <c r="F260" s="4">
        <f t="shared" si="100"/>
        <v>0.14286799999999999</v>
      </c>
      <c r="G260" s="4">
        <f t="shared" si="101"/>
        <v>2.35E-2</v>
      </c>
      <c r="H260" s="4">
        <f t="shared" si="102"/>
        <v>3.0499999999999998E-3</v>
      </c>
      <c r="I260" s="3">
        <f t="shared" si="103"/>
        <v>45.131168329856735</v>
      </c>
      <c r="J260" s="4">
        <f t="shared" si="113"/>
        <v>1155463.400277169</v>
      </c>
      <c r="K260" s="1">
        <f t="shared" si="114"/>
        <v>1466.47</v>
      </c>
      <c r="L260" s="5">
        <f t="shared" si="115"/>
        <v>0.23835616438356166</v>
      </c>
      <c r="M260" s="5">
        <f t="shared" si="116"/>
        <v>-0.5472242572510837</v>
      </c>
      <c r="N260" s="5">
        <f t="shared" si="117"/>
        <v>49.263445803882171</v>
      </c>
      <c r="O260" s="1">
        <f t="shared" si="118"/>
        <v>0</v>
      </c>
      <c r="P260" s="1">
        <f t="shared" si="119"/>
        <v>1466.47</v>
      </c>
      <c r="Q260" s="5">
        <f t="shared" si="120"/>
        <v>0.23835616438356166</v>
      </c>
      <c r="R260" s="5">
        <f t="shared" si="121"/>
        <v>-0.5472242572510837</v>
      </c>
      <c r="S260" s="5">
        <f t="shared" si="104"/>
        <v>49.263445803882171</v>
      </c>
      <c r="T260" s="5">
        <f t="shared" si="105"/>
        <v>-764.5851435890512</v>
      </c>
      <c r="U260" s="4">
        <f t="shared" si="106"/>
        <v>1155519.3373683549</v>
      </c>
      <c r="V260" s="4">
        <f t="shared" si="122"/>
        <v>18.64659971808112</v>
      </c>
      <c r="W260" s="4">
        <f t="shared" si="107"/>
        <v>1117853.2385847021</v>
      </c>
      <c r="X260" s="4">
        <f t="shared" si="111"/>
        <v>-1571.131522878306</v>
      </c>
      <c r="Y260" s="9">
        <f>SUM($X$6:X260)</f>
        <v>117853.23858470214</v>
      </c>
      <c r="Z260" s="16">
        <f t="shared" si="112"/>
        <v>0.11785323858470213</v>
      </c>
      <c r="AA260" s="16">
        <f t="shared" si="108"/>
        <v>0.14101921601177717</v>
      </c>
      <c r="AB260" s="16">
        <f t="shared" si="109"/>
        <v>-1.4035173476947933E-3</v>
      </c>
      <c r="AC260" s="16">
        <f t="shared" si="110"/>
        <v>-3.2423780174979026E-3</v>
      </c>
    </row>
    <row r="261" spans="1:29" x14ac:dyDescent="0.15">
      <c r="A261" s="8">
        <v>41283</v>
      </c>
      <c r="B261" s="4">
        <v>1461.02</v>
      </c>
      <c r="C261" s="1">
        <v>14.472799999999999</v>
      </c>
      <c r="D261" s="1">
        <v>2.34</v>
      </c>
      <c r="E261" s="1">
        <v>0.30499999999999999</v>
      </c>
      <c r="F261" s="4">
        <f t="shared" si="100"/>
        <v>0.144728</v>
      </c>
      <c r="G261" s="4">
        <f t="shared" si="101"/>
        <v>2.3399999999999997E-2</v>
      </c>
      <c r="H261" s="4">
        <f t="shared" si="102"/>
        <v>3.0499999999999998E-3</v>
      </c>
      <c r="I261" s="3">
        <f t="shared" si="103"/>
        <v>45.770254890862461</v>
      </c>
      <c r="J261" s="4">
        <f t="shared" si="113"/>
        <v>1155519.3373683549</v>
      </c>
      <c r="K261" s="1">
        <f t="shared" si="114"/>
        <v>1466.47</v>
      </c>
      <c r="L261" s="5">
        <f t="shared" si="115"/>
        <v>0.23561643835616441</v>
      </c>
      <c r="M261" s="5">
        <f t="shared" si="116"/>
        <v>-0.53137914081324078</v>
      </c>
      <c r="N261" s="5">
        <f t="shared" si="117"/>
        <v>47.402450422686769</v>
      </c>
      <c r="O261" s="1">
        <f t="shared" si="118"/>
        <v>0</v>
      </c>
      <c r="P261" s="1">
        <f t="shared" si="119"/>
        <v>1466.47</v>
      </c>
      <c r="Q261" s="5">
        <f t="shared" si="120"/>
        <v>0.23561643835616441</v>
      </c>
      <c r="R261" s="5">
        <f t="shared" si="121"/>
        <v>-0.53137914081324078</v>
      </c>
      <c r="S261" s="5">
        <f t="shared" si="104"/>
        <v>47.402450422686769</v>
      </c>
      <c r="T261" s="5">
        <f t="shared" si="105"/>
        <v>-764.5851435890512</v>
      </c>
      <c r="U261" s="4">
        <f t="shared" si="106"/>
        <v>1155537.983968073</v>
      </c>
      <c r="V261" s="4">
        <f t="shared" si="122"/>
        <v>18.64690061800534</v>
      </c>
      <c r="W261" s="4">
        <f t="shared" si="107"/>
        <v>1119294.7746051701</v>
      </c>
      <c r="X261" s="4">
        <f t="shared" si="111"/>
        <v>1441.5360204679891</v>
      </c>
      <c r="Y261" s="9">
        <f>SUM($X$6:X261)</f>
        <v>119294.77460517013</v>
      </c>
      <c r="Z261" s="16">
        <f t="shared" si="112"/>
        <v>0.11929477460517013</v>
      </c>
      <c r="AA261" s="16">
        <f t="shared" si="108"/>
        <v>0.14404961395705765</v>
      </c>
      <c r="AB261" s="16">
        <f t="shared" si="109"/>
        <v>1.289557493515962E-3</v>
      </c>
      <c r="AC261" s="16">
        <f t="shared" si="110"/>
        <v>2.6558693339737778E-3</v>
      </c>
    </row>
    <row r="262" spans="1:29" x14ac:dyDescent="0.15">
      <c r="A262" s="8">
        <v>41284</v>
      </c>
      <c r="B262" s="4">
        <v>1472.12</v>
      </c>
      <c r="C262" s="1">
        <v>13.986599999999999</v>
      </c>
      <c r="D262" s="1">
        <v>2.3199999999999998</v>
      </c>
      <c r="E262" s="1">
        <v>0.30499999999999999</v>
      </c>
      <c r="F262" s="4">
        <f t="shared" si="100"/>
        <v>0.13986599999999999</v>
      </c>
      <c r="G262" s="4">
        <f t="shared" si="101"/>
        <v>2.3199999999999998E-2</v>
      </c>
      <c r="H262" s="4">
        <f t="shared" si="102"/>
        <v>3.0499999999999998E-3</v>
      </c>
      <c r="I262" s="3">
        <f t="shared" si="103"/>
        <v>44.66387365487229</v>
      </c>
      <c r="J262" s="4">
        <f t="shared" si="113"/>
        <v>1155537.983968073</v>
      </c>
      <c r="K262" s="1">
        <f t="shared" si="114"/>
        <v>1466.47</v>
      </c>
      <c r="L262" s="5">
        <f t="shared" si="115"/>
        <v>0.23287671232876717</v>
      </c>
      <c r="M262" s="5">
        <f t="shared" si="116"/>
        <v>-0.48889547993081733</v>
      </c>
      <c r="N262" s="5">
        <f t="shared" si="117"/>
        <v>40.058671221049487</v>
      </c>
      <c r="O262" s="1">
        <f t="shared" si="118"/>
        <v>0</v>
      </c>
      <c r="P262" s="1">
        <f t="shared" si="119"/>
        <v>1466.47</v>
      </c>
      <c r="Q262" s="5">
        <f t="shared" si="120"/>
        <v>0.23287671232876717</v>
      </c>
      <c r="R262" s="5">
        <f t="shared" si="121"/>
        <v>-0.48889547993081733</v>
      </c>
      <c r="S262" s="5">
        <f t="shared" si="104"/>
        <v>40.058671221049487</v>
      </c>
      <c r="T262" s="5">
        <f t="shared" si="105"/>
        <v>-764.5851435890512</v>
      </c>
      <c r="U262" s="4">
        <f t="shared" si="106"/>
        <v>1155556.630868691</v>
      </c>
      <c r="V262" s="4">
        <f t="shared" si="122"/>
        <v>18.647201522785178</v>
      </c>
      <c r="W262" s="4">
        <f t="shared" si="107"/>
        <v>1124928.3659811583</v>
      </c>
      <c r="X262" s="4">
        <f t="shared" si="111"/>
        <v>5633.5913759882096</v>
      </c>
      <c r="Y262" s="9">
        <f>SUM($X$6:X262)</f>
        <v>124928.36598115833</v>
      </c>
      <c r="Z262" s="16">
        <f t="shared" si="112"/>
        <v>0.12492836598115833</v>
      </c>
      <c r="AA262" s="16">
        <f t="shared" si="108"/>
        <v>0.15274145302491657</v>
      </c>
      <c r="AB262" s="16">
        <f t="shared" si="109"/>
        <v>5.0331615083037016E-3</v>
      </c>
      <c r="AC262" s="16">
        <f t="shared" si="110"/>
        <v>7.5974319311165554E-3</v>
      </c>
    </row>
    <row r="263" spans="1:29" x14ac:dyDescent="0.15">
      <c r="A263" s="8">
        <v>41285</v>
      </c>
      <c r="B263" s="4">
        <v>1472.05</v>
      </c>
      <c r="C263" s="1">
        <v>13.8995</v>
      </c>
      <c r="D263" s="1">
        <v>2.3199999999999998</v>
      </c>
      <c r="E263" s="1">
        <v>0.30399999999999999</v>
      </c>
      <c r="F263" s="4">
        <f t="shared" ref="F263:F326" si="123">C263/100</f>
        <v>0.13899500000000001</v>
      </c>
      <c r="G263" s="4">
        <f t="shared" ref="G263:G326" si="124">D263/100</f>
        <v>2.3199999999999998E-2</v>
      </c>
      <c r="H263" s="4">
        <f t="shared" ref="H263:H326" si="125">E263/100</f>
        <v>3.0399999999999997E-3</v>
      </c>
      <c r="I263" s="3">
        <f t="shared" ref="I263:I326" si="126">BSM_Put(B263,B263,F263,H263,G263,$B$3,$F$3)</f>
        <v>44.409987518912729</v>
      </c>
      <c r="J263" s="4">
        <f t="shared" si="113"/>
        <v>1155556.630868691</v>
      </c>
      <c r="K263" s="1">
        <f t="shared" si="114"/>
        <v>1466.47</v>
      </c>
      <c r="L263" s="5">
        <f t="shared" si="115"/>
        <v>0.23013698630136992</v>
      </c>
      <c r="M263" s="5">
        <f t="shared" si="116"/>
        <v>-0.48911752053824453</v>
      </c>
      <c r="N263" s="5">
        <f t="shared" si="117"/>
        <v>39.578667763117878</v>
      </c>
      <c r="O263" s="1">
        <f t="shared" si="118"/>
        <v>0</v>
      </c>
      <c r="P263" s="1">
        <f t="shared" si="119"/>
        <v>1466.47</v>
      </c>
      <c r="Q263" s="5">
        <f t="shared" si="120"/>
        <v>0.23013698630136992</v>
      </c>
      <c r="R263" s="5">
        <f t="shared" si="121"/>
        <v>-0.48911752053824453</v>
      </c>
      <c r="S263" s="5">
        <f t="shared" ref="S263:S326" si="127">BSM_Put(B263,P263,F263,H263,G263,Q263,$F$3)</f>
        <v>39.578667763117878</v>
      </c>
      <c r="T263" s="5">
        <f t="shared" si="105"/>
        <v>-764.5851435890512</v>
      </c>
      <c r="U263" s="4">
        <f t="shared" si="106"/>
        <v>1155575.2780702137</v>
      </c>
      <c r="V263" s="4">
        <f t="shared" si="122"/>
        <v>18.647502432420708</v>
      </c>
      <c r="W263" s="4">
        <f t="shared" si="107"/>
        <v>1125314.0166954868</v>
      </c>
      <c r="X263" s="4">
        <f t="shared" si="111"/>
        <v>385.65071432851255</v>
      </c>
      <c r="Y263" s="9">
        <f>SUM($X$6:X263)</f>
        <v>125314.01669548685</v>
      </c>
      <c r="Z263" s="16">
        <f t="shared" si="112"/>
        <v>0.12531401669548684</v>
      </c>
      <c r="AA263" s="16">
        <f t="shared" si="108"/>
        <v>0.15268663962538959</v>
      </c>
      <c r="AB263" s="16">
        <f t="shared" si="109"/>
        <v>3.4282246407054502E-4</v>
      </c>
      <c r="AC263" s="16">
        <f t="shared" si="110"/>
        <v>-4.7550471428916355E-5</v>
      </c>
    </row>
    <row r="264" spans="1:29" x14ac:dyDescent="0.15">
      <c r="A264" s="8">
        <v>41288</v>
      </c>
      <c r="B264" s="4">
        <v>1470.68</v>
      </c>
      <c r="C264" s="1">
        <v>14.158799999999999</v>
      </c>
      <c r="D264" s="1">
        <v>2.33</v>
      </c>
      <c r="E264" s="1">
        <v>0.30399999999999999</v>
      </c>
      <c r="F264" s="4">
        <f t="shared" si="123"/>
        <v>0.14158799999999999</v>
      </c>
      <c r="G264" s="4">
        <f t="shared" si="124"/>
        <v>2.3300000000000001E-2</v>
      </c>
      <c r="H264" s="4">
        <f t="shared" si="125"/>
        <v>3.0399999999999997E-3</v>
      </c>
      <c r="I264" s="3">
        <f t="shared" si="126"/>
        <v>45.142150353647658</v>
      </c>
      <c r="J264" s="4">
        <f t="shared" si="113"/>
        <v>1155575.2780702137</v>
      </c>
      <c r="K264" s="1">
        <f t="shared" si="114"/>
        <v>1466.47</v>
      </c>
      <c r="L264" s="5">
        <f t="shared" si="115"/>
        <v>0.22191780821917814</v>
      </c>
      <c r="M264" s="5">
        <f t="shared" si="116"/>
        <v>-0.49388043063733422</v>
      </c>
      <c r="N264" s="5">
        <f t="shared" si="117"/>
        <v>40.160903915876766</v>
      </c>
      <c r="O264" s="1">
        <f t="shared" si="118"/>
        <v>0</v>
      </c>
      <c r="P264" s="1">
        <f t="shared" si="119"/>
        <v>1466.47</v>
      </c>
      <c r="Q264" s="5">
        <f t="shared" si="120"/>
        <v>0.22191780821917814</v>
      </c>
      <c r="R264" s="5">
        <f t="shared" si="121"/>
        <v>-0.49388043063733422</v>
      </c>
      <c r="S264" s="5">
        <f t="shared" si="127"/>
        <v>40.160903915876766</v>
      </c>
      <c r="T264" s="5">
        <f t="shared" ref="T264:T327" si="128">IF(O264,-(J264+IF(L264&lt;=0.00001, MAX(K264-B264,0),N264)*T263)/P264,T263)</f>
        <v>-764.5851435890512</v>
      </c>
      <c r="U264" s="4">
        <f t="shared" ref="U264:U327" si="129">IF(O264,(J264+IF(L264&lt;=0.00001, MAX(K264-B264,0),N264)*T263)-(S264*T264),U263)+V263</f>
        <v>1155593.9255726461</v>
      </c>
      <c r="V264" s="4">
        <f t="shared" si="122"/>
        <v>55.943410040736033</v>
      </c>
      <c r="W264" s="4">
        <f t="shared" ref="W264:W327" si="130">S264*T264+U264</f>
        <v>1124887.4950854594</v>
      </c>
      <c r="X264" s="4">
        <f t="shared" si="111"/>
        <v>-426.52161002741195</v>
      </c>
      <c r="Y264" s="9">
        <f>SUM($X$6:X264)</f>
        <v>124887.49508545944</v>
      </c>
      <c r="Z264" s="16">
        <f t="shared" si="112"/>
        <v>0.12488749508545943</v>
      </c>
      <c r="AA264" s="16">
        <f t="shared" ref="AA264:AA327" si="131">(B264-$B$6)/$B$6</f>
        <v>0.15161386309178906</v>
      </c>
      <c r="AB264" s="16">
        <f t="shared" ref="AB264:AB327" si="132">X264/W263</f>
        <v>-3.7902452444332248E-4</v>
      </c>
      <c r="AC264" s="16">
        <f t="shared" ref="AC264:AC327" si="133">(B264-B263)/B263</f>
        <v>-9.3067490914024045E-4</v>
      </c>
    </row>
    <row r="265" spans="1:29" x14ac:dyDescent="0.15">
      <c r="A265" s="8">
        <v>41289</v>
      </c>
      <c r="B265" s="4">
        <v>1472.34</v>
      </c>
      <c r="C265" s="1">
        <v>14.127599999999999</v>
      </c>
      <c r="D265" s="1">
        <v>2.3199999999999998</v>
      </c>
      <c r="E265" s="1">
        <v>0.30299999999999999</v>
      </c>
      <c r="F265" s="4">
        <f t="shared" si="123"/>
        <v>0.14127599999999998</v>
      </c>
      <c r="G265" s="4">
        <f t="shared" si="124"/>
        <v>2.3199999999999998E-2</v>
      </c>
      <c r="H265" s="4">
        <f t="shared" si="125"/>
        <v>3.0299999999999997E-3</v>
      </c>
      <c r="I265" s="3">
        <f t="shared" si="126"/>
        <v>45.085403355762935</v>
      </c>
      <c r="J265" s="4">
        <f t="shared" si="113"/>
        <v>1155593.9255726461</v>
      </c>
      <c r="K265" s="1">
        <f t="shared" si="114"/>
        <v>1466.47</v>
      </c>
      <c r="L265" s="5">
        <f t="shared" si="115"/>
        <v>0.21917808219178089</v>
      </c>
      <c r="M265" s="5">
        <f t="shared" si="116"/>
        <v>-0.48689555296727821</v>
      </c>
      <c r="N265" s="5">
        <f t="shared" si="117"/>
        <v>38.966503764239334</v>
      </c>
      <c r="O265" s="1">
        <f t="shared" si="118"/>
        <v>0</v>
      </c>
      <c r="P265" s="1">
        <f t="shared" si="119"/>
        <v>1466.47</v>
      </c>
      <c r="Q265" s="5">
        <f t="shared" si="120"/>
        <v>0.21917808219178089</v>
      </c>
      <c r="R265" s="5">
        <f t="shared" si="121"/>
        <v>-0.48689555296727821</v>
      </c>
      <c r="S265" s="5">
        <f t="shared" si="127"/>
        <v>38.966503764239334</v>
      </c>
      <c r="T265" s="5">
        <f t="shared" si="128"/>
        <v>-764.5851435890512</v>
      </c>
      <c r="U265" s="4">
        <f t="shared" si="129"/>
        <v>1155649.8689826869</v>
      </c>
      <c r="V265" s="4">
        <f t="shared" si="122"/>
        <v>18.648706104953494</v>
      </c>
      <c r="W265" s="4">
        <f t="shared" si="130"/>
        <v>1125856.6591069426</v>
      </c>
      <c r="X265" s="4">
        <f t="shared" ref="X265:X328" si="134">W265-W264</f>
        <v>969.16402148315683</v>
      </c>
      <c r="Y265" s="9">
        <f>SUM($X$6:X265)</f>
        <v>125856.65910694259</v>
      </c>
      <c r="Z265" s="16">
        <f t="shared" si="112"/>
        <v>0.1258566591069426</v>
      </c>
      <c r="AA265" s="16">
        <f t="shared" si="131"/>
        <v>0.15291372370914444</v>
      </c>
      <c r="AB265" s="16">
        <f t="shared" si="132"/>
        <v>8.615652905000317E-4</v>
      </c>
      <c r="AC265" s="16">
        <f t="shared" si="133"/>
        <v>1.128729567274903E-3</v>
      </c>
    </row>
    <row r="266" spans="1:29" x14ac:dyDescent="0.15">
      <c r="A266" s="8">
        <v>41290</v>
      </c>
      <c r="B266" s="4">
        <v>1472.63</v>
      </c>
      <c r="C266" s="1">
        <v>14.0114</v>
      </c>
      <c r="D266" s="1">
        <v>2.3199999999999998</v>
      </c>
      <c r="E266" s="1">
        <v>0.30299999999999999</v>
      </c>
      <c r="F266" s="4">
        <f t="shared" si="123"/>
        <v>0.14011399999999999</v>
      </c>
      <c r="G266" s="4">
        <f t="shared" si="124"/>
        <v>2.3199999999999998E-2</v>
      </c>
      <c r="H266" s="4">
        <f t="shared" si="125"/>
        <v>3.0299999999999997E-3</v>
      </c>
      <c r="I266" s="3">
        <f t="shared" si="126"/>
        <v>44.755608357211827</v>
      </c>
      <c r="J266" s="4">
        <f t="shared" si="113"/>
        <v>1155649.8689826869</v>
      </c>
      <c r="K266" s="1">
        <f t="shared" si="114"/>
        <v>1466.47</v>
      </c>
      <c r="L266" s="5">
        <f t="shared" si="115"/>
        <v>0.21643835616438364</v>
      </c>
      <c r="M266" s="5">
        <f t="shared" si="116"/>
        <v>-0.48561828162326054</v>
      </c>
      <c r="N266" s="5">
        <f t="shared" si="117"/>
        <v>38.228130536641153</v>
      </c>
      <c r="O266" s="1">
        <f t="shared" si="118"/>
        <v>0</v>
      </c>
      <c r="P266" s="1">
        <f t="shared" si="119"/>
        <v>1466.47</v>
      </c>
      <c r="Q266" s="5">
        <f t="shared" si="120"/>
        <v>0.21643835616438364</v>
      </c>
      <c r="R266" s="5">
        <f t="shared" si="121"/>
        <v>-0.48561828162326054</v>
      </c>
      <c r="S266" s="5">
        <f t="shared" si="127"/>
        <v>38.228130536641153</v>
      </c>
      <c r="T266" s="5">
        <f t="shared" si="128"/>
        <v>-764.5851435890512</v>
      </c>
      <c r="U266" s="4">
        <f t="shared" si="129"/>
        <v>1155668.5176887917</v>
      </c>
      <c r="V266" s="4">
        <f t="shared" si="122"/>
        <v>18.649007038868444</v>
      </c>
      <c r="W266" s="4">
        <f t="shared" si="130"/>
        <v>1126439.8570132931</v>
      </c>
      <c r="X266" s="4">
        <f t="shared" si="134"/>
        <v>583.19790635048412</v>
      </c>
      <c r="Y266" s="9">
        <f>SUM($X$6:X266)</f>
        <v>126439.85701329308</v>
      </c>
      <c r="Z266" s="16">
        <f t="shared" si="112"/>
        <v>0.12643985701329308</v>
      </c>
      <c r="AA266" s="16">
        <f t="shared" si="131"/>
        <v>0.15314080779289946</v>
      </c>
      <c r="AB266" s="16">
        <f t="shared" si="132"/>
        <v>5.1800369224008606E-4</v>
      </c>
      <c r="AC266" s="16">
        <f t="shared" si="133"/>
        <v>1.9696537484561379E-4</v>
      </c>
    </row>
    <row r="267" spans="1:29" x14ac:dyDescent="0.15">
      <c r="A267" s="8">
        <v>41291</v>
      </c>
      <c r="B267" s="4">
        <v>1480.94</v>
      </c>
      <c r="C267" s="1">
        <v>13.775</v>
      </c>
      <c r="D267" s="1">
        <v>2.31</v>
      </c>
      <c r="E267" s="1">
        <v>0.30199999999999999</v>
      </c>
      <c r="F267" s="4">
        <f t="shared" si="123"/>
        <v>0.13775000000000001</v>
      </c>
      <c r="G267" s="4">
        <f t="shared" si="124"/>
        <v>2.3099999999999999E-2</v>
      </c>
      <c r="H267" s="4">
        <f t="shared" si="125"/>
        <v>3.0200000000000001E-3</v>
      </c>
      <c r="I267" s="3">
        <f t="shared" si="126"/>
        <v>44.29838362802824</v>
      </c>
      <c r="J267" s="4">
        <f t="shared" si="113"/>
        <v>1155668.5176887917</v>
      </c>
      <c r="K267" s="1">
        <f t="shared" si="114"/>
        <v>1466.47</v>
      </c>
      <c r="L267" s="5">
        <f t="shared" si="115"/>
        <v>0.21369863013698639</v>
      </c>
      <c r="M267" s="5">
        <f t="shared" si="116"/>
        <v>-0.45054781452297865</v>
      </c>
      <c r="N267" s="5">
        <f t="shared" si="117"/>
        <v>33.405812855775601</v>
      </c>
      <c r="O267" s="1">
        <f t="shared" si="118"/>
        <v>0</v>
      </c>
      <c r="P267" s="1">
        <f t="shared" si="119"/>
        <v>1466.47</v>
      </c>
      <c r="Q267" s="5">
        <f t="shared" si="120"/>
        <v>0.21369863013698639</v>
      </c>
      <c r="R267" s="5">
        <f t="shared" si="121"/>
        <v>-0.45054781452297865</v>
      </c>
      <c r="S267" s="5">
        <f t="shared" si="127"/>
        <v>33.405812855775601</v>
      </c>
      <c r="T267" s="5">
        <f t="shared" si="128"/>
        <v>-764.5851435890512</v>
      </c>
      <c r="U267" s="4">
        <f t="shared" si="129"/>
        <v>1155687.1666958306</v>
      </c>
      <c r="V267" s="4">
        <f t="shared" si="122"/>
        <v>18.649307977639566</v>
      </c>
      <c r="W267" s="4">
        <f t="shared" si="130"/>
        <v>1130145.5784767885</v>
      </c>
      <c r="X267" s="4">
        <f t="shared" si="134"/>
        <v>3705.7214634953998</v>
      </c>
      <c r="Y267" s="9">
        <f>SUM($X$6:X267)</f>
        <v>130145.57847678848</v>
      </c>
      <c r="Z267" s="16">
        <f t="shared" si="112"/>
        <v>0.13014557847678848</v>
      </c>
      <c r="AA267" s="16">
        <f t="shared" si="131"/>
        <v>0.15964794136532356</v>
      </c>
      <c r="AB267" s="16">
        <f t="shared" si="132"/>
        <v>3.289764154227427E-3</v>
      </c>
      <c r="AC267" s="16">
        <f t="shared" si="133"/>
        <v>5.6429653069677687E-3</v>
      </c>
    </row>
    <row r="268" spans="1:29" x14ac:dyDescent="0.15">
      <c r="A268" s="8">
        <v>41292</v>
      </c>
      <c r="B268" s="4">
        <v>1485.98</v>
      </c>
      <c r="C268" s="1">
        <v>13.186999999999999</v>
      </c>
      <c r="D268" s="1">
        <v>2.2999999999999998</v>
      </c>
      <c r="E268" s="1">
        <v>0.30199999999999999</v>
      </c>
      <c r="F268" s="4">
        <f t="shared" si="123"/>
        <v>0.13186999999999999</v>
      </c>
      <c r="G268" s="4">
        <f t="shared" si="124"/>
        <v>2.3E-2</v>
      </c>
      <c r="H268" s="4">
        <f t="shared" si="125"/>
        <v>3.0200000000000001E-3</v>
      </c>
      <c r="I268" s="3">
        <f t="shared" si="126"/>
        <v>42.701022578654332</v>
      </c>
      <c r="J268" s="4">
        <f t="shared" si="113"/>
        <v>1155687.1666958306</v>
      </c>
      <c r="K268" s="1">
        <f t="shared" si="114"/>
        <v>1466.47</v>
      </c>
      <c r="L268" s="5">
        <f t="shared" si="115"/>
        <v>0.21095890410958915</v>
      </c>
      <c r="M268" s="5">
        <f t="shared" si="116"/>
        <v>-0.42693175006374462</v>
      </c>
      <c r="N268" s="5">
        <f t="shared" si="117"/>
        <v>29.332979728008514</v>
      </c>
      <c r="O268" s="1">
        <f t="shared" si="118"/>
        <v>0</v>
      </c>
      <c r="P268" s="1">
        <f t="shared" si="119"/>
        <v>1466.47</v>
      </c>
      <c r="Q268" s="5">
        <f t="shared" si="120"/>
        <v>0.21095890410958915</v>
      </c>
      <c r="R268" s="5">
        <f t="shared" si="121"/>
        <v>-0.42693175006374462</v>
      </c>
      <c r="S268" s="5">
        <f t="shared" si="127"/>
        <v>29.332979728008514</v>
      </c>
      <c r="T268" s="5">
        <f t="shared" si="128"/>
        <v>-764.5851435890512</v>
      </c>
      <c r="U268" s="4">
        <f t="shared" si="129"/>
        <v>1155705.8160038083</v>
      </c>
      <c r="V268" s="4">
        <f t="shared" si="122"/>
        <v>18.649608921266932</v>
      </c>
      <c r="W268" s="4">
        <f t="shared" si="130"/>
        <v>1133278.2554865743</v>
      </c>
      <c r="X268" s="4">
        <f t="shared" si="134"/>
        <v>3132.6770097857807</v>
      </c>
      <c r="Y268" s="9">
        <f>SUM($X$6:X268)</f>
        <v>133278.25548657426</v>
      </c>
      <c r="Z268" s="16">
        <f t="shared" si="112"/>
        <v>0.13327825548657427</v>
      </c>
      <c r="AA268" s="16">
        <f t="shared" si="131"/>
        <v>0.16359450613127033</v>
      </c>
      <c r="AB268" s="16">
        <f t="shared" si="132"/>
        <v>2.7719234313228979E-3</v>
      </c>
      <c r="AC268" s="16">
        <f t="shared" si="133"/>
        <v>3.4032438856401769E-3</v>
      </c>
    </row>
    <row r="269" spans="1:29" x14ac:dyDescent="0.15">
      <c r="A269" s="8">
        <v>41296</v>
      </c>
      <c r="B269" s="4">
        <v>1492.56</v>
      </c>
      <c r="C269" s="1">
        <v>12.5944</v>
      </c>
      <c r="D269" s="1">
        <v>2.29</v>
      </c>
      <c r="E269" s="1">
        <v>0.30199999999999999</v>
      </c>
      <c r="F269" s="4">
        <f t="shared" si="123"/>
        <v>0.125944</v>
      </c>
      <c r="G269" s="4">
        <f t="shared" si="124"/>
        <v>2.29E-2</v>
      </c>
      <c r="H269" s="4">
        <f t="shared" si="125"/>
        <v>3.0200000000000001E-3</v>
      </c>
      <c r="I269" s="3">
        <f t="shared" si="126"/>
        <v>41.120883899230556</v>
      </c>
      <c r="J269" s="4">
        <f t="shared" si="113"/>
        <v>1155705.8160038083</v>
      </c>
      <c r="K269" s="1">
        <f t="shared" si="114"/>
        <v>1466.47</v>
      </c>
      <c r="L269" s="5">
        <f t="shared" si="115"/>
        <v>0.20000000000000009</v>
      </c>
      <c r="M269" s="5">
        <f t="shared" si="116"/>
        <v>-0.3915277004085877</v>
      </c>
      <c r="N269" s="5">
        <f t="shared" si="117"/>
        <v>24.045920876548649</v>
      </c>
      <c r="O269" s="1">
        <f t="shared" si="118"/>
        <v>0</v>
      </c>
      <c r="P269" s="1">
        <f t="shared" si="119"/>
        <v>1466.47</v>
      </c>
      <c r="Q269" s="5">
        <f t="shared" si="120"/>
        <v>0.20000000000000009</v>
      </c>
      <c r="R269" s="5">
        <f t="shared" si="121"/>
        <v>-0.3915277004085877</v>
      </c>
      <c r="S269" s="5">
        <f t="shared" si="127"/>
        <v>24.045920876548649</v>
      </c>
      <c r="T269" s="5">
        <f t="shared" si="128"/>
        <v>-764.5851435890512</v>
      </c>
      <c r="U269" s="4">
        <f t="shared" si="129"/>
        <v>1155724.4656127295</v>
      </c>
      <c r="V269" s="4">
        <f t="shared" si="122"/>
        <v>74.599639479002477</v>
      </c>
      <c r="W269" s="4">
        <f t="shared" si="130"/>
        <v>1137339.3117466026</v>
      </c>
      <c r="X269" s="4">
        <f t="shared" si="134"/>
        <v>4061.0562600283884</v>
      </c>
      <c r="Y269" s="9">
        <f>SUM($X$6:X269)</f>
        <v>137339.31174660265</v>
      </c>
      <c r="Z269" s="16">
        <f t="shared" si="112"/>
        <v>0.13733931174660263</v>
      </c>
      <c r="AA269" s="16">
        <f t="shared" si="131"/>
        <v>0.16874696568681191</v>
      </c>
      <c r="AB269" s="16">
        <f t="shared" si="132"/>
        <v>3.5834590846223987E-3</v>
      </c>
      <c r="AC269" s="16">
        <f t="shared" si="133"/>
        <v>4.4280542133810193E-3</v>
      </c>
    </row>
    <row r="270" spans="1:29" x14ac:dyDescent="0.15">
      <c r="A270" s="8">
        <v>41297</v>
      </c>
      <c r="B270" s="4">
        <v>1494.81</v>
      </c>
      <c r="C270" s="1">
        <v>12.2165</v>
      </c>
      <c r="D270" s="1">
        <v>2.29</v>
      </c>
      <c r="E270" s="1">
        <v>0.30099999999999999</v>
      </c>
      <c r="F270" s="4">
        <f t="shared" si="123"/>
        <v>0.122165</v>
      </c>
      <c r="G270" s="4">
        <f t="shared" si="124"/>
        <v>2.29E-2</v>
      </c>
      <c r="H270" s="4">
        <f t="shared" si="125"/>
        <v>3.0100000000000001E-3</v>
      </c>
      <c r="I270" s="3">
        <f t="shared" si="126"/>
        <v>40.067406850872473</v>
      </c>
      <c r="J270" s="4">
        <f t="shared" si="113"/>
        <v>1155724.4656127295</v>
      </c>
      <c r="K270" s="1">
        <f t="shared" si="114"/>
        <v>1466.47</v>
      </c>
      <c r="L270" s="5">
        <f t="shared" si="115"/>
        <v>0.19726027397260285</v>
      </c>
      <c r="M270" s="5">
        <f t="shared" si="116"/>
        <v>-0.37748735159202929</v>
      </c>
      <c r="N270" s="5">
        <f t="shared" si="117"/>
        <v>21.975586270302532</v>
      </c>
      <c r="O270" s="1">
        <f t="shared" si="118"/>
        <v>0</v>
      </c>
      <c r="P270" s="1">
        <f t="shared" si="119"/>
        <v>1466.47</v>
      </c>
      <c r="Q270" s="5">
        <f t="shared" si="120"/>
        <v>0.19726027397260285</v>
      </c>
      <c r="R270" s="5">
        <f t="shared" si="121"/>
        <v>-0.37748735159202929</v>
      </c>
      <c r="S270" s="5">
        <f t="shared" si="127"/>
        <v>21.975586270302532</v>
      </c>
      <c r="T270" s="5">
        <f t="shared" si="128"/>
        <v>-764.5851435890512</v>
      </c>
      <c r="U270" s="4">
        <f t="shared" si="129"/>
        <v>1155799.0652522086</v>
      </c>
      <c r="V270" s="4">
        <f t="shared" si="122"/>
        <v>18.651113683110982</v>
      </c>
      <c r="W270" s="4">
        <f t="shared" si="130"/>
        <v>1138996.8584682758</v>
      </c>
      <c r="X270" s="4">
        <f t="shared" si="134"/>
        <v>1657.5467216731049</v>
      </c>
      <c r="Y270" s="9">
        <f>SUM($X$6:X270)</f>
        <v>138996.85846827575</v>
      </c>
      <c r="Z270" s="16">
        <f t="shared" si="112"/>
        <v>0.13899685846827575</v>
      </c>
      <c r="AA270" s="16">
        <f t="shared" si="131"/>
        <v>0.17050882495732386</v>
      </c>
      <c r="AB270" s="16">
        <f t="shared" si="132"/>
        <v>1.4573898084359925E-3</v>
      </c>
      <c r="AC270" s="16">
        <f t="shared" si="133"/>
        <v>1.5074770863482876E-3</v>
      </c>
    </row>
    <row r="271" spans="1:29" x14ac:dyDescent="0.15">
      <c r="A271" s="8">
        <v>41298</v>
      </c>
      <c r="B271" s="4">
        <v>1494.82</v>
      </c>
      <c r="C271" s="1">
        <v>12.371499999999999</v>
      </c>
      <c r="D271" s="1">
        <v>2.29</v>
      </c>
      <c r="E271" s="1">
        <v>0.30049999999999999</v>
      </c>
      <c r="F271" s="4">
        <f t="shared" si="123"/>
        <v>0.12371499999999999</v>
      </c>
      <c r="G271" s="4">
        <f t="shared" si="124"/>
        <v>2.29E-2</v>
      </c>
      <c r="H271" s="4">
        <f t="shared" si="125"/>
        <v>3.0049999999999999E-3</v>
      </c>
      <c r="I271" s="3">
        <f t="shared" si="126"/>
        <v>40.527020686015838</v>
      </c>
      <c r="J271" s="4">
        <f t="shared" si="113"/>
        <v>1155799.0652522086</v>
      </c>
      <c r="K271" s="1">
        <f t="shared" si="114"/>
        <v>1466.47</v>
      </c>
      <c r="L271" s="5">
        <f t="shared" si="115"/>
        <v>0.1945205479452056</v>
      </c>
      <c r="M271" s="5">
        <f t="shared" si="116"/>
        <v>-0.37763002758167291</v>
      </c>
      <c r="N271" s="5">
        <f t="shared" si="117"/>
        <v>22.114808663233397</v>
      </c>
      <c r="O271" s="1">
        <f t="shared" si="118"/>
        <v>0</v>
      </c>
      <c r="P271" s="1">
        <f t="shared" si="119"/>
        <v>1466.47</v>
      </c>
      <c r="Q271" s="5">
        <f t="shared" si="120"/>
        <v>0.1945205479452056</v>
      </c>
      <c r="R271" s="5">
        <f t="shared" si="121"/>
        <v>-0.37763002758167291</v>
      </c>
      <c r="S271" s="5">
        <f t="shared" si="127"/>
        <v>22.114808663233397</v>
      </c>
      <c r="T271" s="5">
        <f t="shared" si="128"/>
        <v>-764.5851435890512</v>
      </c>
      <c r="U271" s="4">
        <f t="shared" si="129"/>
        <v>1155817.7163658917</v>
      </c>
      <c r="V271" s="4">
        <f t="shared" si="122"/>
        <v>18.651414655876991</v>
      </c>
      <c r="W271" s="4">
        <f t="shared" si="130"/>
        <v>1138909.062208669</v>
      </c>
      <c r="X271" s="4">
        <f t="shared" si="134"/>
        <v>-87.796259606722742</v>
      </c>
      <c r="Y271" s="9">
        <f>SUM($X$6:X271)</f>
        <v>138909.06220866903</v>
      </c>
      <c r="Z271" s="16">
        <f t="shared" si="112"/>
        <v>0.13890906220866903</v>
      </c>
      <c r="AA271" s="16">
        <f t="shared" si="131"/>
        <v>0.17051665544297057</v>
      </c>
      <c r="AB271" s="16">
        <f t="shared" si="132"/>
        <v>-7.7082091099699119E-5</v>
      </c>
      <c r="AC271" s="16">
        <f t="shared" si="133"/>
        <v>6.6898134210976012E-6</v>
      </c>
    </row>
    <row r="272" spans="1:29" x14ac:dyDescent="0.15">
      <c r="A272" s="8">
        <v>41299</v>
      </c>
      <c r="B272" s="4">
        <v>1502.96</v>
      </c>
      <c r="C272" s="1">
        <v>12.1396</v>
      </c>
      <c r="D272" s="1">
        <v>2.2800000000000002</v>
      </c>
      <c r="E272" s="1">
        <v>0.30049999999999999</v>
      </c>
      <c r="F272" s="4">
        <f t="shared" si="123"/>
        <v>0.121396</v>
      </c>
      <c r="G272" s="4">
        <f t="shared" si="124"/>
        <v>2.2800000000000001E-2</v>
      </c>
      <c r="H272" s="4">
        <f t="shared" si="125"/>
        <v>3.0049999999999999E-3</v>
      </c>
      <c r="I272" s="3">
        <f t="shared" si="126"/>
        <v>40.03887236661344</v>
      </c>
      <c r="J272" s="4">
        <f t="shared" si="113"/>
        <v>1155817.7163658917</v>
      </c>
      <c r="K272" s="1">
        <f t="shared" si="114"/>
        <v>1466.47</v>
      </c>
      <c r="L272" s="5">
        <f t="shared" si="115"/>
        <v>0.19178082191780835</v>
      </c>
      <c r="M272" s="5">
        <f t="shared" si="116"/>
        <v>-0.33668264289489352</v>
      </c>
      <c r="N272" s="5">
        <f t="shared" si="117"/>
        <v>18.387142586298097</v>
      </c>
      <c r="O272" s="1">
        <f t="shared" si="118"/>
        <v>0</v>
      </c>
      <c r="P272" s="1">
        <f t="shared" si="119"/>
        <v>1466.47</v>
      </c>
      <c r="Q272" s="5">
        <f t="shared" si="120"/>
        <v>0.19178082191780835</v>
      </c>
      <c r="R272" s="5">
        <f t="shared" si="121"/>
        <v>-0.33668264289489352</v>
      </c>
      <c r="S272" s="5">
        <f t="shared" si="127"/>
        <v>18.387142586298097</v>
      </c>
      <c r="T272" s="5">
        <f t="shared" si="128"/>
        <v>-764.5851435890512</v>
      </c>
      <c r="U272" s="4">
        <f t="shared" si="129"/>
        <v>1155836.3677805476</v>
      </c>
      <c r="V272" s="4">
        <f t="shared" si="122"/>
        <v>18.651715633499794</v>
      </c>
      <c r="W272" s="4">
        <f t="shared" si="130"/>
        <v>1141777.8317260104</v>
      </c>
      <c r="X272" s="4">
        <f t="shared" si="134"/>
        <v>2868.7695173413958</v>
      </c>
      <c r="Y272" s="9">
        <f>SUM($X$6:X272)</f>
        <v>141777.83172601042</v>
      </c>
      <c r="Z272" s="16">
        <f t="shared" si="112"/>
        <v>0.14177783172601041</v>
      </c>
      <c r="AA272" s="16">
        <f t="shared" si="131"/>
        <v>0.17689067075940057</v>
      </c>
      <c r="AB272" s="16">
        <f t="shared" si="132"/>
        <v>2.5188749589699767E-3</v>
      </c>
      <c r="AC272" s="16">
        <f t="shared" si="133"/>
        <v>5.4454716955888334E-3</v>
      </c>
    </row>
    <row r="273" spans="1:29" x14ac:dyDescent="0.15">
      <c r="A273" s="8">
        <v>41302</v>
      </c>
      <c r="B273" s="4">
        <v>1500.18</v>
      </c>
      <c r="C273" s="1">
        <v>12.5296</v>
      </c>
      <c r="D273" s="1">
        <v>2.2800000000000002</v>
      </c>
      <c r="E273" s="1">
        <v>0.30149999999999999</v>
      </c>
      <c r="F273" s="4">
        <f t="shared" si="123"/>
        <v>0.12529599999999999</v>
      </c>
      <c r="G273" s="4">
        <f t="shared" si="124"/>
        <v>2.2800000000000001E-2</v>
      </c>
      <c r="H273" s="4">
        <f t="shared" si="125"/>
        <v>3.0149999999999999E-3</v>
      </c>
      <c r="I273" s="3">
        <f t="shared" si="126"/>
        <v>41.120210376157139</v>
      </c>
      <c r="J273" s="4">
        <f t="shared" si="113"/>
        <v>1155836.3677805476</v>
      </c>
      <c r="K273" s="1">
        <f t="shared" si="114"/>
        <v>1466.47</v>
      </c>
      <c r="L273" s="5">
        <f t="shared" si="115"/>
        <v>0.18356164383561657</v>
      </c>
      <c r="M273" s="5">
        <f t="shared" si="116"/>
        <v>-0.3495604575683276</v>
      </c>
      <c r="N273" s="5">
        <f t="shared" si="117"/>
        <v>19.542590364302654</v>
      </c>
      <c r="O273" s="1">
        <f t="shared" si="118"/>
        <v>0</v>
      </c>
      <c r="P273" s="1">
        <f t="shared" si="119"/>
        <v>1466.47</v>
      </c>
      <c r="Q273" s="5">
        <f t="shared" si="120"/>
        <v>0.18356164383561657</v>
      </c>
      <c r="R273" s="5">
        <f t="shared" si="121"/>
        <v>-0.3495604575683276</v>
      </c>
      <c r="S273" s="5">
        <f t="shared" si="127"/>
        <v>19.542590364302654</v>
      </c>
      <c r="T273" s="5">
        <f t="shared" si="128"/>
        <v>-764.5851435890512</v>
      </c>
      <c r="U273" s="4">
        <f t="shared" si="129"/>
        <v>1155855.019496181</v>
      </c>
      <c r="V273" s="4">
        <f t="shared" si="122"/>
        <v>55.956049847938402</v>
      </c>
      <c r="W273" s="4">
        <f t="shared" si="130"/>
        <v>1140913.0452363887</v>
      </c>
      <c r="X273" s="4">
        <f t="shared" si="134"/>
        <v>-864.78648962173611</v>
      </c>
      <c r="Y273" s="9">
        <f>SUM($X$6:X273)</f>
        <v>140913.04523638869</v>
      </c>
      <c r="Z273" s="16">
        <f t="shared" si="112"/>
        <v>0.14091304523638867</v>
      </c>
      <c r="AA273" s="16">
        <f t="shared" si="131"/>
        <v>0.17471379574961249</v>
      </c>
      <c r="AB273" s="16">
        <f t="shared" si="132"/>
        <v>-7.5740346816372309E-4</v>
      </c>
      <c r="AC273" s="16">
        <f t="shared" si="133"/>
        <v>-1.8496832916378165E-3</v>
      </c>
    </row>
    <row r="274" spans="1:29" x14ac:dyDescent="0.15">
      <c r="A274" s="8">
        <v>41303</v>
      </c>
      <c r="B274" s="4">
        <v>1507.84</v>
      </c>
      <c r="C274" s="1">
        <v>12.1235</v>
      </c>
      <c r="D274" s="1">
        <v>2.27</v>
      </c>
      <c r="E274" s="1">
        <v>0.29720000000000002</v>
      </c>
      <c r="F274" s="4">
        <f t="shared" si="123"/>
        <v>0.121235</v>
      </c>
      <c r="G274" s="4">
        <f t="shared" si="124"/>
        <v>2.2700000000000001E-2</v>
      </c>
      <c r="H274" s="4">
        <f t="shared" si="125"/>
        <v>2.9720000000000002E-3</v>
      </c>
      <c r="I274" s="3">
        <f t="shared" si="126"/>
        <v>40.108152142920538</v>
      </c>
      <c r="J274" s="4">
        <f t="shared" si="113"/>
        <v>1155855.019496181</v>
      </c>
      <c r="K274" s="1">
        <f t="shared" si="114"/>
        <v>1466.47</v>
      </c>
      <c r="L274" s="5">
        <f t="shared" si="115"/>
        <v>0.18082191780821932</v>
      </c>
      <c r="M274" s="5">
        <f t="shared" si="116"/>
        <v>-0.30860027949421354</v>
      </c>
      <c r="N274" s="5">
        <f t="shared" si="117"/>
        <v>15.834537338228492</v>
      </c>
      <c r="O274" s="1">
        <f t="shared" si="118"/>
        <v>0</v>
      </c>
      <c r="P274" s="1">
        <f t="shared" si="119"/>
        <v>1466.47</v>
      </c>
      <c r="Q274" s="5">
        <f t="shared" si="120"/>
        <v>0.18082191780821932</v>
      </c>
      <c r="R274" s="5">
        <f t="shared" si="121"/>
        <v>-0.30860027949421354</v>
      </c>
      <c r="S274" s="5">
        <f t="shared" si="127"/>
        <v>15.834537338228492</v>
      </c>
      <c r="T274" s="5">
        <f t="shared" si="128"/>
        <v>-764.5851435890512</v>
      </c>
      <c r="U274" s="4">
        <f t="shared" si="129"/>
        <v>1155910.9755460289</v>
      </c>
      <c r="V274" s="4">
        <f t="shared" si="122"/>
        <v>18.652919577989341</v>
      </c>
      <c r="W274" s="4">
        <f t="shared" si="130"/>
        <v>1143804.1235416133</v>
      </c>
      <c r="X274" s="4">
        <f t="shared" si="134"/>
        <v>2891.0783052246552</v>
      </c>
      <c r="Y274" s="9">
        <f>SUM($X$6:X274)</f>
        <v>143804.12354161334</v>
      </c>
      <c r="Z274" s="16">
        <f t="shared" ref="Z274:Z337" si="135">Y274/$H$3</f>
        <v>0.14380412354161334</v>
      </c>
      <c r="AA274" s="16">
        <f t="shared" si="131"/>
        <v>0.18071194775499974</v>
      </c>
      <c r="AB274" s="16">
        <f t="shared" si="132"/>
        <v>2.5340040744521817E-3</v>
      </c>
      <c r="AC274" s="16">
        <f t="shared" si="133"/>
        <v>5.1060539401937459E-3</v>
      </c>
    </row>
    <row r="275" spans="1:29" x14ac:dyDescent="0.15">
      <c r="A275" s="8">
        <v>41304</v>
      </c>
      <c r="B275" s="4">
        <v>1501.96</v>
      </c>
      <c r="C275" s="1">
        <v>12.613099999999999</v>
      </c>
      <c r="D275" s="1">
        <v>2.2800000000000002</v>
      </c>
      <c r="E275" s="1">
        <v>0.29520000000000002</v>
      </c>
      <c r="F275" s="4">
        <f t="shared" si="123"/>
        <v>0.12613099999999999</v>
      </c>
      <c r="G275" s="4">
        <f t="shared" si="124"/>
        <v>2.2800000000000001E-2</v>
      </c>
      <c r="H275" s="4">
        <f t="shared" si="125"/>
        <v>2.9520000000000002E-3</v>
      </c>
      <c r="I275" s="3">
        <f t="shared" si="126"/>
        <v>41.429947635233916</v>
      </c>
      <c r="J275" s="4">
        <f t="shared" si="113"/>
        <v>1155910.9755460289</v>
      </c>
      <c r="K275" s="1">
        <f t="shared" si="114"/>
        <v>1466.47</v>
      </c>
      <c r="L275" s="5">
        <f t="shared" si="115"/>
        <v>0.17808219178082207</v>
      </c>
      <c r="M275" s="5">
        <f t="shared" si="116"/>
        <v>-0.33971602375568327</v>
      </c>
      <c r="N275" s="5">
        <f t="shared" si="117"/>
        <v>18.628532244449815</v>
      </c>
      <c r="O275" s="1">
        <f t="shared" si="118"/>
        <v>0</v>
      </c>
      <c r="P275" s="1">
        <f t="shared" si="119"/>
        <v>1466.47</v>
      </c>
      <c r="Q275" s="5">
        <f t="shared" si="120"/>
        <v>0.17808219178082207</v>
      </c>
      <c r="R275" s="5">
        <f t="shared" si="121"/>
        <v>-0.33971602375568327</v>
      </c>
      <c r="S275" s="5">
        <f t="shared" si="127"/>
        <v>18.628532244449815</v>
      </c>
      <c r="T275" s="5">
        <f t="shared" si="128"/>
        <v>-764.5851435890512</v>
      </c>
      <c r="U275" s="4">
        <f t="shared" si="129"/>
        <v>1155929.6284656068</v>
      </c>
      <c r="V275" s="4">
        <f t="shared" si="122"/>
        <v>18.653220579897052</v>
      </c>
      <c r="W275" s="4">
        <f t="shared" si="130"/>
        <v>1141686.5294646309</v>
      </c>
      <c r="X275" s="4">
        <f t="shared" si="134"/>
        <v>-2117.5940769824665</v>
      </c>
      <c r="Y275" s="9">
        <f>SUM($X$6:X275)</f>
        <v>141686.52946463088</v>
      </c>
      <c r="Z275" s="16">
        <f t="shared" si="135"/>
        <v>0.14168652946463087</v>
      </c>
      <c r="AA275" s="16">
        <f t="shared" si="131"/>
        <v>0.17610762219472859</v>
      </c>
      <c r="AB275" s="16">
        <f t="shared" si="132"/>
        <v>-1.8513607648359077E-3</v>
      </c>
      <c r="AC275" s="16">
        <f t="shared" si="133"/>
        <v>-3.8996179966043361E-3</v>
      </c>
    </row>
    <row r="276" spans="1:29" x14ac:dyDescent="0.15">
      <c r="A276" s="8">
        <v>41305</v>
      </c>
      <c r="B276" s="4">
        <v>1498.11</v>
      </c>
      <c r="C276" s="1">
        <v>12.980399999999999</v>
      </c>
      <c r="D276" s="1">
        <v>2.29</v>
      </c>
      <c r="E276" s="1">
        <v>0.29480000000000001</v>
      </c>
      <c r="F276" s="4">
        <f t="shared" si="123"/>
        <v>0.129804</v>
      </c>
      <c r="G276" s="4">
        <f t="shared" si="124"/>
        <v>2.29E-2</v>
      </c>
      <c r="H276" s="4">
        <f t="shared" si="125"/>
        <v>2.9480000000000001E-3</v>
      </c>
      <c r="I276" s="3">
        <f t="shared" si="126"/>
        <v>42.432539378369192</v>
      </c>
      <c r="J276" s="4">
        <f t="shared" si="113"/>
        <v>1155929.6284656068</v>
      </c>
      <c r="K276" s="1">
        <f t="shared" si="114"/>
        <v>1466.47</v>
      </c>
      <c r="L276" s="5">
        <f t="shared" si="115"/>
        <v>0.17534246575342483</v>
      </c>
      <c r="M276" s="5">
        <f t="shared" si="116"/>
        <v>-0.35964635301962983</v>
      </c>
      <c r="N276" s="5">
        <f t="shared" si="117"/>
        <v>20.580444640333027</v>
      </c>
      <c r="O276" s="1">
        <f t="shared" si="118"/>
        <v>0</v>
      </c>
      <c r="P276" s="1">
        <f t="shared" si="119"/>
        <v>1466.47</v>
      </c>
      <c r="Q276" s="5">
        <f t="shared" si="120"/>
        <v>0.17534246575342483</v>
      </c>
      <c r="R276" s="5">
        <f t="shared" si="121"/>
        <v>-0.35964635301962983</v>
      </c>
      <c r="S276" s="5">
        <f t="shared" si="127"/>
        <v>20.580444640333027</v>
      </c>
      <c r="T276" s="5">
        <f t="shared" si="128"/>
        <v>-764.5851435890512</v>
      </c>
      <c r="U276" s="4">
        <f t="shared" si="129"/>
        <v>1155948.2816861868</v>
      </c>
      <c r="V276" s="4">
        <f t="shared" si="122"/>
        <v>18.653521586662027</v>
      </c>
      <c r="W276" s="4">
        <f t="shared" si="130"/>
        <v>1140212.7794657312</v>
      </c>
      <c r="X276" s="4">
        <f t="shared" si="134"/>
        <v>-1473.7499988996424</v>
      </c>
      <c r="Y276" s="9">
        <f>SUM($X$6:X276)</f>
        <v>140212.77946573123</v>
      </c>
      <c r="Z276" s="16">
        <f t="shared" si="135"/>
        <v>0.14021277946573124</v>
      </c>
      <c r="AA276" s="16">
        <f t="shared" si="131"/>
        <v>0.17309288522074137</v>
      </c>
      <c r="AB276" s="16">
        <f t="shared" si="132"/>
        <v>-1.2908534530846445E-3</v>
      </c>
      <c r="AC276" s="16">
        <f t="shared" si="133"/>
        <v>-2.563317265439916E-3</v>
      </c>
    </row>
    <row r="277" spans="1:29" x14ac:dyDescent="0.15">
      <c r="A277" s="8">
        <v>41306</v>
      </c>
      <c r="B277" s="4">
        <v>1513.17</v>
      </c>
      <c r="C277" s="1">
        <v>12.249599999999999</v>
      </c>
      <c r="D277" s="1">
        <v>2.2800000000000002</v>
      </c>
      <c r="E277" s="1">
        <v>0.2923</v>
      </c>
      <c r="F277" s="4">
        <f t="shared" si="123"/>
        <v>0.12249599999999999</v>
      </c>
      <c r="G277" s="4">
        <f t="shared" si="124"/>
        <v>2.2800000000000001E-2</v>
      </c>
      <c r="H277" s="4">
        <f t="shared" si="125"/>
        <v>2.9230000000000003E-3</v>
      </c>
      <c r="I277" s="3">
        <f t="shared" si="126"/>
        <v>40.656955069824726</v>
      </c>
      <c r="J277" s="4">
        <f t="shared" si="113"/>
        <v>1155948.2816861868</v>
      </c>
      <c r="K277" s="1">
        <f t="shared" si="114"/>
        <v>1466.47</v>
      </c>
      <c r="L277" s="5">
        <f t="shared" si="115"/>
        <v>0.17260273972602758</v>
      </c>
      <c r="M277" s="5">
        <f t="shared" si="116"/>
        <v>-0.28186561711066249</v>
      </c>
      <c r="N277" s="5">
        <f t="shared" si="117"/>
        <v>13.856854906155329</v>
      </c>
      <c r="O277" s="1">
        <f t="shared" si="118"/>
        <v>0</v>
      </c>
      <c r="P277" s="1">
        <f t="shared" si="119"/>
        <v>1466.47</v>
      </c>
      <c r="Q277" s="5">
        <f t="shared" si="120"/>
        <v>0.17260273972602758</v>
      </c>
      <c r="R277" s="5">
        <f t="shared" si="121"/>
        <v>-0.28186561711066249</v>
      </c>
      <c r="S277" s="5">
        <f t="shared" si="127"/>
        <v>13.856854906155329</v>
      </c>
      <c r="T277" s="5">
        <f t="shared" si="128"/>
        <v>-764.5851435890512</v>
      </c>
      <c r="U277" s="4">
        <f t="shared" si="129"/>
        <v>1155966.9352077735</v>
      </c>
      <c r="V277" s="4">
        <f t="shared" si="122"/>
        <v>18.653822598284343</v>
      </c>
      <c r="W277" s="4">
        <f t="shared" si="130"/>
        <v>1145372.1898096581</v>
      </c>
      <c r="X277" s="4">
        <f t="shared" si="134"/>
        <v>5159.4103439268656</v>
      </c>
      <c r="Y277" s="9">
        <f>SUM($X$6:X277)</f>
        <v>145372.1898096581</v>
      </c>
      <c r="Z277" s="16">
        <f t="shared" si="135"/>
        <v>0.1453721898096581</v>
      </c>
      <c r="AA277" s="16">
        <f t="shared" si="131"/>
        <v>0.18488559660470152</v>
      </c>
      <c r="AB277" s="16">
        <f t="shared" si="132"/>
        <v>4.5249539707355388E-3</v>
      </c>
      <c r="AC277" s="16">
        <f t="shared" si="133"/>
        <v>1.0052666359613228E-2</v>
      </c>
    </row>
    <row r="278" spans="1:29" x14ac:dyDescent="0.15">
      <c r="A278" s="8">
        <v>41309</v>
      </c>
      <c r="B278" s="4">
        <v>1495.71</v>
      </c>
      <c r="C278" s="1">
        <v>13.042299999999999</v>
      </c>
      <c r="D278" s="1">
        <v>2.2999999999999998</v>
      </c>
      <c r="E278" s="1">
        <v>0.2923</v>
      </c>
      <c r="F278" s="4">
        <f t="shared" si="123"/>
        <v>0.13042299999999998</v>
      </c>
      <c r="G278" s="4">
        <f t="shared" si="124"/>
        <v>2.3E-2</v>
      </c>
      <c r="H278" s="4">
        <f t="shared" si="125"/>
        <v>2.9230000000000003E-3</v>
      </c>
      <c r="I278" s="3">
        <f t="shared" si="126"/>
        <v>42.572012908310086</v>
      </c>
      <c r="J278" s="4">
        <f t="shared" si="113"/>
        <v>1155966.9352077735</v>
      </c>
      <c r="K278" s="1">
        <f t="shared" si="114"/>
        <v>1466.47</v>
      </c>
      <c r="L278" s="5">
        <f t="shared" si="115"/>
        <v>0.1643835616438358</v>
      </c>
      <c r="M278" s="5">
        <f t="shared" si="116"/>
        <v>-0.36652469232428714</v>
      </c>
      <c r="N278" s="5">
        <f t="shared" si="117"/>
        <v>20.518586445196561</v>
      </c>
      <c r="O278" s="1">
        <f t="shared" si="118"/>
        <v>0</v>
      </c>
      <c r="P278" s="1">
        <f t="shared" si="119"/>
        <v>1466.47</v>
      </c>
      <c r="Q278" s="5">
        <f t="shared" si="120"/>
        <v>0.1643835616438358</v>
      </c>
      <c r="R278" s="5">
        <f t="shared" si="121"/>
        <v>-0.36652469232428714</v>
      </c>
      <c r="S278" s="5">
        <f t="shared" si="127"/>
        <v>20.518586445196561</v>
      </c>
      <c r="T278" s="5">
        <f t="shared" si="128"/>
        <v>-764.5851435890512</v>
      </c>
      <c r="U278" s="4">
        <f t="shared" si="129"/>
        <v>1155985.5890303717</v>
      </c>
      <c r="V278" s="4">
        <f t="shared" si="122"/>
        <v>55.962370844292238</v>
      </c>
      <c r="W278" s="4">
        <f t="shared" si="130"/>
        <v>1140297.3826669268</v>
      </c>
      <c r="X278" s="4">
        <f t="shared" si="134"/>
        <v>-5074.807142731268</v>
      </c>
      <c r="Y278" s="9">
        <f>SUM($X$6:X278)</f>
        <v>140297.38266692683</v>
      </c>
      <c r="Z278" s="16">
        <f t="shared" si="135"/>
        <v>0.14029738266692682</v>
      </c>
      <c r="AA278" s="16">
        <f t="shared" si="131"/>
        <v>0.17121356866552873</v>
      </c>
      <c r="AB278" s="16">
        <f t="shared" si="132"/>
        <v>-4.430705746028823E-3</v>
      </c>
      <c r="AC278" s="16">
        <f t="shared" si="133"/>
        <v>-1.1538690299173282E-2</v>
      </c>
    </row>
    <row r="279" spans="1:29" x14ac:dyDescent="0.15">
      <c r="A279" s="8">
        <v>41310</v>
      </c>
      <c r="B279" s="4">
        <v>1511.29</v>
      </c>
      <c r="C279" s="1">
        <v>12.5107</v>
      </c>
      <c r="D279" s="1">
        <v>2.2800000000000002</v>
      </c>
      <c r="E279" s="1">
        <v>0.29220000000000002</v>
      </c>
      <c r="F279" s="4">
        <f t="shared" si="123"/>
        <v>0.125107</v>
      </c>
      <c r="G279" s="4">
        <f t="shared" si="124"/>
        <v>2.2800000000000001E-2</v>
      </c>
      <c r="H279" s="4">
        <f t="shared" si="125"/>
        <v>2.9220000000000001E-3</v>
      </c>
      <c r="I279" s="3">
        <f t="shared" si="126"/>
        <v>41.387273097862249</v>
      </c>
      <c r="J279" s="4">
        <f t="shared" si="113"/>
        <v>1155985.5890303717</v>
      </c>
      <c r="K279" s="1">
        <f t="shared" si="114"/>
        <v>1466.47</v>
      </c>
      <c r="L279" s="5">
        <f t="shared" si="115"/>
        <v>0.16164383561643855</v>
      </c>
      <c r="M279" s="5">
        <f t="shared" si="116"/>
        <v>-0.28675060219876236</v>
      </c>
      <c r="N279" s="5">
        <f t="shared" si="117"/>
        <v>13.995052271343646</v>
      </c>
      <c r="O279" s="1">
        <f t="shared" si="118"/>
        <v>0</v>
      </c>
      <c r="P279" s="1">
        <f t="shared" si="119"/>
        <v>1466.47</v>
      </c>
      <c r="Q279" s="5">
        <f t="shared" si="120"/>
        <v>0.16164383561643855</v>
      </c>
      <c r="R279" s="5">
        <f t="shared" si="121"/>
        <v>-0.28675060219876236</v>
      </c>
      <c r="S279" s="5">
        <f t="shared" si="127"/>
        <v>13.995052271343646</v>
      </c>
      <c r="T279" s="5">
        <f t="shared" si="128"/>
        <v>-764.5851435890512</v>
      </c>
      <c r="U279" s="4">
        <f t="shared" si="129"/>
        <v>1156041.5514012161</v>
      </c>
      <c r="V279" s="4">
        <f t="shared" si="122"/>
        <v>18.655026678775787</v>
      </c>
      <c r="W279" s="4">
        <f t="shared" si="130"/>
        <v>1145341.1423507945</v>
      </c>
      <c r="X279" s="4">
        <f t="shared" si="134"/>
        <v>5043.7596838676836</v>
      </c>
      <c r="Y279" s="9">
        <f>SUM($X$6:X279)</f>
        <v>145341.14235079451</v>
      </c>
      <c r="Z279" s="16">
        <f t="shared" si="135"/>
        <v>0.14534114235079451</v>
      </c>
      <c r="AA279" s="16">
        <f t="shared" si="131"/>
        <v>0.18341346530311811</v>
      </c>
      <c r="AB279" s="16">
        <f t="shared" si="132"/>
        <v>4.4231967559824979E-3</v>
      </c>
      <c r="AC279" s="16">
        <f t="shared" si="133"/>
        <v>1.0416457735790981E-2</v>
      </c>
    </row>
    <row r="280" spans="1:29" x14ac:dyDescent="0.15">
      <c r="A280" s="8">
        <v>41311</v>
      </c>
      <c r="B280" s="4">
        <v>1512.12</v>
      </c>
      <c r="C280" s="1">
        <v>12.78</v>
      </c>
      <c r="D280" s="1">
        <v>2.2800000000000002</v>
      </c>
      <c r="E280" s="1">
        <v>0.28970000000000001</v>
      </c>
      <c r="F280" s="4">
        <f t="shared" si="123"/>
        <v>0.1278</v>
      </c>
      <c r="G280" s="4">
        <f t="shared" si="124"/>
        <v>2.2800000000000001E-2</v>
      </c>
      <c r="H280" s="4">
        <f t="shared" si="125"/>
        <v>2.8970000000000003E-3</v>
      </c>
      <c r="I280" s="3">
        <f t="shared" si="126"/>
        <v>42.220798295370315</v>
      </c>
      <c r="J280" s="4">
        <f t="shared" si="113"/>
        <v>1156041.5514012161</v>
      </c>
      <c r="K280" s="1">
        <f t="shared" si="114"/>
        <v>1466.47</v>
      </c>
      <c r="L280" s="5">
        <f t="shared" si="115"/>
        <v>0.1589041095890413</v>
      </c>
      <c r="M280" s="5">
        <f t="shared" si="116"/>
        <v>-0.28496399588876226</v>
      </c>
      <c r="N280" s="5">
        <f t="shared" si="117"/>
        <v>14.067225048861514</v>
      </c>
      <c r="O280" s="1">
        <f t="shared" si="118"/>
        <v>0</v>
      </c>
      <c r="P280" s="1">
        <f t="shared" si="119"/>
        <v>1466.47</v>
      </c>
      <c r="Q280" s="5">
        <f t="shared" si="120"/>
        <v>0.1589041095890413</v>
      </c>
      <c r="R280" s="5">
        <f t="shared" si="121"/>
        <v>-0.28496399588876226</v>
      </c>
      <c r="S280" s="5">
        <f t="shared" si="127"/>
        <v>14.067225048861514</v>
      </c>
      <c r="T280" s="5">
        <f t="shared" si="128"/>
        <v>-764.5851435890512</v>
      </c>
      <c r="U280" s="4">
        <f t="shared" si="129"/>
        <v>1156060.2064278948</v>
      </c>
      <c r="V280" s="4">
        <f t="shared" si="122"/>
        <v>18.655327714685754</v>
      </c>
      <c r="W280" s="4">
        <f t="shared" si="130"/>
        <v>1145304.6151440116</v>
      </c>
      <c r="X280" s="4">
        <f t="shared" si="134"/>
        <v>-36.527206782950088</v>
      </c>
      <c r="Y280" s="9">
        <f>SUM($X$6:X280)</f>
        <v>145304.61514401156</v>
      </c>
      <c r="Z280" s="16">
        <f t="shared" si="135"/>
        <v>0.14530461514401155</v>
      </c>
      <c r="AA280" s="16">
        <f t="shared" si="131"/>
        <v>0.1840633956117958</v>
      </c>
      <c r="AB280" s="16">
        <f t="shared" si="132"/>
        <v>-3.1891988711746247E-5</v>
      </c>
      <c r="AC280" s="16">
        <f t="shared" si="133"/>
        <v>5.4919969033072889E-4</v>
      </c>
    </row>
    <row r="281" spans="1:29" x14ac:dyDescent="0.15">
      <c r="A281" s="8">
        <v>41312</v>
      </c>
      <c r="B281" s="4">
        <v>1509.39</v>
      </c>
      <c r="C281" s="1">
        <v>12.8607</v>
      </c>
      <c r="D281" s="1">
        <v>2.2800000000000002</v>
      </c>
      <c r="E281" s="1">
        <v>0.2888</v>
      </c>
      <c r="F281" s="4">
        <f t="shared" si="123"/>
        <v>0.128607</v>
      </c>
      <c r="G281" s="4">
        <f t="shared" si="124"/>
        <v>2.2800000000000001E-2</v>
      </c>
      <c r="H281" s="4">
        <f t="shared" si="125"/>
        <v>2.8879999999999999E-3</v>
      </c>
      <c r="I281" s="3">
        <f t="shared" si="126"/>
        <v>42.387425184676097</v>
      </c>
      <c r="J281" s="4">
        <f t="shared" si="113"/>
        <v>1156060.2064278948</v>
      </c>
      <c r="K281" s="1">
        <f t="shared" si="114"/>
        <v>1466.47</v>
      </c>
      <c r="L281" s="5">
        <f t="shared" si="115"/>
        <v>0.15616438356164405</v>
      </c>
      <c r="M281" s="5">
        <f t="shared" si="116"/>
        <v>-0.29636168048122935</v>
      </c>
      <c r="N281" s="5">
        <f t="shared" si="117"/>
        <v>14.774353890985784</v>
      </c>
      <c r="O281" s="1">
        <f t="shared" si="118"/>
        <v>0</v>
      </c>
      <c r="P281" s="1">
        <f t="shared" si="119"/>
        <v>1466.47</v>
      </c>
      <c r="Q281" s="5">
        <f t="shared" si="120"/>
        <v>0.15616438356164405</v>
      </c>
      <c r="R281" s="5">
        <f t="shared" si="121"/>
        <v>-0.29636168048122935</v>
      </c>
      <c r="S281" s="5">
        <f t="shared" si="127"/>
        <v>14.774353890985784</v>
      </c>
      <c r="T281" s="5">
        <f t="shared" si="128"/>
        <v>-764.5851435890512</v>
      </c>
      <c r="U281" s="4">
        <f t="shared" si="129"/>
        <v>1156078.8617556095</v>
      </c>
      <c r="V281" s="4">
        <f t="shared" si="122"/>
        <v>18.655628755453531</v>
      </c>
      <c r="W281" s="4">
        <f t="shared" si="130"/>
        <v>1144782.6102644347</v>
      </c>
      <c r="X281" s="4">
        <f t="shared" si="134"/>
        <v>-522.00487957685255</v>
      </c>
      <c r="Y281" s="9">
        <f>SUM($X$6:X281)</f>
        <v>144782.61026443471</v>
      </c>
      <c r="Z281" s="16">
        <f t="shared" si="135"/>
        <v>0.1447826102644347</v>
      </c>
      <c r="AA281" s="16">
        <f t="shared" si="131"/>
        <v>0.18192567303024146</v>
      </c>
      <c r="AB281" s="16">
        <f t="shared" si="132"/>
        <v>-4.5577820317367287E-4</v>
      </c>
      <c r="AC281" s="16">
        <f t="shared" si="133"/>
        <v>-1.805412268867412E-3</v>
      </c>
    </row>
    <row r="282" spans="1:29" x14ac:dyDescent="0.15">
      <c r="A282" s="8">
        <v>41313</v>
      </c>
      <c r="B282" s="4">
        <v>1517.93</v>
      </c>
      <c r="C282" s="1">
        <v>12.4024</v>
      </c>
      <c r="D282" s="1">
        <v>2.27</v>
      </c>
      <c r="E282" s="1">
        <v>0.2888</v>
      </c>
      <c r="F282" s="4">
        <f t="shared" si="123"/>
        <v>0.124024</v>
      </c>
      <c r="G282" s="4">
        <f t="shared" si="124"/>
        <v>2.2700000000000001E-2</v>
      </c>
      <c r="H282" s="4">
        <f t="shared" si="125"/>
        <v>2.8879999999999999E-3</v>
      </c>
      <c r="I282" s="3">
        <f t="shared" si="126"/>
        <v>41.231334532454952</v>
      </c>
      <c r="J282" s="4">
        <f t="shared" si="113"/>
        <v>1156078.8617556095</v>
      </c>
      <c r="K282" s="1">
        <f t="shared" si="114"/>
        <v>1466.47</v>
      </c>
      <c r="L282" s="5">
        <f t="shared" si="115"/>
        <v>0.15342465753424681</v>
      </c>
      <c r="M282" s="5">
        <f t="shared" si="116"/>
        <v>-0.2500224258379532</v>
      </c>
      <c r="N282" s="5">
        <f t="shared" si="117"/>
        <v>11.286223972035426</v>
      </c>
      <c r="O282" s="1">
        <f t="shared" si="118"/>
        <v>0</v>
      </c>
      <c r="P282" s="1">
        <f t="shared" si="119"/>
        <v>1466.47</v>
      </c>
      <c r="Q282" s="5">
        <f t="shared" si="120"/>
        <v>0.15342465753424681</v>
      </c>
      <c r="R282" s="5">
        <f t="shared" si="121"/>
        <v>-0.2500224258379532</v>
      </c>
      <c r="S282" s="5">
        <f t="shared" si="127"/>
        <v>11.286223972035426</v>
      </c>
      <c r="T282" s="5">
        <f t="shared" si="128"/>
        <v>-764.5851435890512</v>
      </c>
      <c r="U282" s="4">
        <f t="shared" si="129"/>
        <v>1156097.517384365</v>
      </c>
      <c r="V282" s="4">
        <f t="shared" si="122"/>
        <v>18.6559298010792</v>
      </c>
      <c r="W282" s="4">
        <f t="shared" si="130"/>
        <v>1147468.2382081281</v>
      </c>
      <c r="X282" s="4">
        <f t="shared" si="134"/>
        <v>2685.6279436934274</v>
      </c>
      <c r="Y282" s="9">
        <f>SUM($X$6:X282)</f>
        <v>147468.23820812814</v>
      </c>
      <c r="Z282" s="16">
        <f t="shared" si="135"/>
        <v>0.14746823820812813</v>
      </c>
      <c r="AA282" s="16">
        <f t="shared" si="131"/>
        <v>0.18861290777254017</v>
      </c>
      <c r="AB282" s="16">
        <f t="shared" si="132"/>
        <v>2.3459719946943209E-3</v>
      </c>
      <c r="AC282" s="16">
        <f t="shared" si="133"/>
        <v>5.6579147867681402E-3</v>
      </c>
    </row>
    <row r="283" spans="1:29" x14ac:dyDescent="0.15">
      <c r="A283" s="8">
        <v>41316</v>
      </c>
      <c r="B283" s="4">
        <v>1517.01</v>
      </c>
      <c r="C283" s="1">
        <v>12.354900000000001</v>
      </c>
      <c r="D283" s="1">
        <v>2.27</v>
      </c>
      <c r="E283" s="1">
        <v>0.2898</v>
      </c>
      <c r="F283" s="4">
        <f t="shared" si="123"/>
        <v>0.12354900000000001</v>
      </c>
      <c r="G283" s="4">
        <f t="shared" si="124"/>
        <v>2.2700000000000001E-2</v>
      </c>
      <c r="H283" s="4">
        <f t="shared" si="125"/>
        <v>2.898E-3</v>
      </c>
      <c r="I283" s="3">
        <f t="shared" si="126"/>
        <v>41.061731668599698</v>
      </c>
      <c r="J283" s="4">
        <f t="shared" si="113"/>
        <v>1156097.517384365</v>
      </c>
      <c r="K283" s="1">
        <f t="shared" si="114"/>
        <v>1466.47</v>
      </c>
      <c r="L283" s="5">
        <f t="shared" si="115"/>
        <v>0.14520547945205503</v>
      </c>
      <c r="M283" s="5">
        <f t="shared" si="116"/>
        <v>-0.24675189870928391</v>
      </c>
      <c r="N283" s="5">
        <f t="shared" si="117"/>
        <v>10.733280018995044</v>
      </c>
      <c r="O283" s="1">
        <f t="shared" si="118"/>
        <v>0</v>
      </c>
      <c r="P283" s="1">
        <f t="shared" si="119"/>
        <v>1466.47</v>
      </c>
      <c r="Q283" s="5">
        <f t="shared" si="120"/>
        <v>0.14520547945205503</v>
      </c>
      <c r="R283" s="5">
        <f t="shared" si="121"/>
        <v>-0.24675189870928391</v>
      </c>
      <c r="S283" s="5">
        <f t="shared" si="127"/>
        <v>10.733280018995044</v>
      </c>
      <c r="T283" s="5">
        <f t="shared" si="128"/>
        <v>-764.5851435890512</v>
      </c>
      <c r="U283" s="4">
        <f t="shared" si="129"/>
        <v>1156116.173314166</v>
      </c>
      <c r="V283" s="4">
        <f t="shared" si="122"/>
        <v>55.968692554688531</v>
      </c>
      <c r="W283" s="4">
        <f t="shared" si="130"/>
        <v>1147909.6668696613</v>
      </c>
      <c r="X283" s="4">
        <f t="shared" si="134"/>
        <v>441.42866153316572</v>
      </c>
      <c r="Y283" s="9">
        <f>SUM($X$6:X283)</f>
        <v>147909.66686966131</v>
      </c>
      <c r="Z283" s="16">
        <f t="shared" si="135"/>
        <v>0.14790966686966131</v>
      </c>
      <c r="AA283" s="16">
        <f t="shared" si="131"/>
        <v>0.18789250309304187</v>
      </c>
      <c r="AB283" s="16">
        <f t="shared" si="132"/>
        <v>3.8469793484000492E-4</v>
      </c>
      <c r="AC283" s="16">
        <f t="shared" si="133"/>
        <v>-6.0608855480824065E-4</v>
      </c>
    </row>
    <row r="284" spans="1:29" x14ac:dyDescent="0.15">
      <c r="A284" s="8">
        <v>41317</v>
      </c>
      <c r="B284" s="4">
        <v>1519.43</v>
      </c>
      <c r="C284" s="1">
        <v>12.2232</v>
      </c>
      <c r="D284" s="1">
        <v>2.2599999999999998</v>
      </c>
      <c r="E284" s="1">
        <v>0.28889999999999999</v>
      </c>
      <c r="F284" s="4">
        <f t="shared" si="123"/>
        <v>0.12223200000000001</v>
      </c>
      <c r="G284" s="4">
        <f t="shared" si="124"/>
        <v>2.2599999999999999E-2</v>
      </c>
      <c r="H284" s="4">
        <f t="shared" si="125"/>
        <v>2.8890000000000001E-3</v>
      </c>
      <c r="I284" s="3">
        <f t="shared" si="126"/>
        <v>40.713629276166607</v>
      </c>
      <c r="J284" s="4">
        <f t="shared" ref="J284:J347" si="136">U283</f>
        <v>1156116.173314166</v>
      </c>
      <c r="K284" s="1">
        <f t="shared" ref="K284:K347" si="137">P283</f>
        <v>1466.47</v>
      </c>
      <c r="L284" s="5">
        <f t="shared" ref="L284:L347" si="138">Q283-(A284-A283)/365</f>
        <v>0.14246575342465778</v>
      </c>
      <c r="M284" s="5">
        <f t="shared" ref="M284:M347" si="139">BSM_Put(B284,K284,F284,H284,G284,L284,$G$3)</f>
        <v>-0.23159106496615134</v>
      </c>
      <c r="N284" s="5">
        <f t="shared" ref="N284:N347" si="140">BSM_Put(B284,K284,F284,H284,G284,L284,$F$3)</f>
        <v>9.6864516184476752</v>
      </c>
      <c r="O284" s="1">
        <f t="shared" ref="O284:O347" si="141">IF(OR(M284&gt;-0.05,L284&lt;=0.00001),1,0)</f>
        <v>0</v>
      </c>
      <c r="P284" s="1">
        <f t="shared" ref="P284:P347" si="142">IF(O284,B284,K284)</f>
        <v>1466.47</v>
      </c>
      <c r="Q284" s="5">
        <f t="shared" ref="Q284:Q347" si="143">IF(O284,$B$3,L284)</f>
        <v>0.14246575342465778</v>
      </c>
      <c r="R284" s="5">
        <f t="shared" ref="R284:R347" si="144">IF(O284,BSM_Put(B284,P284,F284,H284,G284,Q284,$G$3),M284)</f>
        <v>-0.23159106496615134</v>
      </c>
      <c r="S284" s="5">
        <f t="shared" si="127"/>
        <v>9.6864516184476752</v>
      </c>
      <c r="T284" s="5">
        <f t="shared" si="128"/>
        <v>-764.5851435890512</v>
      </c>
      <c r="U284" s="4">
        <f t="shared" si="129"/>
        <v>1156172.1420067206</v>
      </c>
      <c r="V284" s="4">
        <f t="shared" ref="V284:V347" si="145">U284*$H$6*(A284-A283)/365</f>
        <v>18.6571340175879</v>
      </c>
      <c r="W284" s="4">
        <f t="shared" si="130"/>
        <v>1148766.0250051615</v>
      </c>
      <c r="X284" s="4">
        <f t="shared" si="134"/>
        <v>856.35813550022431</v>
      </c>
      <c r="Y284" s="9">
        <f>SUM($X$6:X284)</f>
        <v>148766.02500516153</v>
      </c>
      <c r="Z284" s="16">
        <f t="shared" si="135"/>
        <v>0.14876602500516153</v>
      </c>
      <c r="AA284" s="16">
        <f t="shared" si="131"/>
        <v>0.18978748061954812</v>
      </c>
      <c r="AB284" s="16">
        <f t="shared" si="132"/>
        <v>7.4601526602307026E-4</v>
      </c>
      <c r="AC284" s="16">
        <f t="shared" si="133"/>
        <v>1.5952432745994245E-3</v>
      </c>
    </row>
    <row r="285" spans="1:29" x14ac:dyDescent="0.15">
      <c r="A285" s="8">
        <v>41318</v>
      </c>
      <c r="B285" s="4">
        <v>1520.33</v>
      </c>
      <c r="C285" s="1">
        <v>12.363200000000001</v>
      </c>
      <c r="D285" s="1">
        <v>2.2599999999999998</v>
      </c>
      <c r="E285" s="1">
        <v>0.28689999999999999</v>
      </c>
      <c r="F285" s="4">
        <f t="shared" si="123"/>
        <v>0.12363200000000001</v>
      </c>
      <c r="G285" s="4">
        <f t="shared" si="124"/>
        <v>2.2599999999999999E-2</v>
      </c>
      <c r="H285" s="4">
        <f t="shared" si="125"/>
        <v>2.869E-3</v>
      </c>
      <c r="I285" s="3">
        <f t="shared" si="126"/>
        <v>41.162955055115425</v>
      </c>
      <c r="J285" s="4">
        <f t="shared" si="136"/>
        <v>1156172.1420067206</v>
      </c>
      <c r="K285" s="1">
        <f t="shared" si="137"/>
        <v>1466.47</v>
      </c>
      <c r="L285" s="5">
        <f t="shared" si="138"/>
        <v>0.13972602739726053</v>
      </c>
      <c r="M285" s="5">
        <f t="shared" si="139"/>
        <v>-0.2277357685979918</v>
      </c>
      <c r="N285" s="5">
        <f t="shared" si="140"/>
        <v>9.4976965641086064</v>
      </c>
      <c r="O285" s="1">
        <f t="shared" si="141"/>
        <v>0</v>
      </c>
      <c r="P285" s="1">
        <f t="shared" si="142"/>
        <v>1466.47</v>
      </c>
      <c r="Q285" s="5">
        <f t="shared" si="143"/>
        <v>0.13972602739726053</v>
      </c>
      <c r="R285" s="5">
        <f t="shared" si="144"/>
        <v>-0.2277357685979918</v>
      </c>
      <c r="S285" s="5">
        <f t="shared" si="127"/>
        <v>9.4976965641086064</v>
      </c>
      <c r="T285" s="5">
        <f t="shared" si="128"/>
        <v>-764.5851435890512</v>
      </c>
      <c r="U285" s="4">
        <f t="shared" si="129"/>
        <v>1156190.7991407383</v>
      </c>
      <c r="V285" s="4">
        <f t="shared" si="145"/>
        <v>18.65743508750397</v>
      </c>
      <c r="W285" s="4">
        <f t="shared" si="130"/>
        <v>1148929.0014495042</v>
      </c>
      <c r="X285" s="4">
        <f t="shared" si="134"/>
        <v>162.9764443426393</v>
      </c>
      <c r="Y285" s="9">
        <f>SUM($X$6:X285)</f>
        <v>148929.00144950417</v>
      </c>
      <c r="Z285" s="16">
        <f t="shared" si="135"/>
        <v>0.14892900144950416</v>
      </c>
      <c r="AA285" s="16">
        <f t="shared" si="131"/>
        <v>0.19049222432775281</v>
      </c>
      <c r="AB285" s="16">
        <f t="shared" si="132"/>
        <v>1.4187087778985021E-4</v>
      </c>
      <c r="AC285" s="16">
        <f t="shared" si="133"/>
        <v>5.9232738592752781E-4</v>
      </c>
    </row>
    <row r="286" spans="1:29" x14ac:dyDescent="0.15">
      <c r="A286" s="8">
        <v>41319</v>
      </c>
      <c r="B286" s="4">
        <v>1521.38</v>
      </c>
      <c r="C286" s="1">
        <v>12.0641</v>
      </c>
      <c r="D286" s="1">
        <v>2.2599999999999998</v>
      </c>
      <c r="E286" s="1">
        <v>0.28689999999999999</v>
      </c>
      <c r="F286" s="4">
        <f t="shared" si="123"/>
        <v>0.120641</v>
      </c>
      <c r="G286" s="4">
        <f t="shared" si="124"/>
        <v>2.2599999999999999E-2</v>
      </c>
      <c r="H286" s="4">
        <f t="shared" si="125"/>
        <v>2.869E-3</v>
      </c>
      <c r="I286" s="3">
        <f t="shared" si="126"/>
        <v>40.291172256926565</v>
      </c>
      <c r="J286" s="4">
        <f t="shared" si="136"/>
        <v>1156190.7991407383</v>
      </c>
      <c r="K286" s="1">
        <f t="shared" si="137"/>
        <v>1466.47</v>
      </c>
      <c r="L286" s="5">
        <f t="shared" si="138"/>
        <v>0.13698630136986328</v>
      </c>
      <c r="M286" s="5">
        <f t="shared" si="139"/>
        <v>-0.21554247564887838</v>
      </c>
      <c r="N286" s="5">
        <f t="shared" si="140"/>
        <v>8.5411665819900744</v>
      </c>
      <c r="O286" s="1">
        <f t="shared" si="141"/>
        <v>0</v>
      </c>
      <c r="P286" s="1">
        <f t="shared" si="142"/>
        <v>1466.47</v>
      </c>
      <c r="Q286" s="5">
        <f t="shared" si="143"/>
        <v>0.13698630136986328</v>
      </c>
      <c r="R286" s="5">
        <f t="shared" si="144"/>
        <v>-0.21554247564887838</v>
      </c>
      <c r="S286" s="5">
        <f t="shared" si="127"/>
        <v>8.5411665819900744</v>
      </c>
      <c r="T286" s="5">
        <f t="shared" si="128"/>
        <v>-764.5851435890512</v>
      </c>
      <c r="U286" s="4">
        <f t="shared" si="129"/>
        <v>1156209.4565758258</v>
      </c>
      <c r="V286" s="4">
        <f t="shared" si="145"/>
        <v>18.657736162278393</v>
      </c>
      <c r="W286" s="4">
        <f t="shared" si="130"/>
        <v>1149679.0074983169</v>
      </c>
      <c r="X286" s="4">
        <f t="shared" si="134"/>
        <v>750.00604881276377</v>
      </c>
      <c r="Y286" s="9">
        <f>SUM($X$6:X286)</f>
        <v>149679.00749831693</v>
      </c>
      <c r="Z286" s="16">
        <f t="shared" si="135"/>
        <v>0.14967900749831695</v>
      </c>
      <c r="AA286" s="16">
        <f t="shared" si="131"/>
        <v>0.19131442532065851</v>
      </c>
      <c r="AB286" s="16">
        <f t="shared" si="132"/>
        <v>6.5278711553677041E-4</v>
      </c>
      <c r="AC286" s="16">
        <f t="shared" si="133"/>
        <v>6.9063953220694317E-4</v>
      </c>
    </row>
    <row r="287" spans="1:29" x14ac:dyDescent="0.15">
      <c r="A287" s="8">
        <v>41320</v>
      </c>
      <c r="B287" s="4">
        <v>1519.79</v>
      </c>
      <c r="C287" s="1">
        <v>12.0982</v>
      </c>
      <c r="D287" s="1">
        <v>2.2599999999999998</v>
      </c>
      <c r="E287" s="1">
        <v>0.28689999999999999</v>
      </c>
      <c r="F287" s="4">
        <f t="shared" si="123"/>
        <v>0.12098200000000001</v>
      </c>
      <c r="G287" s="4">
        <f t="shared" si="124"/>
        <v>2.2599999999999999E-2</v>
      </c>
      <c r="H287" s="4">
        <f t="shared" si="125"/>
        <v>2.869E-3</v>
      </c>
      <c r="I287" s="3">
        <f t="shared" si="126"/>
        <v>40.351582206475754</v>
      </c>
      <c r="J287" s="4">
        <f t="shared" si="136"/>
        <v>1156209.4565758258</v>
      </c>
      <c r="K287" s="1">
        <f t="shared" si="137"/>
        <v>1466.47</v>
      </c>
      <c r="L287" s="5">
        <f t="shared" si="138"/>
        <v>0.13424657534246603</v>
      </c>
      <c r="M287" s="5">
        <f t="shared" si="139"/>
        <v>-0.22054527782557762</v>
      </c>
      <c r="N287" s="5">
        <f t="shared" si="140"/>
        <v>8.7251267661636422</v>
      </c>
      <c r="O287" s="1">
        <f t="shared" si="141"/>
        <v>0</v>
      </c>
      <c r="P287" s="1">
        <f t="shared" si="142"/>
        <v>1466.47</v>
      </c>
      <c r="Q287" s="5">
        <f t="shared" si="143"/>
        <v>0.13424657534246603</v>
      </c>
      <c r="R287" s="5">
        <f t="shared" si="144"/>
        <v>-0.22054527782557762</v>
      </c>
      <c r="S287" s="5">
        <f t="shared" si="127"/>
        <v>8.7251267661636422</v>
      </c>
      <c r="T287" s="5">
        <f t="shared" si="128"/>
        <v>-764.5851435890512</v>
      </c>
      <c r="U287" s="4">
        <f t="shared" si="129"/>
        <v>1156228.114311988</v>
      </c>
      <c r="V287" s="4">
        <f t="shared" si="145"/>
        <v>18.658037241911256</v>
      </c>
      <c r="W287" s="4">
        <f t="shared" si="130"/>
        <v>1149557.0120106481</v>
      </c>
      <c r="X287" s="4">
        <f t="shared" si="134"/>
        <v>-121.99548766878434</v>
      </c>
      <c r="Y287" s="9">
        <f>SUM($X$6:X287)</f>
        <v>149557.01201064815</v>
      </c>
      <c r="Z287" s="16">
        <f t="shared" si="135"/>
        <v>0.14955701201064814</v>
      </c>
      <c r="AA287" s="16">
        <f t="shared" si="131"/>
        <v>0.19006937810282995</v>
      </c>
      <c r="AB287" s="16">
        <f t="shared" si="132"/>
        <v>-1.0611265133408373E-4</v>
      </c>
      <c r="AC287" s="16">
        <f t="shared" si="133"/>
        <v>-1.0451037873510532E-3</v>
      </c>
    </row>
    <row r="288" spans="1:29" x14ac:dyDescent="0.15">
      <c r="A288" s="8">
        <v>41324</v>
      </c>
      <c r="B288" s="4">
        <v>1530.94</v>
      </c>
      <c r="C288" s="1">
        <v>11.717700000000001</v>
      </c>
      <c r="D288" s="1">
        <v>2.2400000000000002</v>
      </c>
      <c r="E288" s="1">
        <v>0.28589999999999999</v>
      </c>
      <c r="F288" s="4">
        <f t="shared" si="123"/>
        <v>0.117177</v>
      </c>
      <c r="G288" s="4">
        <f t="shared" si="124"/>
        <v>2.2400000000000003E-2</v>
      </c>
      <c r="H288" s="4">
        <f t="shared" si="125"/>
        <v>2.859E-3</v>
      </c>
      <c r="I288" s="3">
        <f t="shared" si="126"/>
        <v>39.457868201607468</v>
      </c>
      <c r="J288" s="4">
        <f t="shared" si="136"/>
        <v>1156228.114311988</v>
      </c>
      <c r="K288" s="1">
        <f t="shared" si="137"/>
        <v>1466.47</v>
      </c>
      <c r="L288" s="5">
        <f t="shared" si="138"/>
        <v>0.123287671232877</v>
      </c>
      <c r="M288" s="5">
        <f t="shared" si="139"/>
        <v>-0.15636327915301912</v>
      </c>
      <c r="N288" s="5">
        <f t="shared" si="140"/>
        <v>5.2543165674209611</v>
      </c>
      <c r="O288" s="1">
        <f t="shared" si="141"/>
        <v>0</v>
      </c>
      <c r="P288" s="1">
        <f t="shared" si="142"/>
        <v>1466.47</v>
      </c>
      <c r="Q288" s="5">
        <f t="shared" si="143"/>
        <v>0.123287671232877</v>
      </c>
      <c r="R288" s="5">
        <f t="shared" si="144"/>
        <v>-0.15636327915301912</v>
      </c>
      <c r="S288" s="5">
        <f t="shared" si="127"/>
        <v>5.2543165674209611</v>
      </c>
      <c r="T288" s="5">
        <f t="shared" si="128"/>
        <v>-764.5851435890512</v>
      </c>
      <c r="U288" s="4">
        <f t="shared" si="129"/>
        <v>1156246.77234923</v>
      </c>
      <c r="V288" s="4">
        <f t="shared" si="145"/>
        <v>74.633353305610569</v>
      </c>
      <c r="W288" s="4">
        <f t="shared" si="130"/>
        <v>1152229.3999620662</v>
      </c>
      <c r="X288" s="4">
        <f t="shared" si="134"/>
        <v>2672.3879514180589</v>
      </c>
      <c r="Y288" s="9">
        <f>SUM($X$6:X288)</f>
        <v>152229.39996206621</v>
      </c>
      <c r="Z288" s="16">
        <f t="shared" si="135"/>
        <v>0.15222939996206622</v>
      </c>
      <c r="AA288" s="16">
        <f t="shared" si="131"/>
        <v>0.19880036959892261</v>
      </c>
      <c r="AB288" s="16">
        <f t="shared" si="132"/>
        <v>2.3247111047966927E-3</v>
      </c>
      <c r="AC288" s="16">
        <f t="shared" si="133"/>
        <v>7.3365399166990773E-3</v>
      </c>
    </row>
    <row r="289" spans="1:29" x14ac:dyDescent="0.15">
      <c r="A289" s="8">
        <v>41325</v>
      </c>
      <c r="B289" s="4">
        <v>1511.95</v>
      </c>
      <c r="C289" s="1">
        <v>12.8246</v>
      </c>
      <c r="D289" s="1">
        <v>2.27</v>
      </c>
      <c r="E289" s="1">
        <v>0.28589999999999999</v>
      </c>
      <c r="F289" s="4">
        <f t="shared" si="123"/>
        <v>0.128246</v>
      </c>
      <c r="G289" s="4">
        <f t="shared" si="124"/>
        <v>2.2700000000000001E-2</v>
      </c>
      <c r="H289" s="4">
        <f t="shared" si="125"/>
        <v>2.859E-3</v>
      </c>
      <c r="I289" s="3">
        <f t="shared" si="126"/>
        <v>42.337837413870062</v>
      </c>
      <c r="J289" s="4">
        <f t="shared" si="136"/>
        <v>1156246.77234923</v>
      </c>
      <c r="K289" s="1">
        <f t="shared" si="137"/>
        <v>1466.47</v>
      </c>
      <c r="L289" s="5">
        <f t="shared" si="138"/>
        <v>0.12054794520547973</v>
      </c>
      <c r="M289" s="5">
        <f t="shared" si="139"/>
        <v>-0.25570394371212568</v>
      </c>
      <c r="N289" s="5">
        <f t="shared" si="140"/>
        <v>10.591391917787536</v>
      </c>
      <c r="O289" s="1">
        <f t="shared" si="141"/>
        <v>0</v>
      </c>
      <c r="P289" s="1">
        <f t="shared" si="142"/>
        <v>1466.47</v>
      </c>
      <c r="Q289" s="5">
        <f t="shared" si="143"/>
        <v>0.12054794520547973</v>
      </c>
      <c r="R289" s="5">
        <f t="shared" si="144"/>
        <v>-0.25570394371212568</v>
      </c>
      <c r="S289" s="5">
        <f t="shared" si="127"/>
        <v>10.591391917787536</v>
      </c>
      <c r="T289" s="5">
        <f t="shared" si="128"/>
        <v>-764.5851435890512</v>
      </c>
      <c r="U289" s="4">
        <f t="shared" si="129"/>
        <v>1156321.4057025355</v>
      </c>
      <c r="V289" s="4">
        <f t="shared" si="145"/>
        <v>18.659542683802556</v>
      </c>
      <c r="W289" s="4">
        <f t="shared" si="130"/>
        <v>1148223.3847922659</v>
      </c>
      <c r="X289" s="4">
        <f t="shared" si="134"/>
        <v>-4006.0151698002592</v>
      </c>
      <c r="Y289" s="9">
        <f>SUM($X$6:X289)</f>
        <v>148223.38479226595</v>
      </c>
      <c r="Z289" s="16">
        <f t="shared" si="135"/>
        <v>0.14822338479226596</v>
      </c>
      <c r="AA289" s="16">
        <f t="shared" si="131"/>
        <v>0.1839302773558017</v>
      </c>
      <c r="AB289" s="16">
        <f t="shared" si="132"/>
        <v>-3.4767513916344659E-3</v>
      </c>
      <c r="AC289" s="16">
        <f t="shared" si="133"/>
        <v>-1.2404143859328261E-2</v>
      </c>
    </row>
    <row r="290" spans="1:29" x14ac:dyDescent="0.15">
      <c r="A290" s="8">
        <v>41326</v>
      </c>
      <c r="B290" s="4">
        <v>1502.42</v>
      </c>
      <c r="C290" s="1">
        <v>13.2614</v>
      </c>
      <c r="D290" s="1">
        <v>2.29</v>
      </c>
      <c r="E290" s="1">
        <v>0.28499999999999998</v>
      </c>
      <c r="F290" s="4">
        <f t="shared" si="123"/>
        <v>0.13261400000000001</v>
      </c>
      <c r="G290" s="4">
        <f t="shared" si="124"/>
        <v>2.29E-2</v>
      </c>
      <c r="H290" s="4">
        <f t="shared" si="125"/>
        <v>2.8499999999999997E-3</v>
      </c>
      <c r="I290" s="3">
        <f t="shared" si="126"/>
        <v>43.409946535713303</v>
      </c>
      <c r="J290" s="4">
        <f t="shared" si="136"/>
        <v>1156321.4057025355</v>
      </c>
      <c r="K290" s="1">
        <f t="shared" si="137"/>
        <v>1466.47</v>
      </c>
      <c r="L290" s="5">
        <f t="shared" si="138"/>
        <v>0.11780821917808247</v>
      </c>
      <c r="M290" s="5">
        <f t="shared" si="139"/>
        <v>-0.30667211822611645</v>
      </c>
      <c r="N290" s="5">
        <f t="shared" si="140"/>
        <v>13.758722179371581</v>
      </c>
      <c r="O290" s="1">
        <f t="shared" si="141"/>
        <v>0</v>
      </c>
      <c r="P290" s="1">
        <f t="shared" si="142"/>
        <v>1466.47</v>
      </c>
      <c r="Q290" s="5">
        <f t="shared" si="143"/>
        <v>0.11780821917808247</v>
      </c>
      <c r="R290" s="5">
        <f t="shared" si="144"/>
        <v>-0.30667211822611645</v>
      </c>
      <c r="S290" s="5">
        <f t="shared" si="127"/>
        <v>13.758722179371581</v>
      </c>
      <c r="T290" s="5">
        <f t="shared" si="128"/>
        <v>-764.5851435890512</v>
      </c>
      <c r="U290" s="4">
        <f t="shared" si="129"/>
        <v>1156340.0652452193</v>
      </c>
      <c r="V290" s="4">
        <f t="shared" si="145"/>
        <v>18.659843792587235</v>
      </c>
      <c r="W290" s="4">
        <f t="shared" si="130"/>
        <v>1145820.3506721025</v>
      </c>
      <c r="X290" s="4">
        <f t="shared" si="134"/>
        <v>-2403.0341201634146</v>
      </c>
      <c r="Y290" s="9">
        <f>SUM($X$6:X290)</f>
        <v>145820.35067210253</v>
      </c>
      <c r="Z290" s="16">
        <f t="shared" si="135"/>
        <v>0.14582035067210253</v>
      </c>
      <c r="AA290" s="16">
        <f t="shared" si="131"/>
        <v>0.17646782453447774</v>
      </c>
      <c r="AB290" s="16">
        <f t="shared" si="132"/>
        <v>-2.0928280611513294E-3</v>
      </c>
      <c r="AC290" s="16">
        <f t="shared" si="133"/>
        <v>-6.3031184893680165E-3</v>
      </c>
    </row>
    <row r="291" spans="1:29" x14ac:dyDescent="0.15">
      <c r="A291" s="8">
        <v>41327</v>
      </c>
      <c r="B291" s="4">
        <v>1515.6</v>
      </c>
      <c r="C291" s="1">
        <v>12.875399999999999</v>
      </c>
      <c r="D291" s="1">
        <v>2.27</v>
      </c>
      <c r="E291" s="1">
        <v>0.28499999999999998</v>
      </c>
      <c r="F291" s="4">
        <f t="shared" si="123"/>
        <v>0.12875399999999998</v>
      </c>
      <c r="G291" s="4">
        <f t="shared" si="124"/>
        <v>2.2700000000000001E-2</v>
      </c>
      <c r="H291" s="4">
        <f t="shared" si="125"/>
        <v>2.8499999999999997E-3</v>
      </c>
      <c r="I291" s="3">
        <f t="shared" si="126"/>
        <v>42.594239316582744</v>
      </c>
      <c r="J291" s="4">
        <f t="shared" si="136"/>
        <v>1156340.0652452193</v>
      </c>
      <c r="K291" s="1">
        <f t="shared" si="137"/>
        <v>1466.47</v>
      </c>
      <c r="L291" s="5">
        <f t="shared" si="138"/>
        <v>0.11506849315068521</v>
      </c>
      <c r="M291" s="5">
        <f t="shared" si="139"/>
        <v>-0.23390858720247965</v>
      </c>
      <c r="N291" s="5">
        <f t="shared" si="140"/>
        <v>9.2537867424466071</v>
      </c>
      <c r="O291" s="1">
        <f t="shared" si="141"/>
        <v>0</v>
      </c>
      <c r="P291" s="1">
        <f t="shared" si="142"/>
        <v>1466.47</v>
      </c>
      <c r="Q291" s="5">
        <f t="shared" si="143"/>
        <v>0.11506849315068521</v>
      </c>
      <c r="R291" s="5">
        <f t="shared" si="144"/>
        <v>-0.23390858720247965</v>
      </c>
      <c r="S291" s="5">
        <f t="shared" si="127"/>
        <v>9.2537867424466071</v>
      </c>
      <c r="T291" s="5">
        <f t="shared" si="128"/>
        <v>-764.5851435890512</v>
      </c>
      <c r="U291" s="4">
        <f t="shared" si="129"/>
        <v>1156358.7250890119</v>
      </c>
      <c r="V291" s="4">
        <f t="shared" si="145"/>
        <v>18.660144906230904</v>
      </c>
      <c r="W291" s="4">
        <f t="shared" si="130"/>
        <v>1149283.417223796</v>
      </c>
      <c r="X291" s="4">
        <f t="shared" si="134"/>
        <v>3463.0665516934823</v>
      </c>
      <c r="Y291" s="9">
        <f>SUM($X$6:X291)</f>
        <v>149283.41722379602</v>
      </c>
      <c r="Z291" s="16">
        <f t="shared" si="135"/>
        <v>0.14928341722379601</v>
      </c>
      <c r="AA291" s="16">
        <f t="shared" si="131"/>
        <v>0.18678840461685431</v>
      </c>
      <c r="AB291" s="16">
        <f t="shared" si="132"/>
        <v>3.0223468710973366E-3</v>
      </c>
      <c r="AC291" s="16">
        <f t="shared" si="133"/>
        <v>8.7725136779328253E-3</v>
      </c>
    </row>
    <row r="292" spans="1:29" x14ac:dyDescent="0.15">
      <c r="A292" s="8">
        <v>41330</v>
      </c>
      <c r="B292" s="4">
        <v>1487.85</v>
      </c>
      <c r="C292" s="1">
        <v>14.4642</v>
      </c>
      <c r="D292" s="1">
        <v>2.31</v>
      </c>
      <c r="E292" s="1">
        <v>0.28349999999999997</v>
      </c>
      <c r="F292" s="4">
        <f t="shared" si="123"/>
        <v>0.14464199999999999</v>
      </c>
      <c r="G292" s="4">
        <f t="shared" si="124"/>
        <v>2.3099999999999999E-2</v>
      </c>
      <c r="H292" s="4">
        <f t="shared" si="125"/>
        <v>2.8349999999999998E-3</v>
      </c>
      <c r="I292" s="3">
        <f t="shared" si="126"/>
        <v>46.571846867557042</v>
      </c>
      <c r="J292" s="4">
        <f t="shared" si="136"/>
        <v>1156358.7250890119</v>
      </c>
      <c r="K292" s="1">
        <f t="shared" si="137"/>
        <v>1466.47</v>
      </c>
      <c r="L292" s="5">
        <f t="shared" si="138"/>
        <v>0.10684931506849343</v>
      </c>
      <c r="M292" s="5">
        <f t="shared" si="139"/>
        <v>-0.38725807837627563</v>
      </c>
      <c r="N292" s="5">
        <f t="shared" si="140"/>
        <v>19.680106401027722</v>
      </c>
      <c r="O292" s="1">
        <f t="shared" si="141"/>
        <v>0</v>
      </c>
      <c r="P292" s="1">
        <f t="shared" si="142"/>
        <v>1466.47</v>
      </c>
      <c r="Q292" s="5">
        <f t="shared" si="143"/>
        <v>0.10684931506849343</v>
      </c>
      <c r="R292" s="5">
        <f t="shared" si="144"/>
        <v>-0.38725807837627563</v>
      </c>
      <c r="S292" s="5">
        <f t="shared" si="127"/>
        <v>19.680106401027722</v>
      </c>
      <c r="T292" s="5">
        <f t="shared" si="128"/>
        <v>-764.5851435890512</v>
      </c>
      <c r="U292" s="4">
        <f t="shared" si="129"/>
        <v>1156377.3852339182</v>
      </c>
      <c r="V292" s="4">
        <f t="shared" si="145"/>
        <v>55.981338074200906</v>
      </c>
      <c r="W292" s="4">
        <f t="shared" si="130"/>
        <v>1141330.2682554405</v>
      </c>
      <c r="X292" s="4">
        <f t="shared" si="134"/>
        <v>-7953.1489683554973</v>
      </c>
      <c r="Y292" s="9">
        <f>SUM($X$6:X292)</f>
        <v>141330.26825544052</v>
      </c>
      <c r="Z292" s="16">
        <f t="shared" si="135"/>
        <v>0.14133026825544051</v>
      </c>
      <c r="AA292" s="16">
        <f t="shared" si="131"/>
        <v>0.16505880694720684</v>
      </c>
      <c r="AB292" s="16">
        <f t="shared" si="132"/>
        <v>-6.9200937289838295E-3</v>
      </c>
      <c r="AC292" s="16">
        <f t="shared" si="133"/>
        <v>-1.8309580364212194E-2</v>
      </c>
    </row>
    <row r="293" spans="1:29" x14ac:dyDescent="0.15">
      <c r="A293" s="8">
        <v>41331</v>
      </c>
      <c r="B293" s="4">
        <v>1496.94</v>
      </c>
      <c r="C293" s="1">
        <v>14.736599999999999</v>
      </c>
      <c r="D293" s="1">
        <v>2.2999999999999998</v>
      </c>
      <c r="E293" s="1">
        <v>0.28349999999999997</v>
      </c>
      <c r="F293" s="4">
        <f t="shared" si="123"/>
        <v>0.147366</v>
      </c>
      <c r="G293" s="4">
        <f t="shared" si="124"/>
        <v>2.3E-2</v>
      </c>
      <c r="H293" s="4">
        <f t="shared" si="125"/>
        <v>2.8349999999999998E-3</v>
      </c>
      <c r="I293" s="3">
        <f t="shared" si="126"/>
        <v>47.644515183117427</v>
      </c>
      <c r="J293" s="4">
        <f t="shared" si="136"/>
        <v>1156377.3852339182</v>
      </c>
      <c r="K293" s="1">
        <f t="shared" si="137"/>
        <v>1466.47</v>
      </c>
      <c r="L293" s="5">
        <f t="shared" si="138"/>
        <v>0.10410958904109617</v>
      </c>
      <c r="M293" s="5">
        <f t="shared" si="139"/>
        <v>-0.33931218497684856</v>
      </c>
      <c r="N293" s="5">
        <f t="shared" si="140"/>
        <v>16.494695096582763</v>
      </c>
      <c r="O293" s="1">
        <f t="shared" si="141"/>
        <v>0</v>
      </c>
      <c r="P293" s="1">
        <f t="shared" si="142"/>
        <v>1466.47</v>
      </c>
      <c r="Q293" s="5">
        <f t="shared" si="143"/>
        <v>0.10410958904109617</v>
      </c>
      <c r="R293" s="5">
        <f t="shared" si="144"/>
        <v>-0.33931218497684856</v>
      </c>
      <c r="S293" s="5">
        <f t="shared" si="127"/>
        <v>16.494695096582763</v>
      </c>
      <c r="T293" s="5">
        <f t="shared" si="128"/>
        <v>-764.5851435890512</v>
      </c>
      <c r="U293" s="4">
        <f t="shared" si="129"/>
        <v>1156433.3665719924</v>
      </c>
      <c r="V293" s="4">
        <f t="shared" si="145"/>
        <v>18.661349394819272</v>
      </c>
      <c r="W293" s="4">
        <f t="shared" si="130"/>
        <v>1143821.767753114</v>
      </c>
      <c r="X293" s="4">
        <f t="shared" si="134"/>
        <v>2491.4994976734743</v>
      </c>
      <c r="Y293" s="9">
        <f>SUM($X$6:X293)</f>
        <v>143821.76775311399</v>
      </c>
      <c r="Z293" s="16">
        <f t="shared" si="135"/>
        <v>0.143821767753114</v>
      </c>
      <c r="AA293" s="16">
        <f t="shared" si="131"/>
        <v>0.17217671840007526</v>
      </c>
      <c r="AB293" s="16">
        <f t="shared" si="132"/>
        <v>2.1829785531595602E-3</v>
      </c>
      <c r="AC293" s="16">
        <f t="shared" si="133"/>
        <v>6.1094868434318954E-3</v>
      </c>
    </row>
    <row r="294" spans="1:29" x14ac:dyDescent="0.15">
      <c r="A294" s="8">
        <v>41332</v>
      </c>
      <c r="B294" s="4">
        <v>1515.99</v>
      </c>
      <c r="C294" s="1">
        <v>13.0085</v>
      </c>
      <c r="D294" s="1">
        <v>2.27</v>
      </c>
      <c r="E294" s="1">
        <v>0.29330000000000001</v>
      </c>
      <c r="F294" s="4">
        <f t="shared" si="123"/>
        <v>0.13008500000000001</v>
      </c>
      <c r="G294" s="4">
        <f t="shared" si="124"/>
        <v>2.2700000000000001E-2</v>
      </c>
      <c r="H294" s="4">
        <f t="shared" si="125"/>
        <v>2.9329999999999998E-3</v>
      </c>
      <c r="I294" s="3">
        <f t="shared" si="126"/>
        <v>42.987449289771256</v>
      </c>
      <c r="J294" s="4">
        <f t="shared" si="136"/>
        <v>1156433.3665719924</v>
      </c>
      <c r="K294" s="1">
        <f t="shared" si="137"/>
        <v>1466.47</v>
      </c>
      <c r="L294" s="5">
        <f t="shared" si="138"/>
        <v>0.10136986301369891</v>
      </c>
      <c r="M294" s="5">
        <f t="shared" si="139"/>
        <v>-0.21890772088888349</v>
      </c>
      <c r="N294" s="5">
        <f t="shared" si="140"/>
        <v>8.0401775252801553</v>
      </c>
      <c r="O294" s="1">
        <f t="shared" si="141"/>
        <v>0</v>
      </c>
      <c r="P294" s="1">
        <f t="shared" si="142"/>
        <v>1466.47</v>
      </c>
      <c r="Q294" s="5">
        <f t="shared" si="143"/>
        <v>0.10136986301369891</v>
      </c>
      <c r="R294" s="5">
        <f t="shared" si="144"/>
        <v>-0.21890772088888349</v>
      </c>
      <c r="S294" s="5">
        <f t="shared" si="127"/>
        <v>8.0401775252801553</v>
      </c>
      <c r="T294" s="5">
        <f t="shared" si="128"/>
        <v>-764.5851435890512</v>
      </c>
      <c r="U294" s="4">
        <f t="shared" si="129"/>
        <v>1156452.0279213872</v>
      </c>
      <c r="V294" s="4">
        <f t="shared" si="145"/>
        <v>18.66165053275882</v>
      </c>
      <c r="W294" s="4">
        <f t="shared" si="130"/>
        <v>1150304.6276337395</v>
      </c>
      <c r="X294" s="4">
        <f t="shared" si="134"/>
        <v>6482.8598806255031</v>
      </c>
      <c r="Y294" s="9">
        <f>SUM($X$6:X294)</f>
        <v>150304.6276337395</v>
      </c>
      <c r="Z294" s="16">
        <f t="shared" si="135"/>
        <v>0.1503046276337395</v>
      </c>
      <c r="AA294" s="16">
        <f t="shared" si="131"/>
        <v>0.18709379355707648</v>
      </c>
      <c r="AB294" s="16">
        <f t="shared" si="132"/>
        <v>5.6677185759108437E-3</v>
      </c>
      <c r="AC294" s="16">
        <f t="shared" si="133"/>
        <v>1.2725960960359101E-2</v>
      </c>
    </row>
    <row r="295" spans="1:29" x14ac:dyDescent="0.15">
      <c r="A295" s="8">
        <v>41333</v>
      </c>
      <c r="B295" s="4">
        <v>1514.68</v>
      </c>
      <c r="C295" s="1">
        <v>13.160600000000001</v>
      </c>
      <c r="D295" s="1">
        <v>2.27</v>
      </c>
      <c r="E295" s="1">
        <v>0.29349999999999998</v>
      </c>
      <c r="F295" s="4">
        <f t="shared" si="123"/>
        <v>0.131606</v>
      </c>
      <c r="G295" s="4">
        <f t="shared" si="124"/>
        <v>2.2700000000000001E-2</v>
      </c>
      <c r="H295" s="4">
        <f t="shared" si="125"/>
        <v>2.9349999999999997E-3</v>
      </c>
      <c r="I295" s="3">
        <f t="shared" si="126"/>
        <v>43.405803409821715</v>
      </c>
      <c r="J295" s="4">
        <f t="shared" si="136"/>
        <v>1156452.0279213872</v>
      </c>
      <c r="K295" s="1">
        <f t="shared" si="137"/>
        <v>1466.47</v>
      </c>
      <c r="L295" s="5">
        <f t="shared" si="138"/>
        <v>9.8630136986301645E-2</v>
      </c>
      <c r="M295" s="5">
        <f t="shared" si="139"/>
        <v>-0.22429143695166154</v>
      </c>
      <c r="N295" s="5">
        <f t="shared" si="140"/>
        <v>8.273634319276109</v>
      </c>
      <c r="O295" s="1">
        <f t="shared" si="141"/>
        <v>0</v>
      </c>
      <c r="P295" s="1">
        <f t="shared" si="142"/>
        <v>1466.47</v>
      </c>
      <c r="Q295" s="5">
        <f t="shared" si="143"/>
        <v>9.8630136986301645E-2</v>
      </c>
      <c r="R295" s="5">
        <f t="shared" si="144"/>
        <v>-0.22429143695166154</v>
      </c>
      <c r="S295" s="5">
        <f t="shared" si="127"/>
        <v>8.273634319276109</v>
      </c>
      <c r="T295" s="5">
        <f t="shared" si="128"/>
        <v>-764.5851435890512</v>
      </c>
      <c r="U295" s="4">
        <f t="shared" si="129"/>
        <v>1156470.6895719201</v>
      </c>
      <c r="V295" s="4">
        <f t="shared" si="145"/>
        <v>18.66195167555783</v>
      </c>
      <c r="W295" s="4">
        <f t="shared" si="130"/>
        <v>1150144.791687913</v>
      </c>
      <c r="X295" s="4">
        <f t="shared" si="134"/>
        <v>-159.83594582648948</v>
      </c>
      <c r="Y295" s="9">
        <f>SUM($X$6:X295)</f>
        <v>150144.79168791301</v>
      </c>
      <c r="Z295" s="16">
        <f t="shared" si="135"/>
        <v>0.150144791687913</v>
      </c>
      <c r="AA295" s="16">
        <f t="shared" si="131"/>
        <v>0.1860679999373562</v>
      </c>
      <c r="AB295" s="16">
        <f t="shared" si="132"/>
        <v>-1.3895097175718025E-4</v>
      </c>
      <c r="AC295" s="16">
        <f t="shared" si="133"/>
        <v>-8.6412179499861178E-4</v>
      </c>
    </row>
    <row r="296" spans="1:29" x14ac:dyDescent="0.15">
      <c r="A296" s="8">
        <v>41334</v>
      </c>
      <c r="B296" s="4">
        <v>1518.2</v>
      </c>
      <c r="C296" s="1">
        <v>13.453099999999999</v>
      </c>
      <c r="D296" s="1">
        <v>2.27</v>
      </c>
      <c r="E296" s="1">
        <v>0.29039999999999999</v>
      </c>
      <c r="F296" s="4">
        <f t="shared" si="123"/>
        <v>0.13453099999999998</v>
      </c>
      <c r="G296" s="4">
        <f t="shared" si="124"/>
        <v>2.2700000000000001E-2</v>
      </c>
      <c r="H296" s="4">
        <f t="shared" si="125"/>
        <v>2.9039999999999999E-3</v>
      </c>
      <c r="I296" s="3">
        <f t="shared" si="126"/>
        <v>44.391892228085901</v>
      </c>
      <c r="J296" s="4">
        <f t="shared" si="136"/>
        <v>1156470.6895719201</v>
      </c>
      <c r="K296" s="1">
        <f t="shared" si="137"/>
        <v>1466.47</v>
      </c>
      <c r="L296" s="5">
        <f t="shared" si="138"/>
        <v>9.5890410958904382E-2</v>
      </c>
      <c r="M296" s="5">
        <f t="shared" si="139"/>
        <v>-0.20925375039746241</v>
      </c>
      <c r="N296" s="5">
        <f t="shared" si="140"/>
        <v>7.6398202101661292</v>
      </c>
      <c r="O296" s="1">
        <f t="shared" si="141"/>
        <v>0</v>
      </c>
      <c r="P296" s="1">
        <f t="shared" si="142"/>
        <v>1466.47</v>
      </c>
      <c r="Q296" s="5">
        <f t="shared" si="143"/>
        <v>9.5890410958904382E-2</v>
      </c>
      <c r="R296" s="5">
        <f t="shared" si="144"/>
        <v>-0.20925375039746241</v>
      </c>
      <c r="S296" s="5">
        <f t="shared" si="127"/>
        <v>7.6398202101661292</v>
      </c>
      <c r="T296" s="5">
        <f t="shared" si="128"/>
        <v>-764.5851435890512</v>
      </c>
      <c r="U296" s="4">
        <f t="shared" si="129"/>
        <v>1156489.3515235956</v>
      </c>
      <c r="V296" s="4">
        <f t="shared" si="145"/>
        <v>18.662252823216377</v>
      </c>
      <c r="W296" s="4">
        <f t="shared" si="130"/>
        <v>1150648.0584912112</v>
      </c>
      <c r="X296" s="4">
        <f t="shared" si="134"/>
        <v>503.26680329814553</v>
      </c>
      <c r="Y296" s="9">
        <f>SUM($X$6:X296)</f>
        <v>150648.05849121115</v>
      </c>
      <c r="Z296" s="16">
        <f t="shared" si="135"/>
        <v>0.15064805849121116</v>
      </c>
      <c r="AA296" s="16">
        <f t="shared" si="131"/>
        <v>0.18882433088500158</v>
      </c>
      <c r="AB296" s="16">
        <f t="shared" si="132"/>
        <v>4.3756821483281982E-4</v>
      </c>
      <c r="AC296" s="16">
        <f t="shared" si="133"/>
        <v>2.3239232049013531E-3</v>
      </c>
    </row>
    <row r="297" spans="1:29" x14ac:dyDescent="0.15">
      <c r="A297" s="8">
        <v>41337</v>
      </c>
      <c r="B297" s="4">
        <v>1525.2</v>
      </c>
      <c r="C297" s="1">
        <v>12.9533</v>
      </c>
      <c r="D297" s="1">
        <v>2.2599999999999998</v>
      </c>
      <c r="E297" s="1">
        <v>0.28939999999999999</v>
      </c>
      <c r="F297" s="4">
        <f t="shared" si="123"/>
        <v>0.12953300000000001</v>
      </c>
      <c r="G297" s="4">
        <f t="shared" si="124"/>
        <v>2.2599999999999999E-2</v>
      </c>
      <c r="H297" s="4">
        <f t="shared" si="125"/>
        <v>2.8939999999999999E-3</v>
      </c>
      <c r="I297" s="3">
        <f t="shared" si="126"/>
        <v>43.07049073784092</v>
      </c>
      <c r="J297" s="4">
        <f t="shared" si="136"/>
        <v>1156489.3515235956</v>
      </c>
      <c r="K297" s="1">
        <f t="shared" si="137"/>
        <v>1466.47</v>
      </c>
      <c r="L297" s="5">
        <f t="shared" si="138"/>
        <v>8.7671232876712607E-2</v>
      </c>
      <c r="M297" s="5">
        <f t="shared" si="139"/>
        <v>-0.15883658469289427</v>
      </c>
      <c r="N297" s="5">
        <f t="shared" si="140"/>
        <v>4.9691569920076217</v>
      </c>
      <c r="O297" s="1">
        <f t="shared" si="141"/>
        <v>0</v>
      </c>
      <c r="P297" s="1">
        <f t="shared" si="142"/>
        <v>1466.47</v>
      </c>
      <c r="Q297" s="5">
        <f t="shared" si="143"/>
        <v>8.7671232876712607E-2</v>
      </c>
      <c r="R297" s="5">
        <f t="shared" si="144"/>
        <v>-0.15883658469289427</v>
      </c>
      <c r="S297" s="5">
        <f t="shared" si="127"/>
        <v>4.9691569920076217</v>
      </c>
      <c r="T297" s="5">
        <f t="shared" si="128"/>
        <v>-764.5851435890512</v>
      </c>
      <c r="U297" s="4">
        <f t="shared" si="129"/>
        <v>1156508.0137764188</v>
      </c>
      <c r="V297" s="4">
        <f t="shared" si="145"/>
        <v>55.987661927203611</v>
      </c>
      <c r="W297" s="4">
        <f t="shared" si="130"/>
        <v>1152708.6701641681</v>
      </c>
      <c r="X297" s="4">
        <f t="shared" si="134"/>
        <v>2060.6116729569621</v>
      </c>
      <c r="Y297" s="9">
        <f>SUM($X$6:X297)</f>
        <v>152708.67016416811</v>
      </c>
      <c r="Z297" s="16">
        <f t="shared" si="135"/>
        <v>0.15270867016416811</v>
      </c>
      <c r="AA297" s="16">
        <f t="shared" si="131"/>
        <v>0.19430567083770545</v>
      </c>
      <c r="AB297" s="16">
        <f t="shared" si="132"/>
        <v>1.7908270541549794E-3</v>
      </c>
      <c r="AC297" s="16">
        <f t="shared" si="133"/>
        <v>4.6107232248715586E-3</v>
      </c>
    </row>
    <row r="298" spans="1:29" x14ac:dyDescent="0.15">
      <c r="A298" s="8">
        <v>41338</v>
      </c>
      <c r="B298" s="4">
        <v>1539.79</v>
      </c>
      <c r="C298" s="1">
        <v>12.4635</v>
      </c>
      <c r="D298" s="1">
        <v>2.23</v>
      </c>
      <c r="E298" s="1">
        <v>0.2873</v>
      </c>
      <c r="F298" s="4">
        <f t="shared" si="123"/>
        <v>0.124635</v>
      </c>
      <c r="G298" s="4">
        <f t="shared" si="124"/>
        <v>2.23E-2</v>
      </c>
      <c r="H298" s="4">
        <f t="shared" si="125"/>
        <v>2.8730000000000001E-3</v>
      </c>
      <c r="I298" s="3">
        <f t="shared" si="126"/>
        <v>41.935133363962287</v>
      </c>
      <c r="J298" s="4">
        <f t="shared" si="136"/>
        <v>1156508.0137764188</v>
      </c>
      <c r="K298" s="1">
        <f t="shared" si="137"/>
        <v>1466.47</v>
      </c>
      <c r="L298" s="5">
        <f t="shared" si="138"/>
        <v>8.4931506849315344E-2</v>
      </c>
      <c r="M298" s="5">
        <f t="shared" si="139"/>
        <v>-9.392136112038274E-2</v>
      </c>
      <c r="N298" s="5">
        <f t="shared" si="140"/>
        <v>2.4938436514215243</v>
      </c>
      <c r="O298" s="1">
        <f t="shared" si="141"/>
        <v>0</v>
      </c>
      <c r="P298" s="1">
        <f t="shared" si="142"/>
        <v>1466.47</v>
      </c>
      <c r="Q298" s="5">
        <f t="shared" si="143"/>
        <v>8.4931506849315344E-2</v>
      </c>
      <c r="R298" s="5">
        <f t="shared" si="144"/>
        <v>-9.392136112038274E-2</v>
      </c>
      <c r="S298" s="5">
        <f t="shared" si="127"/>
        <v>2.4938436514215243</v>
      </c>
      <c r="T298" s="5">
        <f t="shared" si="128"/>
        <v>-764.5851435890512</v>
      </c>
      <c r="U298" s="4">
        <f t="shared" si="129"/>
        <v>1156564.001438346</v>
      </c>
      <c r="V298" s="4">
        <f t="shared" si="145"/>
        <v>18.663457447868101</v>
      </c>
      <c r="W298" s="4">
        <f t="shared" si="130"/>
        <v>1154657.2456320352</v>
      </c>
      <c r="X298" s="4">
        <f t="shared" si="134"/>
        <v>1948.5754678670783</v>
      </c>
      <c r="Y298" s="9">
        <f>SUM($X$6:X298)</f>
        <v>154657.24563203519</v>
      </c>
      <c r="Z298" s="16">
        <f t="shared" si="135"/>
        <v>0.1546572456320352</v>
      </c>
      <c r="AA298" s="16">
        <f t="shared" si="131"/>
        <v>0.20573034939626958</v>
      </c>
      <c r="AB298" s="16">
        <f t="shared" si="132"/>
        <v>1.6904318656591377E-3</v>
      </c>
      <c r="AC298" s="16">
        <f t="shared" si="133"/>
        <v>9.5659585628113802E-3</v>
      </c>
    </row>
    <row r="299" spans="1:29" x14ac:dyDescent="0.15">
      <c r="A299" s="8">
        <v>41339</v>
      </c>
      <c r="B299" s="4">
        <v>1541.46</v>
      </c>
      <c r="C299" s="1">
        <v>12.5083</v>
      </c>
      <c r="D299" s="1">
        <v>2.23</v>
      </c>
      <c r="E299" s="1">
        <v>0.28570000000000001</v>
      </c>
      <c r="F299" s="4">
        <f t="shared" si="123"/>
        <v>0.125083</v>
      </c>
      <c r="G299" s="4">
        <f t="shared" si="124"/>
        <v>2.23E-2</v>
      </c>
      <c r="H299" s="4">
        <f t="shared" si="125"/>
        <v>2.8570000000000002E-3</v>
      </c>
      <c r="I299" s="3">
        <f t="shared" si="126"/>
        <v>42.120603326333885</v>
      </c>
      <c r="J299" s="4">
        <f t="shared" si="136"/>
        <v>1156564.001438346</v>
      </c>
      <c r="K299" s="1">
        <f t="shared" si="137"/>
        <v>1466.47</v>
      </c>
      <c r="L299" s="5">
        <f t="shared" si="138"/>
        <v>8.2191780821918081E-2</v>
      </c>
      <c r="M299" s="5">
        <f t="shared" si="139"/>
        <v>-8.6110446842355651E-2</v>
      </c>
      <c r="N299" s="5">
        <f t="shared" si="140"/>
        <v>2.2208242430258189</v>
      </c>
      <c r="O299" s="1">
        <f t="shared" si="141"/>
        <v>0</v>
      </c>
      <c r="P299" s="1">
        <f t="shared" si="142"/>
        <v>1466.47</v>
      </c>
      <c r="Q299" s="5">
        <f t="shared" si="143"/>
        <v>8.2191780821918081E-2</v>
      </c>
      <c r="R299" s="5">
        <f t="shared" si="144"/>
        <v>-8.6110446842355651E-2</v>
      </c>
      <c r="S299" s="5">
        <f t="shared" si="127"/>
        <v>2.2208242430258189</v>
      </c>
      <c r="T299" s="5">
        <f t="shared" si="128"/>
        <v>-764.5851435890512</v>
      </c>
      <c r="U299" s="4">
        <f t="shared" si="129"/>
        <v>1156582.6648957939</v>
      </c>
      <c r="V299" s="4">
        <f t="shared" si="145"/>
        <v>18.663758619825273</v>
      </c>
      <c r="W299" s="4">
        <f t="shared" si="130"/>
        <v>1154884.655673054</v>
      </c>
      <c r="X299" s="4">
        <f t="shared" si="134"/>
        <v>227.41004101885483</v>
      </c>
      <c r="Y299" s="9">
        <f>SUM($X$6:X299)</f>
        <v>154884.65567305405</v>
      </c>
      <c r="Z299" s="16">
        <f t="shared" si="135"/>
        <v>0.15488465567305404</v>
      </c>
      <c r="AA299" s="16">
        <f t="shared" si="131"/>
        <v>0.20703804049927185</v>
      </c>
      <c r="AB299" s="16">
        <f t="shared" si="132"/>
        <v>1.9695025677890699E-4</v>
      </c>
      <c r="AC299" s="16">
        <f t="shared" si="133"/>
        <v>1.0845634794355548E-3</v>
      </c>
    </row>
    <row r="300" spans="1:29" x14ac:dyDescent="0.15">
      <c r="A300" s="8">
        <v>41340</v>
      </c>
      <c r="B300" s="4">
        <v>1544.26</v>
      </c>
      <c r="C300" s="1">
        <v>12.3081</v>
      </c>
      <c r="D300" s="1">
        <v>2.23</v>
      </c>
      <c r="E300" s="1">
        <v>0.2868</v>
      </c>
      <c r="F300" s="4">
        <f t="shared" si="123"/>
        <v>0.123081</v>
      </c>
      <c r="G300" s="4">
        <f t="shared" si="124"/>
        <v>2.23E-2</v>
      </c>
      <c r="H300" s="4">
        <f t="shared" si="125"/>
        <v>2.8679999999999999E-3</v>
      </c>
      <c r="I300" s="3">
        <f t="shared" si="126"/>
        <v>41.583069855504128</v>
      </c>
      <c r="J300" s="4">
        <f t="shared" si="136"/>
        <v>1156582.6648957939</v>
      </c>
      <c r="K300" s="1">
        <f t="shared" si="137"/>
        <v>1466.47</v>
      </c>
      <c r="L300" s="5">
        <f t="shared" si="138"/>
        <v>7.9452054794520818E-2</v>
      </c>
      <c r="M300" s="5">
        <f t="shared" si="139"/>
        <v>-7.1651937805951429E-2</v>
      </c>
      <c r="N300" s="5">
        <f t="shared" si="140"/>
        <v>1.7292422818750388</v>
      </c>
      <c r="O300" s="1">
        <f t="shared" si="141"/>
        <v>0</v>
      </c>
      <c r="P300" s="1">
        <f t="shared" si="142"/>
        <v>1466.47</v>
      </c>
      <c r="Q300" s="5">
        <f t="shared" si="143"/>
        <v>7.9452054794520818E-2</v>
      </c>
      <c r="R300" s="5">
        <f t="shared" si="144"/>
        <v>-7.1651937805951429E-2</v>
      </c>
      <c r="S300" s="5">
        <f t="shared" si="127"/>
        <v>1.7292422818750388</v>
      </c>
      <c r="T300" s="5">
        <f t="shared" si="128"/>
        <v>-764.5851435890512</v>
      </c>
      <c r="U300" s="4">
        <f t="shared" si="129"/>
        <v>1156601.3286544138</v>
      </c>
      <c r="V300" s="4">
        <f t="shared" si="145"/>
        <v>18.664059796642459</v>
      </c>
      <c r="W300" s="4">
        <f t="shared" si="130"/>
        <v>1155279.1756960261</v>
      </c>
      <c r="X300" s="4">
        <f t="shared" si="134"/>
        <v>394.52002297202125</v>
      </c>
      <c r="Y300" s="9">
        <f>SUM($X$6:X300)</f>
        <v>155279.17569602607</v>
      </c>
      <c r="Z300" s="16">
        <f t="shared" si="135"/>
        <v>0.15527917569602606</v>
      </c>
      <c r="AA300" s="16">
        <f t="shared" si="131"/>
        <v>0.20923057648035337</v>
      </c>
      <c r="AB300" s="16">
        <f t="shared" si="132"/>
        <v>3.4160989241137623E-4</v>
      </c>
      <c r="AC300" s="16">
        <f t="shared" si="133"/>
        <v>1.8164597200056793E-3</v>
      </c>
    </row>
    <row r="301" spans="1:29" x14ac:dyDescent="0.15">
      <c r="A301" s="8">
        <v>41341</v>
      </c>
      <c r="B301" s="4">
        <v>1551.18</v>
      </c>
      <c r="C301" s="1">
        <v>12.218500000000001</v>
      </c>
      <c r="D301" s="1">
        <v>2.2200000000000002</v>
      </c>
      <c r="E301" s="1">
        <v>0.2863</v>
      </c>
      <c r="F301" s="4">
        <f t="shared" si="123"/>
        <v>0.122185</v>
      </c>
      <c r="G301" s="4">
        <f t="shared" si="124"/>
        <v>2.2200000000000001E-2</v>
      </c>
      <c r="H301" s="4">
        <f t="shared" si="125"/>
        <v>2.8630000000000001E-3</v>
      </c>
      <c r="I301" s="3">
        <f t="shared" si="126"/>
        <v>41.47548427743385</v>
      </c>
      <c r="J301" s="4">
        <f t="shared" si="136"/>
        <v>1156601.3286544138</v>
      </c>
      <c r="K301" s="1">
        <f t="shared" si="137"/>
        <v>1466.47</v>
      </c>
      <c r="L301" s="5">
        <f t="shared" si="138"/>
        <v>7.6712328767123555E-2</v>
      </c>
      <c r="M301" s="5">
        <f t="shared" si="139"/>
        <v>-5.1197784571656746E-2</v>
      </c>
      <c r="N301" s="5">
        <f t="shared" si="140"/>
        <v>1.1421244601367342</v>
      </c>
      <c r="O301" s="1">
        <f t="shared" si="141"/>
        <v>0</v>
      </c>
      <c r="P301" s="1">
        <f t="shared" si="142"/>
        <v>1466.47</v>
      </c>
      <c r="Q301" s="5">
        <f t="shared" si="143"/>
        <v>7.6712328767123555E-2</v>
      </c>
      <c r="R301" s="5">
        <f t="shared" si="144"/>
        <v>-5.1197784571656746E-2</v>
      </c>
      <c r="S301" s="5">
        <f t="shared" si="127"/>
        <v>1.1421244601367342</v>
      </c>
      <c r="T301" s="5">
        <f t="shared" si="128"/>
        <v>-764.5851435890512</v>
      </c>
      <c r="U301" s="4">
        <f t="shared" si="129"/>
        <v>1156619.9927142104</v>
      </c>
      <c r="V301" s="4">
        <f t="shared" si="145"/>
        <v>18.664360978319721</v>
      </c>
      <c r="W301" s="4">
        <f t="shared" si="130"/>
        <v>1155746.7413198601</v>
      </c>
      <c r="X301" s="4">
        <f t="shared" si="134"/>
        <v>467.5656238340307</v>
      </c>
      <c r="Y301" s="9">
        <f>SUM($X$6:X301)</f>
        <v>155746.7413198601</v>
      </c>
      <c r="Z301" s="16">
        <f t="shared" si="135"/>
        <v>0.1557467413198601</v>
      </c>
      <c r="AA301" s="16">
        <f t="shared" si="131"/>
        <v>0.21464927254788352</v>
      </c>
      <c r="AB301" s="16">
        <f t="shared" si="132"/>
        <v>4.047208966199312E-4</v>
      </c>
      <c r="AC301" s="16">
        <f t="shared" si="133"/>
        <v>4.4811106937951333E-3</v>
      </c>
    </row>
    <row r="302" spans="1:29" x14ac:dyDescent="0.15">
      <c r="A302" s="8">
        <v>41344</v>
      </c>
      <c r="B302" s="4">
        <v>1556.22</v>
      </c>
      <c r="C302" s="1">
        <v>11.947900000000001</v>
      </c>
      <c r="D302" s="1">
        <v>2.2200000000000002</v>
      </c>
      <c r="E302" s="1">
        <v>0.2863</v>
      </c>
      <c r="F302" s="4">
        <f t="shared" si="123"/>
        <v>0.119479</v>
      </c>
      <c r="G302" s="4">
        <f t="shared" si="124"/>
        <v>2.2200000000000001E-2</v>
      </c>
      <c r="H302" s="4">
        <f t="shared" si="125"/>
        <v>2.8630000000000001E-3</v>
      </c>
      <c r="I302" s="3">
        <f t="shared" si="126"/>
        <v>40.777057894948243</v>
      </c>
      <c r="J302" s="4">
        <f t="shared" si="136"/>
        <v>1156619.9927142104</v>
      </c>
      <c r="K302" s="1">
        <f t="shared" si="137"/>
        <v>1466.47</v>
      </c>
      <c r="L302" s="5">
        <f t="shared" si="138"/>
        <v>6.8493150684931781E-2</v>
      </c>
      <c r="M302" s="5">
        <f t="shared" si="139"/>
        <v>-3.0489818516920304E-2</v>
      </c>
      <c r="N302" s="5">
        <f t="shared" si="140"/>
        <v>0.58239703200521764</v>
      </c>
      <c r="O302" s="1">
        <f t="shared" si="141"/>
        <v>1</v>
      </c>
      <c r="P302" s="1">
        <f t="shared" si="142"/>
        <v>1556.22</v>
      </c>
      <c r="Q302" s="5">
        <f t="shared" si="143"/>
        <v>0.24931506849315069</v>
      </c>
      <c r="R302" s="5">
        <f t="shared" si="144"/>
        <v>-0.51745827668471811</v>
      </c>
      <c r="S302" s="5">
        <f t="shared" si="127"/>
        <v>40.777057894948243</v>
      </c>
      <c r="T302" s="5">
        <f t="shared" si="128"/>
        <v>-742.93782408391405</v>
      </c>
      <c r="U302" s="4">
        <f t="shared" si="129"/>
        <v>1186488.1836218638</v>
      </c>
      <c r="V302" s="4">
        <f t="shared" si="145"/>
        <v>57.439030697529681</v>
      </c>
      <c r="W302" s="4">
        <f t="shared" si="130"/>
        <v>1156193.3649568472</v>
      </c>
      <c r="X302" s="4">
        <f t="shared" si="134"/>
        <v>446.62363698706031</v>
      </c>
      <c r="Y302" s="9">
        <f>SUM($X$6:X302)</f>
        <v>156193.36495684716</v>
      </c>
      <c r="Z302" s="16">
        <f t="shared" si="135"/>
        <v>0.15619336495684716</v>
      </c>
      <c r="AA302" s="16">
        <f t="shared" si="131"/>
        <v>0.21859583731383028</v>
      </c>
      <c r="AB302" s="16">
        <f t="shared" si="132"/>
        <v>3.8643728856809683E-4</v>
      </c>
      <c r="AC302" s="16">
        <f t="shared" si="133"/>
        <v>3.2491393648705911E-3</v>
      </c>
    </row>
    <row r="303" spans="1:29" x14ac:dyDescent="0.15">
      <c r="A303" s="8">
        <v>41345</v>
      </c>
      <c r="B303" s="4">
        <v>1552.48</v>
      </c>
      <c r="C303" s="1">
        <v>12.198499999999999</v>
      </c>
      <c r="D303" s="1">
        <v>2.2200000000000002</v>
      </c>
      <c r="E303" s="1">
        <v>0.2873</v>
      </c>
      <c r="F303" s="4">
        <f t="shared" si="123"/>
        <v>0.121985</v>
      </c>
      <c r="G303" s="4">
        <f t="shared" si="124"/>
        <v>2.2200000000000001E-2</v>
      </c>
      <c r="H303" s="4">
        <f t="shared" si="125"/>
        <v>2.8730000000000001E-3</v>
      </c>
      <c r="I303" s="3">
        <f t="shared" si="126"/>
        <v>41.446704960055683</v>
      </c>
      <c r="J303" s="4">
        <f t="shared" si="136"/>
        <v>1186488.1836218638</v>
      </c>
      <c r="K303" s="1">
        <f t="shared" si="137"/>
        <v>1556.22</v>
      </c>
      <c r="L303" s="5">
        <f t="shared" si="138"/>
        <v>0.24657534246575344</v>
      </c>
      <c r="M303" s="5">
        <f t="shared" si="139"/>
        <v>-0.53218446812654163</v>
      </c>
      <c r="N303" s="5">
        <f t="shared" si="140"/>
        <v>43.258326440601422</v>
      </c>
      <c r="O303" s="1">
        <f t="shared" si="141"/>
        <v>0</v>
      </c>
      <c r="P303" s="1">
        <f t="shared" si="142"/>
        <v>1556.22</v>
      </c>
      <c r="Q303" s="5">
        <f t="shared" si="143"/>
        <v>0.24657534246575344</v>
      </c>
      <c r="R303" s="5">
        <f t="shared" si="144"/>
        <v>-0.53218446812654163</v>
      </c>
      <c r="S303" s="5">
        <f t="shared" si="127"/>
        <v>43.258326440601422</v>
      </c>
      <c r="T303" s="5">
        <f t="shared" si="128"/>
        <v>-742.93782408391405</v>
      </c>
      <c r="U303" s="4">
        <f t="shared" si="129"/>
        <v>1186545.6226525614</v>
      </c>
      <c r="V303" s="4">
        <f t="shared" si="145"/>
        <v>19.147270458694756</v>
      </c>
      <c r="W303" s="4">
        <f t="shared" si="130"/>
        <v>1154407.3757332694</v>
      </c>
      <c r="X303" s="4">
        <f t="shared" si="134"/>
        <v>-1785.9892235777806</v>
      </c>
      <c r="Y303" s="9">
        <f>SUM($X$6:X303)</f>
        <v>154407.37573326938</v>
      </c>
      <c r="Z303" s="16">
        <f t="shared" si="135"/>
        <v>0.15440737573326938</v>
      </c>
      <c r="AA303" s="16">
        <f t="shared" si="131"/>
        <v>0.21566723568195706</v>
      </c>
      <c r="AB303" s="16">
        <f t="shared" si="132"/>
        <v>-1.5447149912025653E-3</v>
      </c>
      <c r="AC303" s="16">
        <f t="shared" si="133"/>
        <v>-2.4032591792934217E-3</v>
      </c>
    </row>
    <row r="304" spans="1:29" x14ac:dyDescent="0.15">
      <c r="A304" s="8">
        <v>41346</v>
      </c>
      <c r="B304" s="4">
        <v>1554.52</v>
      </c>
      <c r="C304" s="1">
        <v>12.1074</v>
      </c>
      <c r="D304" s="1">
        <v>2.2200000000000002</v>
      </c>
      <c r="E304" s="1">
        <v>0.28620000000000001</v>
      </c>
      <c r="F304" s="4">
        <f t="shared" si="123"/>
        <v>0.121074</v>
      </c>
      <c r="G304" s="4">
        <f t="shared" si="124"/>
        <v>2.2200000000000001E-2</v>
      </c>
      <c r="H304" s="4">
        <f t="shared" si="125"/>
        <v>2.862E-3</v>
      </c>
      <c r="I304" s="3">
        <f t="shared" si="126"/>
        <v>41.223280802074576</v>
      </c>
      <c r="J304" s="4">
        <f t="shared" si="136"/>
        <v>1186545.6226525614</v>
      </c>
      <c r="K304" s="1">
        <f t="shared" si="137"/>
        <v>1556.22</v>
      </c>
      <c r="L304" s="5">
        <f t="shared" si="138"/>
        <v>0.24383561643835619</v>
      </c>
      <c r="M304" s="5">
        <f t="shared" si="139"/>
        <v>-0.52396791405984966</v>
      </c>
      <c r="N304" s="5">
        <f t="shared" si="140"/>
        <v>41.656403282674688</v>
      </c>
      <c r="O304" s="1">
        <f t="shared" si="141"/>
        <v>0</v>
      </c>
      <c r="P304" s="1">
        <f t="shared" si="142"/>
        <v>1556.22</v>
      </c>
      <c r="Q304" s="5">
        <f t="shared" si="143"/>
        <v>0.24383561643835619</v>
      </c>
      <c r="R304" s="5">
        <f t="shared" si="144"/>
        <v>-0.52396791405984966</v>
      </c>
      <c r="S304" s="5">
        <f t="shared" si="127"/>
        <v>41.656403282674688</v>
      </c>
      <c r="T304" s="5">
        <f t="shared" si="128"/>
        <v>-742.93782408391405</v>
      </c>
      <c r="U304" s="4">
        <f t="shared" si="129"/>
        <v>1186564.7699230202</v>
      </c>
      <c r="V304" s="4">
        <f t="shared" si="145"/>
        <v>19.147579437935857</v>
      </c>
      <c r="W304" s="4">
        <f t="shared" si="130"/>
        <v>1155616.6523090277</v>
      </c>
      <c r="X304" s="4">
        <f t="shared" si="134"/>
        <v>1209.2765757583547</v>
      </c>
      <c r="Y304" s="9">
        <f>SUM($X$6:X304)</f>
        <v>155616.65230902773</v>
      </c>
      <c r="Z304" s="16">
        <f t="shared" si="135"/>
        <v>0.15561665230902774</v>
      </c>
      <c r="AA304" s="16">
        <f t="shared" si="131"/>
        <v>0.21726465475388787</v>
      </c>
      <c r="AB304" s="16">
        <f t="shared" si="132"/>
        <v>1.0475301883706633E-3</v>
      </c>
      <c r="AC304" s="16">
        <f t="shared" si="133"/>
        <v>1.3140265897144978E-3</v>
      </c>
    </row>
    <row r="305" spans="1:29" x14ac:dyDescent="0.15">
      <c r="A305" s="8">
        <v>41347</v>
      </c>
      <c r="B305" s="4">
        <v>1563.23</v>
      </c>
      <c r="C305" s="1">
        <v>11.713100000000001</v>
      </c>
      <c r="D305" s="1">
        <v>2.21</v>
      </c>
      <c r="E305" s="1">
        <v>0.2863</v>
      </c>
      <c r="F305" s="4">
        <f t="shared" si="123"/>
        <v>0.11713100000000001</v>
      </c>
      <c r="G305" s="4">
        <f t="shared" si="124"/>
        <v>2.2099999999999998E-2</v>
      </c>
      <c r="H305" s="4">
        <f t="shared" si="125"/>
        <v>2.8630000000000001E-3</v>
      </c>
      <c r="I305" s="3">
        <f t="shared" si="126"/>
        <v>40.214413187323856</v>
      </c>
      <c r="J305" s="4">
        <f t="shared" si="136"/>
        <v>1186564.7699230202</v>
      </c>
      <c r="K305" s="1">
        <f t="shared" si="137"/>
        <v>1556.22</v>
      </c>
      <c r="L305" s="5">
        <f t="shared" si="138"/>
        <v>0.24109589041095894</v>
      </c>
      <c r="M305" s="5">
        <f t="shared" si="139"/>
        <v>-0.48692353569061225</v>
      </c>
      <c r="N305" s="5">
        <f t="shared" si="140"/>
        <v>35.786168221792146</v>
      </c>
      <c r="O305" s="1">
        <f t="shared" si="141"/>
        <v>0</v>
      </c>
      <c r="P305" s="1">
        <f t="shared" si="142"/>
        <v>1556.22</v>
      </c>
      <c r="Q305" s="5">
        <f t="shared" si="143"/>
        <v>0.24109589041095894</v>
      </c>
      <c r="R305" s="5">
        <f t="shared" si="144"/>
        <v>-0.48692353569061225</v>
      </c>
      <c r="S305" s="5">
        <f t="shared" si="127"/>
        <v>35.786168221792146</v>
      </c>
      <c r="T305" s="5">
        <f t="shared" si="128"/>
        <v>-742.93782408391405</v>
      </c>
      <c r="U305" s="4">
        <f t="shared" si="129"/>
        <v>1186583.917502458</v>
      </c>
      <c r="V305" s="4">
        <f t="shared" si="145"/>
        <v>19.14788842216295</v>
      </c>
      <c r="W305" s="4">
        <f t="shared" si="130"/>
        <v>1159997.0195514588</v>
      </c>
      <c r="X305" s="4">
        <f t="shared" si="134"/>
        <v>4380.3672424310353</v>
      </c>
      <c r="Y305" s="9">
        <f>SUM($X$6:X305)</f>
        <v>159997.01955145877</v>
      </c>
      <c r="Z305" s="16">
        <f t="shared" si="135"/>
        <v>0.15999701955145876</v>
      </c>
      <c r="AA305" s="16">
        <f t="shared" si="131"/>
        <v>0.22408500775218085</v>
      </c>
      <c r="AB305" s="16">
        <f t="shared" si="132"/>
        <v>3.7905020091902109E-3</v>
      </c>
      <c r="AC305" s="16">
        <f t="shared" si="133"/>
        <v>5.6030157218948853E-3</v>
      </c>
    </row>
    <row r="306" spans="1:29" x14ac:dyDescent="0.15">
      <c r="A306" s="8">
        <v>41348</v>
      </c>
      <c r="B306" s="4">
        <v>1560.7</v>
      </c>
      <c r="C306" s="1">
        <v>12.0045</v>
      </c>
      <c r="D306" s="1">
        <v>2.21</v>
      </c>
      <c r="E306" s="1">
        <v>0.2863</v>
      </c>
      <c r="F306" s="4">
        <f t="shared" si="123"/>
        <v>0.120045</v>
      </c>
      <c r="G306" s="4">
        <f t="shared" si="124"/>
        <v>2.2099999999999998E-2</v>
      </c>
      <c r="H306" s="4">
        <f t="shared" si="125"/>
        <v>2.8630000000000001E-3</v>
      </c>
      <c r="I306" s="3">
        <f t="shared" si="126"/>
        <v>41.049088426581719</v>
      </c>
      <c r="J306" s="4">
        <f t="shared" si="136"/>
        <v>1186583.917502458</v>
      </c>
      <c r="K306" s="1">
        <f t="shared" si="137"/>
        <v>1556.22</v>
      </c>
      <c r="L306" s="5">
        <f t="shared" si="138"/>
        <v>0.23835616438356169</v>
      </c>
      <c r="M306" s="5">
        <f t="shared" si="139"/>
        <v>-0.49732684990303894</v>
      </c>
      <c r="N306" s="5">
        <f t="shared" si="140"/>
        <v>37.669716476975402</v>
      </c>
      <c r="O306" s="1">
        <f t="shared" si="141"/>
        <v>0</v>
      </c>
      <c r="P306" s="1">
        <f t="shared" si="142"/>
        <v>1556.22</v>
      </c>
      <c r="Q306" s="5">
        <f t="shared" si="143"/>
        <v>0.23835616438356169</v>
      </c>
      <c r="R306" s="5">
        <f t="shared" si="144"/>
        <v>-0.49732684990303894</v>
      </c>
      <c r="S306" s="5">
        <f t="shared" si="127"/>
        <v>37.669716476975402</v>
      </c>
      <c r="T306" s="5">
        <f t="shared" si="128"/>
        <v>-742.93782408391405</v>
      </c>
      <c r="U306" s="4">
        <f t="shared" si="129"/>
        <v>1186603.0653908802</v>
      </c>
      <c r="V306" s="4">
        <f t="shared" si="145"/>
        <v>19.14819741137612</v>
      </c>
      <c r="W306" s="4">
        <f t="shared" si="130"/>
        <v>1158616.8081976182</v>
      </c>
      <c r="X306" s="4">
        <f t="shared" si="134"/>
        <v>-1380.2113538405392</v>
      </c>
      <c r="Y306" s="9">
        <f>SUM($X$6:X306)</f>
        <v>158616.80819761823</v>
      </c>
      <c r="Z306" s="16">
        <f t="shared" si="135"/>
        <v>0.15861680819761823</v>
      </c>
      <c r="AA306" s="16">
        <f t="shared" si="131"/>
        <v>0.22210389488356078</v>
      </c>
      <c r="AB306" s="16">
        <f t="shared" si="132"/>
        <v>-1.1898404311195831E-3</v>
      </c>
      <c r="AC306" s="16">
        <f t="shared" si="133"/>
        <v>-1.6184438630271762E-3</v>
      </c>
    </row>
    <row r="307" spans="1:29" x14ac:dyDescent="0.15">
      <c r="A307" s="8">
        <v>41351</v>
      </c>
      <c r="B307" s="4">
        <v>1552.1</v>
      </c>
      <c r="C307" s="1">
        <v>12.7073</v>
      </c>
      <c r="D307" s="1">
        <v>2.2200000000000002</v>
      </c>
      <c r="E307" s="1">
        <v>0.2863</v>
      </c>
      <c r="F307" s="4">
        <f t="shared" si="123"/>
        <v>0.12707299999999999</v>
      </c>
      <c r="G307" s="4">
        <f t="shared" si="124"/>
        <v>2.2200000000000001E-2</v>
      </c>
      <c r="H307" s="4">
        <f t="shared" si="125"/>
        <v>2.8630000000000001E-3</v>
      </c>
      <c r="I307" s="3">
        <f t="shared" si="126"/>
        <v>43.001372307039162</v>
      </c>
      <c r="J307" s="4">
        <f t="shared" si="136"/>
        <v>1186603.0653908802</v>
      </c>
      <c r="K307" s="1">
        <f t="shared" si="137"/>
        <v>1556.22</v>
      </c>
      <c r="L307" s="5">
        <f t="shared" si="138"/>
        <v>0.23013698630136992</v>
      </c>
      <c r="M307" s="5">
        <f t="shared" si="139"/>
        <v>-0.53154713032993295</v>
      </c>
      <c r="N307" s="5">
        <f t="shared" si="140"/>
        <v>43.43962203081945</v>
      </c>
      <c r="O307" s="1">
        <f t="shared" si="141"/>
        <v>0</v>
      </c>
      <c r="P307" s="1">
        <f t="shared" si="142"/>
        <v>1556.22</v>
      </c>
      <c r="Q307" s="5">
        <f t="shared" si="143"/>
        <v>0.23013698630136992</v>
      </c>
      <c r="R307" s="5">
        <f t="shared" si="144"/>
        <v>-0.53154713032993295</v>
      </c>
      <c r="S307" s="5">
        <f t="shared" si="127"/>
        <v>43.43962203081945</v>
      </c>
      <c r="T307" s="5">
        <f t="shared" si="128"/>
        <v>-742.93782408391405</v>
      </c>
      <c r="U307" s="4">
        <f t="shared" si="129"/>
        <v>1186622.2135882915</v>
      </c>
      <c r="V307" s="4">
        <f t="shared" si="145"/>
        <v>57.445519216726325</v>
      </c>
      <c r="W307" s="4">
        <f t="shared" si="130"/>
        <v>1154349.2753176868</v>
      </c>
      <c r="X307" s="4">
        <f t="shared" si="134"/>
        <v>-4267.5328799313866</v>
      </c>
      <c r="Y307" s="9">
        <f>SUM($X$6:X307)</f>
        <v>154349.27531768684</v>
      </c>
      <c r="Z307" s="16">
        <f t="shared" si="135"/>
        <v>0.15434927531768683</v>
      </c>
      <c r="AA307" s="16">
        <f t="shared" si="131"/>
        <v>0.21536967722738162</v>
      </c>
      <c r="AB307" s="16">
        <f t="shared" si="132"/>
        <v>-3.683299646386193E-3</v>
      </c>
      <c r="AC307" s="16">
        <f t="shared" si="133"/>
        <v>-5.5103479208048547E-3</v>
      </c>
    </row>
    <row r="308" spans="1:29" x14ac:dyDescent="0.15">
      <c r="A308" s="8">
        <v>41352</v>
      </c>
      <c r="B308" s="4">
        <v>1548.34</v>
      </c>
      <c r="C308" s="1">
        <v>13.490399999999999</v>
      </c>
      <c r="D308" s="1">
        <v>2.23</v>
      </c>
      <c r="E308" s="1">
        <v>0.28839999999999999</v>
      </c>
      <c r="F308" s="4">
        <f t="shared" si="123"/>
        <v>0.134904</v>
      </c>
      <c r="G308" s="4">
        <f t="shared" si="124"/>
        <v>2.23E-2</v>
      </c>
      <c r="H308" s="4">
        <f t="shared" si="125"/>
        <v>2.8839999999999998E-3</v>
      </c>
      <c r="I308" s="3">
        <f t="shared" si="126"/>
        <v>45.312513002112418</v>
      </c>
      <c r="J308" s="4">
        <f t="shared" si="136"/>
        <v>1186622.2135882915</v>
      </c>
      <c r="K308" s="1">
        <f t="shared" si="137"/>
        <v>1556.22</v>
      </c>
      <c r="L308" s="5">
        <f t="shared" si="138"/>
        <v>0.22739726027397267</v>
      </c>
      <c r="M308" s="5">
        <f t="shared" si="139"/>
        <v>-0.54316596739796474</v>
      </c>
      <c r="N308" s="5">
        <f t="shared" si="140"/>
        <v>47.494657639907516</v>
      </c>
      <c r="O308" s="1">
        <f t="shared" si="141"/>
        <v>0</v>
      </c>
      <c r="P308" s="1">
        <f t="shared" si="142"/>
        <v>1556.22</v>
      </c>
      <c r="Q308" s="5">
        <f t="shared" si="143"/>
        <v>0.22739726027397267</v>
      </c>
      <c r="R308" s="5">
        <f t="shared" si="144"/>
        <v>-0.54316596739796474</v>
      </c>
      <c r="S308" s="5">
        <f t="shared" si="127"/>
        <v>47.494657639907516</v>
      </c>
      <c r="T308" s="5">
        <f t="shared" si="128"/>
        <v>-742.93782408391405</v>
      </c>
      <c r="U308" s="4">
        <f t="shared" si="129"/>
        <v>1186679.6591075084</v>
      </c>
      <c r="V308" s="4">
        <f t="shared" si="145"/>
        <v>19.149433403132118</v>
      </c>
      <c r="W308" s="4">
        <f t="shared" si="130"/>
        <v>1151394.0815049051</v>
      </c>
      <c r="X308" s="4">
        <f t="shared" si="134"/>
        <v>-2955.193812781712</v>
      </c>
      <c r="Y308" s="9">
        <f>SUM($X$6:X308)</f>
        <v>151394.08150490513</v>
      </c>
      <c r="Z308" s="16">
        <f t="shared" si="135"/>
        <v>0.15139408150490513</v>
      </c>
      <c r="AA308" s="16">
        <f t="shared" si="131"/>
        <v>0.21242541462421499</v>
      </c>
      <c r="AB308" s="16">
        <f t="shared" si="132"/>
        <v>-2.5600516897006042E-3</v>
      </c>
      <c r="AC308" s="16">
        <f t="shared" si="133"/>
        <v>-2.4225243218864707E-3</v>
      </c>
    </row>
    <row r="309" spans="1:29" x14ac:dyDescent="0.15">
      <c r="A309" s="8">
        <v>41353</v>
      </c>
      <c r="B309" s="4">
        <v>1558.71</v>
      </c>
      <c r="C309" s="1">
        <v>12.3582</v>
      </c>
      <c r="D309" s="1">
        <v>2.21</v>
      </c>
      <c r="E309" s="1">
        <v>0.2903</v>
      </c>
      <c r="F309" s="4">
        <f t="shared" si="123"/>
        <v>0.123582</v>
      </c>
      <c r="G309" s="4">
        <f t="shared" si="124"/>
        <v>2.2099999999999998E-2</v>
      </c>
      <c r="H309" s="4">
        <f t="shared" si="125"/>
        <v>2.9030000000000002E-3</v>
      </c>
      <c r="I309" s="3">
        <f t="shared" si="126"/>
        <v>42.079202904834602</v>
      </c>
      <c r="J309" s="4">
        <f t="shared" si="136"/>
        <v>1186679.6591075084</v>
      </c>
      <c r="K309" s="1">
        <f t="shared" si="137"/>
        <v>1556.22</v>
      </c>
      <c r="L309" s="5">
        <f t="shared" si="138"/>
        <v>0.22465753424657542</v>
      </c>
      <c r="M309" s="5">
        <f t="shared" si="139"/>
        <v>-0.50428990660990891</v>
      </c>
      <c r="N309" s="5">
        <f t="shared" si="140"/>
        <v>38.434440802201074</v>
      </c>
      <c r="O309" s="1">
        <f t="shared" si="141"/>
        <v>0</v>
      </c>
      <c r="P309" s="1">
        <f t="shared" si="142"/>
        <v>1556.22</v>
      </c>
      <c r="Q309" s="5">
        <f t="shared" si="143"/>
        <v>0.22465753424657542</v>
      </c>
      <c r="R309" s="5">
        <f t="shared" si="144"/>
        <v>-0.50428990660990891</v>
      </c>
      <c r="S309" s="5">
        <f t="shared" si="127"/>
        <v>38.434440802201074</v>
      </c>
      <c r="T309" s="5">
        <f t="shared" si="128"/>
        <v>-742.93782408391405</v>
      </c>
      <c r="U309" s="4">
        <f t="shared" si="129"/>
        <v>1186698.8085409114</v>
      </c>
      <c r="V309" s="4">
        <f t="shared" si="145"/>
        <v>19.149742417276624</v>
      </c>
      <c r="W309" s="4">
        <f t="shared" si="130"/>
        <v>1158144.4087214421</v>
      </c>
      <c r="X309" s="4">
        <f t="shared" si="134"/>
        <v>6750.3272165369708</v>
      </c>
      <c r="Y309" s="9">
        <f>SUM($X$6:X309)</f>
        <v>158144.4087214421</v>
      </c>
      <c r="Z309" s="16">
        <f t="shared" si="135"/>
        <v>0.15814440872144211</v>
      </c>
      <c r="AA309" s="16">
        <f t="shared" si="131"/>
        <v>0.22054562823986351</v>
      </c>
      <c r="AB309" s="16">
        <f t="shared" si="132"/>
        <v>5.8627426742667455E-3</v>
      </c>
      <c r="AC309" s="16">
        <f t="shared" si="133"/>
        <v>6.6974953821512841E-3</v>
      </c>
    </row>
    <row r="310" spans="1:29" x14ac:dyDescent="0.15">
      <c r="A310" s="8">
        <v>41354</v>
      </c>
      <c r="B310" s="4">
        <v>1545.8</v>
      </c>
      <c r="C310" s="1">
        <v>12.794</v>
      </c>
      <c r="D310" s="1">
        <v>2.23</v>
      </c>
      <c r="E310" s="1">
        <v>0.29039999999999999</v>
      </c>
      <c r="F310" s="4">
        <f t="shared" si="123"/>
        <v>0.12794</v>
      </c>
      <c r="G310" s="4">
        <f t="shared" si="124"/>
        <v>2.23E-2</v>
      </c>
      <c r="H310" s="4">
        <f t="shared" si="125"/>
        <v>2.9039999999999999E-3</v>
      </c>
      <c r="I310" s="3">
        <f t="shared" si="126"/>
        <v>43.103325528338196</v>
      </c>
      <c r="J310" s="4">
        <f t="shared" si="136"/>
        <v>1186698.8085409114</v>
      </c>
      <c r="K310" s="1">
        <f t="shared" si="137"/>
        <v>1556.22</v>
      </c>
      <c r="L310" s="5">
        <f t="shared" si="138"/>
        <v>0.22191780821917817</v>
      </c>
      <c r="M310" s="5">
        <f t="shared" si="139"/>
        <v>-0.55793455471523556</v>
      </c>
      <c r="N310" s="5">
        <f t="shared" si="140"/>
        <v>46.327640164249807</v>
      </c>
      <c r="O310" s="1">
        <f t="shared" si="141"/>
        <v>0</v>
      </c>
      <c r="P310" s="1">
        <f t="shared" si="142"/>
        <v>1556.22</v>
      </c>
      <c r="Q310" s="5">
        <f t="shared" si="143"/>
        <v>0.22191780821917817</v>
      </c>
      <c r="R310" s="5">
        <f t="shared" si="144"/>
        <v>-0.55793455471523556</v>
      </c>
      <c r="S310" s="5">
        <f t="shared" si="127"/>
        <v>46.327640164249807</v>
      </c>
      <c r="T310" s="5">
        <f t="shared" si="128"/>
        <v>-742.93782408391405</v>
      </c>
      <c r="U310" s="4">
        <f t="shared" si="129"/>
        <v>1186717.9582833287</v>
      </c>
      <c r="V310" s="4">
        <f t="shared" si="145"/>
        <v>19.150051436407686</v>
      </c>
      <c r="W310" s="4">
        <f t="shared" si="130"/>
        <v>1152299.4021047584</v>
      </c>
      <c r="X310" s="4">
        <f t="shared" si="134"/>
        <v>-5845.0066166836768</v>
      </c>
      <c r="Y310" s="9">
        <f>SUM($X$6:X310)</f>
        <v>152299.40210475842</v>
      </c>
      <c r="Z310" s="16">
        <f t="shared" si="135"/>
        <v>0.15229940210475842</v>
      </c>
      <c r="AA310" s="16">
        <f t="shared" si="131"/>
        <v>0.21043647126994819</v>
      </c>
      <c r="AB310" s="16">
        <f t="shared" si="132"/>
        <v>-5.0468720244795677E-3</v>
      </c>
      <c r="AC310" s="16">
        <f t="shared" si="133"/>
        <v>-8.2824900077628823E-3</v>
      </c>
    </row>
    <row r="311" spans="1:29" x14ac:dyDescent="0.15">
      <c r="A311" s="8">
        <v>41355</v>
      </c>
      <c r="B311" s="4">
        <v>1556.89</v>
      </c>
      <c r="C311" s="1">
        <v>13.0494</v>
      </c>
      <c r="D311" s="1">
        <v>2.21</v>
      </c>
      <c r="E311" s="1">
        <v>0.29089999999999999</v>
      </c>
      <c r="F311" s="4">
        <f t="shared" si="123"/>
        <v>0.130494</v>
      </c>
      <c r="G311" s="4">
        <f t="shared" si="124"/>
        <v>2.2099999999999998E-2</v>
      </c>
      <c r="H311" s="4">
        <f t="shared" si="125"/>
        <v>2.9090000000000001E-3</v>
      </c>
      <c r="I311" s="3">
        <f t="shared" si="126"/>
        <v>44.158597774376361</v>
      </c>
      <c r="J311" s="4">
        <f t="shared" si="136"/>
        <v>1186717.9582833287</v>
      </c>
      <c r="K311" s="1">
        <f t="shared" si="137"/>
        <v>1556.22</v>
      </c>
      <c r="L311" s="5">
        <f t="shared" si="138"/>
        <v>0.21917808219178092</v>
      </c>
      <c r="M311" s="5">
        <f t="shared" si="139"/>
        <v>-0.50999190889143187</v>
      </c>
      <c r="N311" s="5">
        <f t="shared" si="140"/>
        <v>40.830196018438528</v>
      </c>
      <c r="O311" s="1">
        <f t="shared" si="141"/>
        <v>0</v>
      </c>
      <c r="P311" s="1">
        <f t="shared" si="142"/>
        <v>1556.22</v>
      </c>
      <c r="Q311" s="5">
        <f t="shared" si="143"/>
        <v>0.21917808219178092</v>
      </c>
      <c r="R311" s="5">
        <f t="shared" si="144"/>
        <v>-0.50999190889143187</v>
      </c>
      <c r="S311" s="5">
        <f t="shared" si="127"/>
        <v>40.830196018438528</v>
      </c>
      <c r="T311" s="5">
        <f t="shared" si="128"/>
        <v>-742.93782408391405</v>
      </c>
      <c r="U311" s="4">
        <f t="shared" si="129"/>
        <v>1186737.1083347651</v>
      </c>
      <c r="V311" s="4">
        <f t="shared" si="145"/>
        <v>19.150360460525388</v>
      </c>
      <c r="W311" s="4">
        <f t="shared" si="130"/>
        <v>1156402.8113479067</v>
      </c>
      <c r="X311" s="4">
        <f t="shared" si="134"/>
        <v>4103.4092431482859</v>
      </c>
      <c r="Y311" s="9">
        <f>SUM($X$6:X311)</f>
        <v>156402.81134790671</v>
      </c>
      <c r="Z311" s="16">
        <f t="shared" si="135"/>
        <v>0.15640281134790671</v>
      </c>
      <c r="AA311" s="16">
        <f t="shared" si="131"/>
        <v>0.21912047985216057</v>
      </c>
      <c r="AB311" s="16">
        <f t="shared" si="132"/>
        <v>3.5610616786341392E-3</v>
      </c>
      <c r="AC311" s="16">
        <f t="shared" si="133"/>
        <v>7.1742786906457143E-3</v>
      </c>
    </row>
    <row r="312" spans="1:29" x14ac:dyDescent="0.15">
      <c r="A312" s="8">
        <v>41358</v>
      </c>
      <c r="B312" s="4">
        <v>1551.69</v>
      </c>
      <c r="C312" s="1">
        <v>13.079700000000001</v>
      </c>
      <c r="D312" s="1">
        <v>2.2200000000000002</v>
      </c>
      <c r="E312" s="1">
        <v>0.28939999999999999</v>
      </c>
      <c r="F312" s="4">
        <f t="shared" si="123"/>
        <v>0.130797</v>
      </c>
      <c r="G312" s="4">
        <f t="shared" si="124"/>
        <v>2.2200000000000001E-2</v>
      </c>
      <c r="H312" s="4">
        <f t="shared" si="125"/>
        <v>2.8939999999999999E-3</v>
      </c>
      <c r="I312" s="3">
        <f t="shared" si="126"/>
        <v>44.12717911336015</v>
      </c>
      <c r="J312" s="4">
        <f t="shared" si="136"/>
        <v>1186737.1083347651</v>
      </c>
      <c r="K312" s="1">
        <f t="shared" si="137"/>
        <v>1556.22</v>
      </c>
      <c r="L312" s="5">
        <f t="shared" si="138"/>
        <v>0.21095890410958915</v>
      </c>
      <c r="M312" s="5">
        <f t="shared" si="139"/>
        <v>-0.53188183820971613</v>
      </c>
      <c r="N312" s="5">
        <f t="shared" si="140"/>
        <v>42.805198847818048</v>
      </c>
      <c r="O312" s="1">
        <f t="shared" si="141"/>
        <v>0</v>
      </c>
      <c r="P312" s="1">
        <f t="shared" si="142"/>
        <v>1556.22</v>
      </c>
      <c r="Q312" s="5">
        <f t="shared" si="143"/>
        <v>0.21095890410958915</v>
      </c>
      <c r="R312" s="5">
        <f t="shared" si="144"/>
        <v>-0.53188183820971613</v>
      </c>
      <c r="S312" s="5">
        <f t="shared" si="127"/>
        <v>42.805198847818048</v>
      </c>
      <c r="T312" s="5">
        <f t="shared" si="128"/>
        <v>-742.93782408391405</v>
      </c>
      <c r="U312" s="4">
        <f t="shared" si="129"/>
        <v>1186756.2586952257</v>
      </c>
      <c r="V312" s="4">
        <f t="shared" si="145"/>
        <v>57.452008468889417</v>
      </c>
      <c r="W312" s="4">
        <f t="shared" si="130"/>
        <v>1154954.6574037485</v>
      </c>
      <c r="X312" s="4">
        <f t="shared" si="134"/>
        <v>-1448.1539441582281</v>
      </c>
      <c r="Y312" s="9">
        <f>SUM($X$6:X312)</f>
        <v>154954.65740374848</v>
      </c>
      <c r="Z312" s="16">
        <f t="shared" si="135"/>
        <v>0.15495465740374847</v>
      </c>
      <c r="AA312" s="16">
        <f t="shared" si="131"/>
        <v>0.21504862731586621</v>
      </c>
      <c r="AB312" s="16">
        <f t="shared" si="132"/>
        <v>-1.2522919608525123E-3</v>
      </c>
      <c r="AC312" s="16">
        <f t="shared" si="133"/>
        <v>-3.3399919069427159E-3</v>
      </c>
    </row>
    <row r="313" spans="1:29" x14ac:dyDescent="0.15">
      <c r="A313" s="8">
        <v>41359</v>
      </c>
      <c r="B313" s="4">
        <v>1563.77</v>
      </c>
      <c r="C313" s="1">
        <v>12.3344</v>
      </c>
      <c r="D313" s="1">
        <v>2.2000000000000002</v>
      </c>
      <c r="E313" s="1">
        <v>0.28989999999999999</v>
      </c>
      <c r="F313" s="4">
        <f t="shared" si="123"/>
        <v>0.12334400000000001</v>
      </c>
      <c r="G313" s="4">
        <f t="shared" si="124"/>
        <v>2.2000000000000002E-2</v>
      </c>
      <c r="H313" s="4">
        <f t="shared" si="125"/>
        <v>2.8990000000000001E-3</v>
      </c>
      <c r="I313" s="3">
        <f t="shared" si="126"/>
        <v>42.122891984741926</v>
      </c>
      <c r="J313" s="4">
        <f t="shared" si="136"/>
        <v>1186756.2586952257</v>
      </c>
      <c r="K313" s="1">
        <f t="shared" si="137"/>
        <v>1556.22</v>
      </c>
      <c r="L313" s="5">
        <f t="shared" si="138"/>
        <v>0.2082191780821919</v>
      </c>
      <c r="M313" s="5">
        <f t="shared" si="139"/>
        <v>-0.48045861422562414</v>
      </c>
      <c r="N313" s="5">
        <f t="shared" si="140"/>
        <v>34.265350861620774</v>
      </c>
      <c r="O313" s="1">
        <f t="shared" si="141"/>
        <v>0</v>
      </c>
      <c r="P313" s="1">
        <f t="shared" si="142"/>
        <v>1556.22</v>
      </c>
      <c r="Q313" s="5">
        <f t="shared" si="143"/>
        <v>0.2082191780821919</v>
      </c>
      <c r="R313" s="5">
        <f t="shared" si="144"/>
        <v>-0.48045861422562414</v>
      </c>
      <c r="S313" s="5">
        <f t="shared" si="127"/>
        <v>34.265350861620774</v>
      </c>
      <c r="T313" s="5">
        <f t="shared" si="128"/>
        <v>-742.93782408391405</v>
      </c>
      <c r="U313" s="4">
        <f t="shared" si="129"/>
        <v>1186813.7107036945</v>
      </c>
      <c r="V313" s="4">
        <f t="shared" si="145"/>
        <v>19.151596591903452</v>
      </c>
      <c r="W313" s="4">
        <f t="shared" si="130"/>
        <v>1161356.6854930902</v>
      </c>
      <c r="X313" s="4">
        <f t="shared" si="134"/>
        <v>6402.0280893417075</v>
      </c>
      <c r="Y313" s="9">
        <f>SUM($X$6:X313)</f>
        <v>161356.68549309019</v>
      </c>
      <c r="Z313" s="16">
        <f t="shared" si="135"/>
        <v>0.16135668549309018</v>
      </c>
      <c r="AA313" s="16">
        <f t="shared" si="131"/>
        <v>0.22450785397710371</v>
      </c>
      <c r="AB313" s="16">
        <f t="shared" si="132"/>
        <v>5.5430990717271851E-3</v>
      </c>
      <c r="AC313" s="16">
        <f t="shared" si="133"/>
        <v>7.7850601602123667E-3</v>
      </c>
    </row>
    <row r="314" spans="1:29" x14ac:dyDescent="0.15">
      <c r="A314" s="8">
        <v>41360</v>
      </c>
      <c r="B314" s="4">
        <v>1562.85</v>
      </c>
      <c r="C314" s="1">
        <v>12.387700000000001</v>
      </c>
      <c r="D314" s="1">
        <v>2.2000000000000002</v>
      </c>
      <c r="E314" s="1">
        <v>0.2868</v>
      </c>
      <c r="F314" s="4">
        <f t="shared" si="123"/>
        <v>0.123877</v>
      </c>
      <c r="G314" s="4">
        <f t="shared" si="124"/>
        <v>2.2000000000000002E-2</v>
      </c>
      <c r="H314" s="4">
        <f t="shared" si="125"/>
        <v>2.8679999999999999E-3</v>
      </c>
      <c r="I314" s="3">
        <f t="shared" si="126"/>
        <v>42.269511336142763</v>
      </c>
      <c r="J314" s="4">
        <f t="shared" si="136"/>
        <v>1186813.7107036945</v>
      </c>
      <c r="K314" s="1">
        <f t="shared" si="137"/>
        <v>1556.22</v>
      </c>
      <c r="L314" s="5">
        <f t="shared" si="138"/>
        <v>0.20547945205479465</v>
      </c>
      <c r="M314" s="5">
        <f t="shared" si="139"/>
        <v>-0.4843334622940646</v>
      </c>
      <c r="N314" s="5">
        <f t="shared" si="140"/>
        <v>34.594397471735313</v>
      </c>
      <c r="O314" s="1">
        <f t="shared" si="141"/>
        <v>0</v>
      </c>
      <c r="P314" s="1">
        <f t="shared" si="142"/>
        <v>1556.22</v>
      </c>
      <c r="Q314" s="5">
        <f t="shared" si="143"/>
        <v>0.20547945205479465</v>
      </c>
      <c r="R314" s="5">
        <f t="shared" si="144"/>
        <v>-0.4843334622940646</v>
      </c>
      <c r="S314" s="5">
        <f t="shared" si="127"/>
        <v>34.594397471735313</v>
      </c>
      <c r="T314" s="5">
        <f t="shared" si="128"/>
        <v>-742.93782408391405</v>
      </c>
      <c r="U314" s="4">
        <f t="shared" si="129"/>
        <v>1186832.8623002863</v>
      </c>
      <c r="V314" s="4">
        <f t="shared" si="145"/>
        <v>19.151905640955302</v>
      </c>
      <c r="W314" s="4">
        <f t="shared" si="130"/>
        <v>1161131.3759171413</v>
      </c>
      <c r="X314" s="4">
        <f t="shared" si="134"/>
        <v>-225.30957594886422</v>
      </c>
      <c r="Y314" s="9">
        <f>SUM($X$6:X314)</f>
        <v>161131.37591714133</v>
      </c>
      <c r="Z314" s="16">
        <f t="shared" si="135"/>
        <v>0.16113137591714133</v>
      </c>
      <c r="AA314" s="16">
        <f t="shared" si="131"/>
        <v>0.22378744929760541</v>
      </c>
      <c r="AB314" s="16">
        <f t="shared" si="132"/>
        <v>-1.9400549268220902E-4</v>
      </c>
      <c r="AC314" s="16">
        <f t="shared" si="133"/>
        <v>-5.8832181203122757E-4</v>
      </c>
    </row>
    <row r="315" spans="1:29" x14ac:dyDescent="0.15">
      <c r="A315" s="8">
        <v>41361</v>
      </c>
      <c r="B315" s="4">
        <v>1569.19</v>
      </c>
      <c r="C315" s="1">
        <v>12.338699999999999</v>
      </c>
      <c r="D315" s="1">
        <v>2.2000000000000002</v>
      </c>
      <c r="E315" s="1">
        <v>0.28570000000000001</v>
      </c>
      <c r="F315" s="4">
        <f t="shared" si="123"/>
        <v>0.123387</v>
      </c>
      <c r="G315" s="4">
        <f t="shared" si="124"/>
        <v>2.2000000000000002E-2</v>
      </c>
      <c r="H315" s="4">
        <f t="shared" si="125"/>
        <v>2.8570000000000002E-3</v>
      </c>
      <c r="I315" s="3">
        <f t="shared" si="126"/>
        <v>42.291159206569148</v>
      </c>
      <c r="J315" s="4">
        <f t="shared" si="136"/>
        <v>1186832.8623002863</v>
      </c>
      <c r="K315" s="1">
        <f t="shared" si="137"/>
        <v>1556.22</v>
      </c>
      <c r="L315" s="5">
        <f t="shared" si="138"/>
        <v>0.2027397260273974</v>
      </c>
      <c r="M315" s="5">
        <f t="shared" si="139"/>
        <v>-0.45523522970354907</v>
      </c>
      <c r="N315" s="5">
        <f t="shared" si="140"/>
        <v>31.209351058930515</v>
      </c>
      <c r="O315" s="1">
        <f t="shared" si="141"/>
        <v>0</v>
      </c>
      <c r="P315" s="1">
        <f t="shared" si="142"/>
        <v>1556.22</v>
      </c>
      <c r="Q315" s="5">
        <f t="shared" si="143"/>
        <v>0.2027397260273974</v>
      </c>
      <c r="R315" s="5">
        <f t="shared" si="144"/>
        <v>-0.45523522970354907</v>
      </c>
      <c r="S315" s="5">
        <f t="shared" si="127"/>
        <v>31.209351058930515</v>
      </c>
      <c r="T315" s="5">
        <f t="shared" si="128"/>
        <v>-742.93782408391405</v>
      </c>
      <c r="U315" s="4">
        <f t="shared" si="129"/>
        <v>1186852.0142059273</v>
      </c>
      <c r="V315" s="4">
        <f t="shared" si="145"/>
        <v>19.152214694994274</v>
      </c>
      <c r="W315" s="4">
        <f t="shared" si="130"/>
        <v>1163665.4068391344</v>
      </c>
      <c r="X315" s="4">
        <f t="shared" si="134"/>
        <v>2534.0309219930787</v>
      </c>
      <c r="Y315" s="9">
        <f>SUM($X$6:X315)</f>
        <v>163665.4068391344</v>
      </c>
      <c r="Z315" s="16">
        <f t="shared" si="135"/>
        <v>0.16366540683913441</v>
      </c>
      <c r="AA315" s="16">
        <f t="shared" si="131"/>
        <v>0.22875197719762588</v>
      </c>
      <c r="AB315" s="16">
        <f t="shared" si="132"/>
        <v>2.1823808869099993E-3</v>
      </c>
      <c r="AC315" s="16">
        <f t="shared" si="133"/>
        <v>4.0566913011486358E-3</v>
      </c>
    </row>
    <row r="316" spans="1:29" x14ac:dyDescent="0.15">
      <c r="A316" s="8">
        <v>41365</v>
      </c>
      <c r="B316" s="4">
        <v>1562.17</v>
      </c>
      <c r="C316" s="1">
        <v>12.916</v>
      </c>
      <c r="D316" s="1">
        <v>2.21</v>
      </c>
      <c r="E316" s="1">
        <v>0.28570000000000001</v>
      </c>
      <c r="F316" s="4">
        <f t="shared" si="123"/>
        <v>0.12916</v>
      </c>
      <c r="G316" s="4">
        <f t="shared" si="124"/>
        <v>2.2099999999999998E-2</v>
      </c>
      <c r="H316" s="4">
        <f t="shared" si="125"/>
        <v>2.8570000000000002E-3</v>
      </c>
      <c r="I316" s="3">
        <f t="shared" si="126"/>
        <v>43.906853256551528</v>
      </c>
      <c r="J316" s="4">
        <f t="shared" si="136"/>
        <v>1186852.0142059273</v>
      </c>
      <c r="K316" s="1">
        <f t="shared" si="137"/>
        <v>1556.22</v>
      </c>
      <c r="L316" s="5">
        <f t="shared" si="138"/>
        <v>0.19178082191780835</v>
      </c>
      <c r="M316" s="5">
        <f t="shared" si="139"/>
        <v>-0.48576987629526924</v>
      </c>
      <c r="N316" s="5">
        <f t="shared" si="140"/>
        <v>34.997201611408734</v>
      </c>
      <c r="O316" s="1">
        <f t="shared" si="141"/>
        <v>0</v>
      </c>
      <c r="P316" s="1">
        <f t="shared" si="142"/>
        <v>1556.22</v>
      </c>
      <c r="Q316" s="5">
        <f t="shared" si="143"/>
        <v>0.19178082191780835</v>
      </c>
      <c r="R316" s="5">
        <f t="shared" si="144"/>
        <v>-0.48576987629526924</v>
      </c>
      <c r="S316" s="5">
        <f t="shared" si="127"/>
        <v>34.997201611408734</v>
      </c>
      <c r="T316" s="5">
        <f t="shared" si="128"/>
        <v>-742.93782408391405</v>
      </c>
      <c r="U316" s="4">
        <f t="shared" si="129"/>
        <v>1186871.1664206223</v>
      </c>
      <c r="V316" s="4">
        <f t="shared" si="145"/>
        <v>76.6100950160818</v>
      </c>
      <c r="W316" s="4">
        <f t="shared" si="130"/>
        <v>1160870.4216064161</v>
      </c>
      <c r="X316" s="4">
        <f t="shared" si="134"/>
        <v>-2794.9852327182889</v>
      </c>
      <c r="Y316" s="9">
        <f>SUM($X$6:X316)</f>
        <v>160870.42160641612</v>
      </c>
      <c r="Z316" s="16">
        <f t="shared" si="135"/>
        <v>0.16087042160641613</v>
      </c>
      <c r="AA316" s="16">
        <f t="shared" si="131"/>
        <v>0.22325497627362859</v>
      </c>
      <c r="AB316" s="16">
        <f t="shared" si="132"/>
        <v>-2.4018804858265148E-3</v>
      </c>
      <c r="AC316" s="16">
        <f t="shared" si="133"/>
        <v>-4.4736456388327619E-3</v>
      </c>
    </row>
    <row r="317" spans="1:29" x14ac:dyDescent="0.15">
      <c r="A317" s="8">
        <v>41366</v>
      </c>
      <c r="B317" s="4">
        <v>1570.25</v>
      </c>
      <c r="C317" s="1">
        <v>12.398099999999999</v>
      </c>
      <c r="D317" s="1">
        <v>2.2000000000000002</v>
      </c>
      <c r="E317" s="1">
        <v>0.28520000000000001</v>
      </c>
      <c r="F317" s="4">
        <f t="shared" si="123"/>
        <v>0.12398099999999999</v>
      </c>
      <c r="G317" s="4">
        <f t="shared" si="124"/>
        <v>2.2000000000000002E-2</v>
      </c>
      <c r="H317" s="4">
        <f t="shared" si="125"/>
        <v>2.8519999999999999E-3</v>
      </c>
      <c r="I317" s="3">
        <f t="shared" si="126"/>
        <v>42.505371645918117</v>
      </c>
      <c r="J317" s="4">
        <f t="shared" si="136"/>
        <v>1186871.1664206223</v>
      </c>
      <c r="K317" s="1">
        <f t="shared" si="137"/>
        <v>1556.22</v>
      </c>
      <c r="L317" s="5">
        <f t="shared" si="138"/>
        <v>0.1890410958904111</v>
      </c>
      <c r="M317" s="5">
        <f t="shared" si="139"/>
        <v>-0.44788127957736523</v>
      </c>
      <c r="N317" s="5">
        <f t="shared" si="140"/>
        <v>29.523901026494521</v>
      </c>
      <c r="O317" s="1">
        <f t="shared" si="141"/>
        <v>0</v>
      </c>
      <c r="P317" s="1">
        <f t="shared" si="142"/>
        <v>1556.22</v>
      </c>
      <c r="Q317" s="5">
        <f t="shared" si="143"/>
        <v>0.1890410958904111</v>
      </c>
      <c r="R317" s="5">
        <f t="shared" si="144"/>
        <v>-0.44788127957736523</v>
      </c>
      <c r="S317" s="5">
        <f t="shared" si="127"/>
        <v>29.523901026494521</v>
      </c>
      <c r="T317" s="5">
        <f t="shared" si="128"/>
        <v>-742.93782408391405</v>
      </c>
      <c r="U317" s="4">
        <f t="shared" si="129"/>
        <v>1186947.7765156385</v>
      </c>
      <c r="V317" s="4">
        <f t="shared" si="145"/>
        <v>19.153760010074276</v>
      </c>
      <c r="W317" s="4">
        <f t="shared" si="130"/>
        <v>1165013.3537285458</v>
      </c>
      <c r="X317" s="4">
        <f t="shared" si="134"/>
        <v>4142.9321221297141</v>
      </c>
      <c r="Y317" s="9">
        <f>SUM($X$6:X317)</f>
        <v>165013.35372854583</v>
      </c>
      <c r="Z317" s="16">
        <f t="shared" si="135"/>
        <v>0.16501335372854584</v>
      </c>
      <c r="AA317" s="16">
        <f t="shared" si="131"/>
        <v>0.22958200867617815</v>
      </c>
      <c r="AB317" s="16">
        <f t="shared" si="132"/>
        <v>3.5688153001578863E-3</v>
      </c>
      <c r="AC317" s="16">
        <f t="shared" si="133"/>
        <v>5.1722923881523308E-3</v>
      </c>
    </row>
    <row r="318" spans="1:29" x14ac:dyDescent="0.15">
      <c r="A318" s="8">
        <v>41367</v>
      </c>
      <c r="B318" s="4">
        <v>1553.69</v>
      </c>
      <c r="C318" s="1">
        <v>12.986800000000001</v>
      </c>
      <c r="D318" s="1">
        <v>2.2200000000000002</v>
      </c>
      <c r="E318" s="1">
        <v>0.28420000000000001</v>
      </c>
      <c r="F318" s="4">
        <f t="shared" si="123"/>
        <v>0.12986800000000001</v>
      </c>
      <c r="G318" s="4">
        <f t="shared" si="124"/>
        <v>2.2200000000000001E-2</v>
      </c>
      <c r="H318" s="4">
        <f t="shared" si="125"/>
        <v>2.8419999999999999E-3</v>
      </c>
      <c r="I318" s="3">
        <f t="shared" si="126"/>
        <v>43.909289689864352</v>
      </c>
      <c r="J318" s="4">
        <f t="shared" si="136"/>
        <v>1186947.7765156385</v>
      </c>
      <c r="K318" s="1">
        <f t="shared" si="137"/>
        <v>1556.22</v>
      </c>
      <c r="L318" s="5">
        <f t="shared" si="138"/>
        <v>0.18630136986301385</v>
      </c>
      <c r="M318" s="5">
        <f t="shared" si="139"/>
        <v>-0.52387595985488655</v>
      </c>
      <c r="N318" s="5">
        <f t="shared" si="140"/>
        <v>38.897686620451367</v>
      </c>
      <c r="O318" s="1">
        <f t="shared" si="141"/>
        <v>0</v>
      </c>
      <c r="P318" s="1">
        <f t="shared" si="142"/>
        <v>1556.22</v>
      </c>
      <c r="Q318" s="5">
        <f t="shared" si="143"/>
        <v>0.18630136986301385</v>
      </c>
      <c r="R318" s="5">
        <f t="shared" si="144"/>
        <v>-0.52387595985488655</v>
      </c>
      <c r="S318" s="5">
        <f t="shared" si="127"/>
        <v>38.897686620451367</v>
      </c>
      <c r="T318" s="5">
        <f t="shared" si="128"/>
        <v>-742.93782408391405</v>
      </c>
      <c r="U318" s="4">
        <f t="shared" si="129"/>
        <v>1186966.9302756486</v>
      </c>
      <c r="V318" s="4">
        <f t="shared" si="145"/>
        <v>19.154069094037176</v>
      </c>
      <c r="W318" s="4">
        <f t="shared" si="130"/>
        <v>1158068.3676159524</v>
      </c>
      <c r="X318" s="4">
        <f t="shared" si="134"/>
        <v>-6944.9861125934403</v>
      </c>
      <c r="Y318" s="9">
        <f>SUM($X$6:X318)</f>
        <v>158068.36761595239</v>
      </c>
      <c r="Z318" s="16">
        <f t="shared" si="135"/>
        <v>0.15806836761595239</v>
      </c>
      <c r="AA318" s="16">
        <f t="shared" si="131"/>
        <v>0.21661472444521018</v>
      </c>
      <c r="AB318" s="16">
        <f t="shared" si="132"/>
        <v>-5.9612931391442728E-3</v>
      </c>
      <c r="AC318" s="16">
        <f t="shared" si="133"/>
        <v>-1.0546091386721825E-2</v>
      </c>
    </row>
    <row r="319" spans="1:29" x14ac:dyDescent="0.15">
      <c r="A319" s="8">
        <v>41368</v>
      </c>
      <c r="B319" s="4">
        <v>1559.98</v>
      </c>
      <c r="C319" s="1">
        <v>13.0144</v>
      </c>
      <c r="D319" s="1">
        <v>2.21</v>
      </c>
      <c r="E319" s="1">
        <v>0.28349999999999997</v>
      </c>
      <c r="F319" s="4">
        <f t="shared" si="123"/>
        <v>0.13014400000000001</v>
      </c>
      <c r="G319" s="4">
        <f t="shared" si="124"/>
        <v>2.2099999999999998E-2</v>
      </c>
      <c r="H319" s="4">
        <f t="shared" si="125"/>
        <v>2.8349999999999998E-3</v>
      </c>
      <c r="I319" s="3">
        <f t="shared" si="126"/>
        <v>44.153765291854739</v>
      </c>
      <c r="J319" s="4">
        <f t="shared" si="136"/>
        <v>1186966.9302756486</v>
      </c>
      <c r="K319" s="1">
        <f t="shared" si="137"/>
        <v>1556.22</v>
      </c>
      <c r="L319" s="5">
        <f t="shared" si="138"/>
        <v>0.1835616438356166</v>
      </c>
      <c r="M319" s="5">
        <f t="shared" si="139"/>
        <v>-0.49490160445042486</v>
      </c>
      <c r="N319" s="5">
        <f t="shared" si="140"/>
        <v>35.45560643883082</v>
      </c>
      <c r="O319" s="1">
        <f t="shared" si="141"/>
        <v>0</v>
      </c>
      <c r="P319" s="1">
        <f t="shared" si="142"/>
        <v>1556.22</v>
      </c>
      <c r="Q319" s="5">
        <f t="shared" si="143"/>
        <v>0.1835616438356166</v>
      </c>
      <c r="R319" s="5">
        <f t="shared" si="144"/>
        <v>-0.49490160445042486</v>
      </c>
      <c r="S319" s="5">
        <f t="shared" si="127"/>
        <v>35.45560643883082</v>
      </c>
      <c r="T319" s="5">
        <f t="shared" si="128"/>
        <v>-742.93782408391405</v>
      </c>
      <c r="U319" s="4">
        <f t="shared" si="129"/>
        <v>1186986.0843447426</v>
      </c>
      <c r="V319" s="4">
        <f t="shared" si="145"/>
        <v>19.154378182987763</v>
      </c>
      <c r="W319" s="4">
        <f t="shared" si="130"/>
        <v>1160644.773245502</v>
      </c>
      <c r="X319" s="4">
        <f t="shared" si="134"/>
        <v>2576.4056295496412</v>
      </c>
      <c r="Y319" s="9">
        <f>SUM($X$6:X319)</f>
        <v>160644.77324550203</v>
      </c>
      <c r="Z319" s="16">
        <f t="shared" si="135"/>
        <v>0.16064477324550203</v>
      </c>
      <c r="AA319" s="16">
        <f t="shared" si="131"/>
        <v>0.22154009991699691</v>
      </c>
      <c r="AB319" s="16">
        <f t="shared" si="132"/>
        <v>2.2247439802310955E-3</v>
      </c>
      <c r="AC319" s="16">
        <f t="shared" si="133"/>
        <v>4.0484266488166644E-3</v>
      </c>
    </row>
    <row r="320" spans="1:29" x14ac:dyDescent="0.15">
      <c r="A320" s="8">
        <v>41369</v>
      </c>
      <c r="B320" s="4">
        <v>1553.28</v>
      </c>
      <c r="C320" s="1">
        <v>13.2089</v>
      </c>
      <c r="D320" s="1">
        <v>2.2200000000000002</v>
      </c>
      <c r="E320" s="1">
        <v>0.28249999999999997</v>
      </c>
      <c r="F320" s="4">
        <f t="shared" si="123"/>
        <v>0.13208900000000001</v>
      </c>
      <c r="G320" s="4">
        <f t="shared" si="124"/>
        <v>2.2200000000000001E-2</v>
      </c>
      <c r="H320" s="4">
        <f t="shared" si="125"/>
        <v>2.8249999999999998E-3</v>
      </c>
      <c r="I320" s="3">
        <f t="shared" si="126"/>
        <v>44.584099252587393</v>
      </c>
      <c r="J320" s="4">
        <f t="shared" si="136"/>
        <v>1186986.0843447426</v>
      </c>
      <c r="K320" s="1">
        <f t="shared" si="137"/>
        <v>1556.22</v>
      </c>
      <c r="L320" s="5">
        <f t="shared" si="138"/>
        <v>0.18082191780821935</v>
      </c>
      <c r="M320" s="5">
        <f t="shared" si="139"/>
        <v>-0.52497788744856255</v>
      </c>
      <c r="N320" s="5">
        <f t="shared" si="140"/>
        <v>39.099699851389794</v>
      </c>
      <c r="O320" s="1">
        <f t="shared" si="141"/>
        <v>0</v>
      </c>
      <c r="P320" s="1">
        <f t="shared" si="142"/>
        <v>1556.22</v>
      </c>
      <c r="Q320" s="5">
        <f t="shared" si="143"/>
        <v>0.18082191780821935</v>
      </c>
      <c r="R320" s="5">
        <f t="shared" si="144"/>
        <v>-0.52497788744856255</v>
      </c>
      <c r="S320" s="5">
        <f t="shared" si="127"/>
        <v>39.099699851389794</v>
      </c>
      <c r="T320" s="5">
        <f t="shared" si="128"/>
        <v>-742.93782408391405</v>
      </c>
      <c r="U320" s="4">
        <f t="shared" si="129"/>
        <v>1187005.2387229255</v>
      </c>
      <c r="V320" s="4">
        <f t="shared" si="145"/>
        <v>19.154687276926111</v>
      </c>
      <c r="W320" s="4">
        <f t="shared" si="130"/>
        <v>1157956.5927929999</v>
      </c>
      <c r="X320" s="4">
        <f t="shared" si="134"/>
        <v>-2688.1804525020998</v>
      </c>
      <c r="Y320" s="9">
        <f>SUM($X$6:X320)</f>
        <v>157956.59279299993</v>
      </c>
      <c r="Z320" s="16">
        <f t="shared" si="135"/>
        <v>0.15795659279299992</v>
      </c>
      <c r="AA320" s="16">
        <f t="shared" si="131"/>
        <v>0.21629367453369461</v>
      </c>
      <c r="AB320" s="16">
        <f t="shared" si="132"/>
        <v>-2.3161095577806821E-3</v>
      </c>
      <c r="AC320" s="16">
        <f t="shared" si="133"/>
        <v>-4.2949268580366705E-3</v>
      </c>
    </row>
    <row r="321" spans="1:29" x14ac:dyDescent="0.15">
      <c r="A321" s="8">
        <v>41372</v>
      </c>
      <c r="B321" s="4">
        <v>1563.07</v>
      </c>
      <c r="C321" s="1">
        <v>12.6287</v>
      </c>
      <c r="D321" s="1">
        <v>2.21</v>
      </c>
      <c r="E321" s="1">
        <v>0.28249999999999997</v>
      </c>
      <c r="F321" s="4">
        <f t="shared" si="123"/>
        <v>0.12628700000000001</v>
      </c>
      <c r="G321" s="4">
        <f t="shared" si="124"/>
        <v>2.2099999999999998E-2</v>
      </c>
      <c r="H321" s="4">
        <f t="shared" si="125"/>
        <v>2.8249999999999998E-3</v>
      </c>
      <c r="I321" s="3">
        <f t="shared" si="126"/>
        <v>43.050127485043198</v>
      </c>
      <c r="J321" s="4">
        <f t="shared" si="136"/>
        <v>1187005.2387229255</v>
      </c>
      <c r="K321" s="1">
        <f t="shared" si="137"/>
        <v>1556.22</v>
      </c>
      <c r="L321" s="5">
        <f t="shared" si="138"/>
        <v>0.17260273972602758</v>
      </c>
      <c r="M321" s="5">
        <f t="shared" si="139"/>
        <v>-0.47960930380682926</v>
      </c>
      <c r="N321" s="5">
        <f t="shared" si="140"/>
        <v>31.749063684722092</v>
      </c>
      <c r="O321" s="1">
        <f t="shared" si="141"/>
        <v>0</v>
      </c>
      <c r="P321" s="1">
        <f t="shared" si="142"/>
        <v>1556.22</v>
      </c>
      <c r="Q321" s="5">
        <f t="shared" si="143"/>
        <v>0.17260273972602758</v>
      </c>
      <c r="R321" s="5">
        <f t="shared" si="144"/>
        <v>-0.47960930380682926</v>
      </c>
      <c r="S321" s="5">
        <f t="shared" si="127"/>
        <v>31.749063684722092</v>
      </c>
      <c r="T321" s="5">
        <f t="shared" si="128"/>
        <v>-742.93782408391405</v>
      </c>
      <c r="U321" s="4">
        <f t="shared" si="129"/>
        <v>1187024.3934102026</v>
      </c>
      <c r="V321" s="4">
        <f t="shared" si="145"/>
        <v>57.464989127556926</v>
      </c>
      <c r="W321" s="4">
        <f t="shared" si="130"/>
        <v>1163436.8131195735</v>
      </c>
      <c r="X321" s="4">
        <f t="shared" si="134"/>
        <v>5480.220326573588</v>
      </c>
      <c r="Y321" s="9">
        <f>SUM($X$6:X321)</f>
        <v>163436.81311957352</v>
      </c>
      <c r="Z321" s="16">
        <f t="shared" si="135"/>
        <v>0.16343681311957353</v>
      </c>
      <c r="AA321" s="16">
        <f t="shared" si="131"/>
        <v>0.22395971998183328</v>
      </c>
      <c r="AB321" s="16">
        <f t="shared" si="132"/>
        <v>4.7326647308559774E-3</v>
      </c>
      <c r="AC321" s="16">
        <f t="shared" si="133"/>
        <v>6.3027915121549004E-3</v>
      </c>
    </row>
    <row r="322" spans="1:29" x14ac:dyDescent="0.15">
      <c r="A322" s="8">
        <v>41373</v>
      </c>
      <c r="B322" s="4">
        <v>1568.61</v>
      </c>
      <c r="C322" s="1">
        <v>12.0738</v>
      </c>
      <c r="D322" s="1">
        <v>2.19</v>
      </c>
      <c r="E322" s="1">
        <v>0.28120000000000001</v>
      </c>
      <c r="F322" s="4">
        <f t="shared" si="123"/>
        <v>0.120738</v>
      </c>
      <c r="G322" s="4">
        <f t="shared" si="124"/>
        <v>2.1899999999999999E-2</v>
      </c>
      <c r="H322" s="4">
        <f t="shared" si="125"/>
        <v>2.8120000000000003E-3</v>
      </c>
      <c r="I322" s="3">
        <f t="shared" si="126"/>
        <v>41.442632692145772</v>
      </c>
      <c r="J322" s="4">
        <f t="shared" si="136"/>
        <v>1187024.3934102026</v>
      </c>
      <c r="K322" s="1">
        <f t="shared" si="137"/>
        <v>1556.22</v>
      </c>
      <c r="L322" s="5">
        <f t="shared" si="138"/>
        <v>0.16986301369863033</v>
      </c>
      <c r="M322" s="5">
        <f t="shared" si="139"/>
        <v>-0.45092357863733101</v>
      </c>
      <c r="N322" s="5">
        <f t="shared" si="140"/>
        <v>27.431432315139407</v>
      </c>
      <c r="O322" s="1">
        <f t="shared" si="141"/>
        <v>0</v>
      </c>
      <c r="P322" s="1">
        <f t="shared" si="142"/>
        <v>1556.22</v>
      </c>
      <c r="Q322" s="5">
        <f t="shared" si="143"/>
        <v>0.16986301369863033</v>
      </c>
      <c r="R322" s="5">
        <f t="shared" si="144"/>
        <v>-0.45092357863733101</v>
      </c>
      <c r="S322" s="5">
        <f t="shared" si="127"/>
        <v>27.431432315139407</v>
      </c>
      <c r="T322" s="5">
        <f t="shared" si="128"/>
        <v>-742.93782408391405</v>
      </c>
      <c r="U322" s="4">
        <f t="shared" si="129"/>
        <v>1187081.8583993302</v>
      </c>
      <c r="V322" s="4">
        <f t="shared" si="145"/>
        <v>19.155923687594669</v>
      </c>
      <c r="W322" s="4">
        <f t="shared" si="130"/>
        <v>1166702.0097636154</v>
      </c>
      <c r="X322" s="4">
        <f t="shared" si="134"/>
        <v>3265.1966440419201</v>
      </c>
      <c r="Y322" s="9">
        <f>SUM($X$6:X322)</f>
        <v>166702.00976361544</v>
      </c>
      <c r="Z322" s="16">
        <f t="shared" si="135"/>
        <v>0.16670200976361543</v>
      </c>
      <c r="AA322" s="16">
        <f t="shared" si="131"/>
        <v>0.22829780903011601</v>
      </c>
      <c r="AB322" s="16">
        <f t="shared" si="132"/>
        <v>2.8065096507362587E-3</v>
      </c>
      <c r="AC322" s="16">
        <f t="shared" si="133"/>
        <v>3.544307036792955E-3</v>
      </c>
    </row>
    <row r="323" spans="1:29" x14ac:dyDescent="0.15">
      <c r="A323" s="8">
        <v>41374</v>
      </c>
      <c r="B323" s="4">
        <v>1587.73</v>
      </c>
      <c r="C323" s="1">
        <v>11.876799999999999</v>
      </c>
      <c r="D323" s="1">
        <v>2.17</v>
      </c>
      <c r="E323" s="1">
        <v>0.2802</v>
      </c>
      <c r="F323" s="4">
        <f t="shared" si="123"/>
        <v>0.118768</v>
      </c>
      <c r="G323" s="4">
        <f t="shared" si="124"/>
        <v>2.1700000000000001E-2</v>
      </c>
      <c r="H323" s="4">
        <f t="shared" si="125"/>
        <v>2.8020000000000002E-3</v>
      </c>
      <c r="I323" s="3">
        <f t="shared" si="126"/>
        <v>41.290087880251178</v>
      </c>
      <c r="J323" s="4">
        <f t="shared" si="136"/>
        <v>1187081.8583993302</v>
      </c>
      <c r="K323" s="1">
        <f t="shared" si="137"/>
        <v>1556.22</v>
      </c>
      <c r="L323" s="5">
        <f t="shared" si="138"/>
        <v>0.16712328767123308</v>
      </c>
      <c r="M323" s="5">
        <f t="shared" si="139"/>
        <v>-0.35362991152536222</v>
      </c>
      <c r="N323" s="5">
        <f t="shared" si="140"/>
        <v>18.956878000165503</v>
      </c>
      <c r="O323" s="1">
        <f t="shared" si="141"/>
        <v>0</v>
      </c>
      <c r="P323" s="1">
        <f t="shared" si="142"/>
        <v>1556.22</v>
      </c>
      <c r="Q323" s="5">
        <f t="shared" si="143"/>
        <v>0.16712328767123308</v>
      </c>
      <c r="R323" s="5">
        <f t="shared" si="144"/>
        <v>-0.35362991152536222</v>
      </c>
      <c r="S323" s="5">
        <f t="shared" si="127"/>
        <v>18.956878000165503</v>
      </c>
      <c r="T323" s="5">
        <f t="shared" si="128"/>
        <v>-742.93782408391405</v>
      </c>
      <c r="U323" s="4">
        <f t="shared" si="129"/>
        <v>1187101.0143230178</v>
      </c>
      <c r="V323" s="4">
        <f t="shared" si="145"/>
        <v>19.156232806472808</v>
      </c>
      <c r="W323" s="4">
        <f t="shared" si="130"/>
        <v>1173017.2326301506</v>
      </c>
      <c r="X323" s="4">
        <f t="shared" si="134"/>
        <v>6315.2228665351868</v>
      </c>
      <c r="Y323" s="9">
        <f>SUM($X$6:X323)</f>
        <v>173017.23263015063</v>
      </c>
      <c r="Z323" s="16">
        <f t="shared" si="135"/>
        <v>0.17301723263015062</v>
      </c>
      <c r="AA323" s="16">
        <f t="shared" si="131"/>
        <v>0.24326969758664438</v>
      </c>
      <c r="AB323" s="16">
        <f t="shared" si="132"/>
        <v>5.4128841929523283E-3</v>
      </c>
      <c r="AC323" s="16">
        <f t="shared" si="133"/>
        <v>1.2189135604133672E-2</v>
      </c>
    </row>
    <row r="324" spans="1:29" x14ac:dyDescent="0.15">
      <c r="A324" s="8">
        <v>41375</v>
      </c>
      <c r="B324" s="4">
        <v>1593.37</v>
      </c>
      <c r="C324" s="1">
        <v>11.8551</v>
      </c>
      <c r="D324" s="1">
        <v>2.16</v>
      </c>
      <c r="E324" s="1">
        <v>0.2802</v>
      </c>
      <c r="F324" s="4">
        <f t="shared" si="123"/>
        <v>0.118551</v>
      </c>
      <c r="G324" s="4">
        <f t="shared" si="124"/>
        <v>2.1600000000000001E-2</v>
      </c>
      <c r="H324" s="4">
        <f t="shared" si="125"/>
        <v>2.8020000000000002E-3</v>
      </c>
      <c r="I324" s="3">
        <f t="shared" si="126"/>
        <v>41.347802130243103</v>
      </c>
      <c r="J324" s="4">
        <f t="shared" si="136"/>
        <v>1187101.0143230178</v>
      </c>
      <c r="K324" s="1">
        <f t="shared" si="137"/>
        <v>1556.22</v>
      </c>
      <c r="L324" s="5">
        <f t="shared" si="138"/>
        <v>0.16438356164383583</v>
      </c>
      <c r="M324" s="5">
        <f t="shared" si="139"/>
        <v>-0.32499661807708602</v>
      </c>
      <c r="N324" s="5">
        <f t="shared" si="140"/>
        <v>16.723446233305083</v>
      </c>
      <c r="O324" s="1">
        <f t="shared" si="141"/>
        <v>0</v>
      </c>
      <c r="P324" s="1">
        <f t="shared" si="142"/>
        <v>1556.22</v>
      </c>
      <c r="Q324" s="5">
        <f t="shared" si="143"/>
        <v>0.16438356164383583</v>
      </c>
      <c r="R324" s="5">
        <f t="shared" si="144"/>
        <v>-0.32499661807708602</v>
      </c>
      <c r="S324" s="5">
        <f t="shared" si="127"/>
        <v>16.723446233305083</v>
      </c>
      <c r="T324" s="5">
        <f t="shared" si="128"/>
        <v>-742.93782408391405</v>
      </c>
      <c r="U324" s="4">
        <f t="shared" si="129"/>
        <v>1187120.1705558242</v>
      </c>
      <c r="V324" s="4">
        <f t="shared" si="145"/>
        <v>19.156541930339188</v>
      </c>
      <c r="W324" s="4">
        <f t="shared" si="130"/>
        <v>1174695.6898000683</v>
      </c>
      <c r="X324" s="4">
        <f t="shared" si="134"/>
        <v>1678.4571699176449</v>
      </c>
      <c r="Y324" s="9">
        <f>SUM($X$6:X324)</f>
        <v>174695.68980006827</v>
      </c>
      <c r="Z324" s="16">
        <f t="shared" si="135"/>
        <v>0.17469568980006828</v>
      </c>
      <c r="AA324" s="16">
        <f t="shared" si="131"/>
        <v>0.24768609149139426</v>
      </c>
      <c r="AB324" s="16">
        <f t="shared" si="132"/>
        <v>1.4308887569828722E-3</v>
      </c>
      <c r="AC324" s="16">
        <f t="shared" si="133"/>
        <v>3.5522412500865212E-3</v>
      </c>
    </row>
    <row r="325" spans="1:29" x14ac:dyDescent="0.15">
      <c r="A325" s="8">
        <v>41376</v>
      </c>
      <c r="B325" s="4">
        <v>1588.85</v>
      </c>
      <c r="C325" s="1">
        <v>11.9537</v>
      </c>
      <c r="D325" s="1">
        <v>2.17</v>
      </c>
      <c r="E325" s="1">
        <v>0.28070000000000001</v>
      </c>
      <c r="F325" s="4">
        <f t="shared" si="123"/>
        <v>0.11953699999999999</v>
      </c>
      <c r="G325" s="4">
        <f t="shared" si="124"/>
        <v>2.1700000000000001E-2</v>
      </c>
      <c r="H325" s="4">
        <f t="shared" si="125"/>
        <v>2.807E-3</v>
      </c>
      <c r="I325" s="3">
        <f t="shared" si="126"/>
        <v>41.559914899146449</v>
      </c>
      <c r="J325" s="4">
        <f t="shared" si="136"/>
        <v>1187120.1705558242</v>
      </c>
      <c r="K325" s="1">
        <f t="shared" si="137"/>
        <v>1556.22</v>
      </c>
      <c r="L325" s="5">
        <f t="shared" si="138"/>
        <v>0.16164383561643858</v>
      </c>
      <c r="M325" s="5">
        <f t="shared" si="139"/>
        <v>-0.34621896655287887</v>
      </c>
      <c r="N325" s="5">
        <f t="shared" si="140"/>
        <v>18.217631849675197</v>
      </c>
      <c r="O325" s="1">
        <f t="shared" si="141"/>
        <v>0</v>
      </c>
      <c r="P325" s="1">
        <f t="shared" si="142"/>
        <v>1556.22</v>
      </c>
      <c r="Q325" s="5">
        <f t="shared" si="143"/>
        <v>0.16164383561643858</v>
      </c>
      <c r="R325" s="5">
        <f t="shared" si="144"/>
        <v>-0.34621896655287887</v>
      </c>
      <c r="S325" s="5">
        <f t="shared" si="127"/>
        <v>18.217631849675197</v>
      </c>
      <c r="T325" s="5">
        <f t="shared" si="128"/>
        <v>-742.93782408391405</v>
      </c>
      <c r="U325" s="4">
        <f t="shared" si="129"/>
        <v>1187139.3270977545</v>
      </c>
      <c r="V325" s="4">
        <f t="shared" si="145"/>
        <v>19.156851059193901</v>
      </c>
      <c r="W325" s="4">
        <f t="shared" si="130"/>
        <v>1173604.7593313949</v>
      </c>
      <c r="X325" s="4">
        <f t="shared" si="134"/>
        <v>-1090.9304686733522</v>
      </c>
      <c r="Y325" s="9">
        <f>SUM($X$6:X325)</f>
        <v>173604.75933139492</v>
      </c>
      <c r="Z325" s="16">
        <f t="shared" si="135"/>
        <v>0.17360475933139491</v>
      </c>
      <c r="AA325" s="16">
        <f t="shared" si="131"/>
        <v>0.24414671197907692</v>
      </c>
      <c r="AB325" s="16">
        <f t="shared" si="132"/>
        <v>-9.2869198222650081E-4</v>
      </c>
      <c r="AC325" s="16">
        <f t="shared" si="133"/>
        <v>-2.8367548027137339E-3</v>
      </c>
    </row>
    <row r="326" spans="1:29" x14ac:dyDescent="0.15">
      <c r="A326" s="8">
        <v>41379</v>
      </c>
      <c r="B326" s="4">
        <v>1552.36</v>
      </c>
      <c r="C326" s="1">
        <v>13.846</v>
      </c>
      <c r="D326" s="1">
        <v>2.2200000000000002</v>
      </c>
      <c r="E326" s="1">
        <v>0.28070000000000001</v>
      </c>
      <c r="F326" s="4">
        <f t="shared" si="123"/>
        <v>0.13846</v>
      </c>
      <c r="G326" s="4">
        <f t="shared" si="124"/>
        <v>2.2200000000000001E-2</v>
      </c>
      <c r="H326" s="4">
        <f t="shared" si="125"/>
        <v>2.807E-3</v>
      </c>
      <c r="I326" s="3">
        <f t="shared" si="126"/>
        <v>46.519273206072192</v>
      </c>
      <c r="J326" s="4">
        <f t="shared" si="136"/>
        <v>1187139.3270977545</v>
      </c>
      <c r="K326" s="1">
        <f t="shared" si="137"/>
        <v>1556.22</v>
      </c>
      <c r="L326" s="5">
        <f t="shared" si="138"/>
        <v>0.15342465753424681</v>
      </c>
      <c r="M326" s="5">
        <f t="shared" si="139"/>
        <v>-0.52751039037516467</v>
      </c>
      <c r="N326" s="5">
        <f t="shared" si="140"/>
        <v>37.964519369301406</v>
      </c>
      <c r="O326" s="1">
        <f t="shared" si="141"/>
        <v>0</v>
      </c>
      <c r="P326" s="1">
        <f t="shared" si="142"/>
        <v>1556.22</v>
      </c>
      <c r="Q326" s="5">
        <f t="shared" si="143"/>
        <v>0.15342465753424681</v>
      </c>
      <c r="R326" s="5">
        <f t="shared" si="144"/>
        <v>-0.52751039037516467</v>
      </c>
      <c r="S326" s="5">
        <f t="shared" si="127"/>
        <v>37.964519369301406</v>
      </c>
      <c r="T326" s="5">
        <f t="shared" si="128"/>
        <v>-742.93782408391405</v>
      </c>
      <c r="U326" s="4">
        <f t="shared" si="129"/>
        <v>1187158.4839488138</v>
      </c>
      <c r="V326" s="4">
        <f t="shared" si="145"/>
        <v>57.471480579111052</v>
      </c>
      <c r="W326" s="4">
        <f t="shared" si="130"/>
        <v>1158953.2065361934</v>
      </c>
      <c r="X326" s="4">
        <f t="shared" si="134"/>
        <v>-14651.55279520154</v>
      </c>
      <c r="Y326" s="9">
        <f>SUM($X$6:X326)</f>
        <v>158953.20653619338</v>
      </c>
      <c r="Z326" s="16">
        <f t="shared" si="135"/>
        <v>0.15895320653619338</v>
      </c>
      <c r="AA326" s="16">
        <f t="shared" si="131"/>
        <v>0.21557326985419634</v>
      </c>
      <c r="AB326" s="16">
        <f t="shared" si="132"/>
        <v>-1.2484230895202368E-2</v>
      </c>
      <c r="AC326" s="16">
        <f t="shared" si="133"/>
        <v>-2.2966296377883381E-2</v>
      </c>
    </row>
    <row r="327" spans="1:29" x14ac:dyDescent="0.15">
      <c r="A327" s="8">
        <v>41380</v>
      </c>
      <c r="B327" s="4">
        <v>1574.57</v>
      </c>
      <c r="C327" s="1">
        <v>12.9339</v>
      </c>
      <c r="D327" s="1">
        <v>2.19</v>
      </c>
      <c r="E327" s="1">
        <v>0.2802</v>
      </c>
      <c r="F327" s="4">
        <f t="shared" ref="F327:F390" si="146">C327/100</f>
        <v>0.12933899999999998</v>
      </c>
      <c r="G327" s="4">
        <f t="shared" ref="G327:G390" si="147">D327/100</f>
        <v>2.1899999999999999E-2</v>
      </c>
      <c r="H327" s="4">
        <f t="shared" ref="H327:H390" si="148">E327/100</f>
        <v>2.8020000000000002E-3</v>
      </c>
      <c r="I327" s="3">
        <f t="shared" ref="I327:I390" si="149">BSM_Put(B327,B327,F327,H327,G327,$B$3,$F$3)</f>
        <v>44.282517560416821</v>
      </c>
      <c r="J327" s="4">
        <f t="shared" si="136"/>
        <v>1187158.4839488138</v>
      </c>
      <c r="K327" s="1">
        <f t="shared" si="137"/>
        <v>1556.22</v>
      </c>
      <c r="L327" s="5">
        <f t="shared" si="138"/>
        <v>0.15068493150684956</v>
      </c>
      <c r="M327" s="5">
        <f t="shared" si="139"/>
        <v>-0.41886044905167608</v>
      </c>
      <c r="N327" s="5">
        <f t="shared" si="140"/>
        <v>24.867073244675723</v>
      </c>
      <c r="O327" s="1">
        <f t="shared" si="141"/>
        <v>0</v>
      </c>
      <c r="P327" s="1">
        <f t="shared" si="142"/>
        <v>1556.22</v>
      </c>
      <c r="Q327" s="5">
        <f t="shared" si="143"/>
        <v>0.15068493150684956</v>
      </c>
      <c r="R327" s="5">
        <f t="shared" si="144"/>
        <v>-0.41886044905167608</v>
      </c>
      <c r="S327" s="5">
        <f t="shared" ref="S327:S390" si="150">BSM_Put(B327,P327,F327,H327,G327,Q327,$F$3)</f>
        <v>24.867073244675723</v>
      </c>
      <c r="T327" s="5">
        <f t="shared" si="128"/>
        <v>-742.93782408391405</v>
      </c>
      <c r="U327" s="4">
        <f t="shared" si="129"/>
        <v>1187215.9554293929</v>
      </c>
      <c r="V327" s="4">
        <f t="shared" si="145"/>
        <v>19.158087609531844</v>
      </c>
      <c r="W327" s="4">
        <f t="shared" si="130"/>
        <v>1168741.2661416582</v>
      </c>
      <c r="X327" s="4">
        <f t="shared" si="134"/>
        <v>9788.0596054648049</v>
      </c>
      <c r="Y327" s="9">
        <f>SUM($X$6:X327)</f>
        <v>168741.26614165818</v>
      </c>
      <c r="Z327" s="16">
        <f t="shared" si="135"/>
        <v>0.16874126614165819</v>
      </c>
      <c r="AA327" s="16">
        <f t="shared" si="131"/>
        <v>0.23296477847556105</v>
      </c>
      <c r="AB327" s="16">
        <f t="shared" si="132"/>
        <v>8.4456038002765823E-3</v>
      </c>
      <c r="AC327" s="16">
        <f t="shared" si="133"/>
        <v>1.4307248318688988E-2</v>
      </c>
    </row>
    <row r="328" spans="1:29" x14ac:dyDescent="0.15">
      <c r="A328" s="8">
        <v>41381</v>
      </c>
      <c r="B328" s="4">
        <v>1552.01</v>
      </c>
      <c r="C328" s="1">
        <v>14.248799999999999</v>
      </c>
      <c r="D328" s="1">
        <v>2.2200000000000002</v>
      </c>
      <c r="E328" s="1">
        <v>0.2792</v>
      </c>
      <c r="F328" s="4">
        <f t="shared" si="146"/>
        <v>0.142488</v>
      </c>
      <c r="G328" s="4">
        <f t="shared" si="147"/>
        <v>2.2200000000000001E-2</v>
      </c>
      <c r="H328" s="4">
        <f t="shared" si="148"/>
        <v>2.7920000000000002E-3</v>
      </c>
      <c r="I328" s="3">
        <f t="shared" si="149"/>
        <v>47.749623939854821</v>
      </c>
      <c r="J328" s="4">
        <f t="shared" si="136"/>
        <v>1187215.9554293929</v>
      </c>
      <c r="K328" s="1">
        <f t="shared" si="137"/>
        <v>1556.22</v>
      </c>
      <c r="L328" s="5">
        <f t="shared" si="138"/>
        <v>0.14794520547945231</v>
      </c>
      <c r="M328" s="5">
        <f t="shared" si="139"/>
        <v>-0.52792324612708286</v>
      </c>
      <c r="N328" s="5">
        <f t="shared" si="140"/>
        <v>38.416750246450611</v>
      </c>
      <c r="O328" s="1">
        <f t="shared" si="141"/>
        <v>0</v>
      </c>
      <c r="P328" s="1">
        <f t="shared" si="142"/>
        <v>1556.22</v>
      </c>
      <c r="Q328" s="5">
        <f t="shared" si="143"/>
        <v>0.14794520547945231</v>
      </c>
      <c r="R328" s="5">
        <f t="shared" si="144"/>
        <v>-0.52792324612708286</v>
      </c>
      <c r="S328" s="5">
        <f t="shared" si="150"/>
        <v>38.416750246450611</v>
      </c>
      <c r="T328" s="5">
        <f t="shared" ref="T328:T391" si="151">IF(O328,-(J328+IF(L328&lt;=0.00001, MAX(K328-B328,0),N328)*T327)/P328,T327)</f>
        <v>-742.93782408391405</v>
      </c>
      <c r="U328" s="4">
        <f t="shared" ref="U328:U391" si="152">IF(O328,(J328+IF(L328&lt;=0.00001, MAX(K328-B328,0),N328)*T327)-(S328*T328),U327)+V327</f>
        <v>1187235.1135170024</v>
      </c>
      <c r="V328" s="4">
        <f t="shared" si="145"/>
        <v>19.158396763329161</v>
      </c>
      <c r="W328" s="4">
        <f t="shared" ref="W328:W391" si="153">S328*T328+U328</f>
        <v>1158693.8566805292</v>
      </c>
      <c r="X328" s="4">
        <f t="shared" si="134"/>
        <v>-10047.409461128991</v>
      </c>
      <c r="Y328" s="9">
        <f>SUM($X$6:X328)</f>
        <v>158693.85668052919</v>
      </c>
      <c r="Z328" s="16">
        <f t="shared" si="135"/>
        <v>0.15869385668052918</v>
      </c>
      <c r="AA328" s="16">
        <f t="shared" ref="AA328:AA391" si="154">(B328-$B$6)/$B$6</f>
        <v>0.21529920285656121</v>
      </c>
      <c r="AB328" s="16">
        <f t="shared" ref="AB328:AB391" si="155">X328/W327</f>
        <v>-8.5967782196125411E-3</v>
      </c>
      <c r="AC328" s="16">
        <f t="shared" ref="AC328:AC391" si="156">(B328-B327)/B327</f>
        <v>-1.4327721219126458E-2</v>
      </c>
    </row>
    <row r="329" spans="1:29" x14ac:dyDescent="0.15">
      <c r="A329" s="8">
        <v>41382</v>
      </c>
      <c r="B329" s="4">
        <v>1541.61</v>
      </c>
      <c r="C329" s="1">
        <v>15.0227</v>
      </c>
      <c r="D329" s="1">
        <v>2.2400000000000002</v>
      </c>
      <c r="E329" s="1">
        <v>0.2792</v>
      </c>
      <c r="F329" s="4">
        <f t="shared" si="146"/>
        <v>0.150227</v>
      </c>
      <c r="G329" s="4">
        <f t="shared" si="147"/>
        <v>2.2400000000000003E-2</v>
      </c>
      <c r="H329" s="4">
        <f t="shared" si="148"/>
        <v>2.7920000000000002E-3</v>
      </c>
      <c r="I329" s="3">
        <f t="shared" si="149"/>
        <v>49.831079968355589</v>
      </c>
      <c r="J329" s="4">
        <f t="shared" si="136"/>
        <v>1187235.1135170024</v>
      </c>
      <c r="K329" s="1">
        <f t="shared" si="137"/>
        <v>1556.22</v>
      </c>
      <c r="L329" s="5">
        <f t="shared" si="138"/>
        <v>0.14520547945205506</v>
      </c>
      <c r="M329" s="5">
        <f t="shared" si="139"/>
        <v>-0.57187028274305174</v>
      </c>
      <c r="N329" s="5">
        <f t="shared" si="140"/>
        <v>45.605816767525305</v>
      </c>
      <c r="O329" s="1">
        <f t="shared" si="141"/>
        <v>0</v>
      </c>
      <c r="P329" s="1">
        <f t="shared" si="142"/>
        <v>1556.22</v>
      </c>
      <c r="Q329" s="5">
        <f t="shared" si="143"/>
        <v>0.14520547945205506</v>
      </c>
      <c r="R329" s="5">
        <f t="shared" si="144"/>
        <v>-0.57187028274305174</v>
      </c>
      <c r="S329" s="5">
        <f t="shared" si="150"/>
        <v>45.605816767525305</v>
      </c>
      <c r="T329" s="5">
        <f t="shared" si="151"/>
        <v>-742.93782408391405</v>
      </c>
      <c r="U329" s="4">
        <f t="shared" si="152"/>
        <v>1187254.2719137657</v>
      </c>
      <c r="V329" s="4">
        <f t="shared" si="145"/>
        <v>19.158705922115285</v>
      </c>
      <c r="W329" s="4">
        <f t="shared" si="153"/>
        <v>1153371.9856389307</v>
      </c>
      <c r="X329" s="4">
        <f t="shared" ref="X329:X392" si="157">W329-W328</f>
        <v>-5321.871041598497</v>
      </c>
      <c r="Y329" s="9">
        <f>SUM($X$6:X329)</f>
        <v>153371.9856389307</v>
      </c>
      <c r="Z329" s="16">
        <f t="shared" si="135"/>
        <v>0.1533719856389307</v>
      </c>
      <c r="AA329" s="16">
        <f t="shared" si="154"/>
        <v>0.20715549778397255</v>
      </c>
      <c r="AB329" s="16">
        <f t="shared" si="155"/>
        <v>-4.592991505836406E-3</v>
      </c>
      <c r="AC329" s="16">
        <f t="shared" si="156"/>
        <v>-6.7009877513676402E-3</v>
      </c>
    </row>
    <row r="330" spans="1:29" x14ac:dyDescent="0.15">
      <c r="A330" s="8">
        <v>41383</v>
      </c>
      <c r="B330" s="4">
        <v>1555.25</v>
      </c>
      <c r="C330" s="1">
        <v>13.8019</v>
      </c>
      <c r="D330" s="1">
        <v>2.2200000000000002</v>
      </c>
      <c r="E330" s="1">
        <v>0.2792</v>
      </c>
      <c r="F330" s="4">
        <f t="shared" si="146"/>
        <v>0.138019</v>
      </c>
      <c r="G330" s="4">
        <f t="shared" si="147"/>
        <v>2.2200000000000001E-2</v>
      </c>
      <c r="H330" s="4">
        <f t="shared" si="148"/>
        <v>2.7920000000000002E-3</v>
      </c>
      <c r="I330" s="3">
        <f t="shared" si="149"/>
        <v>46.473242609640728</v>
      </c>
      <c r="J330" s="4">
        <f t="shared" si="136"/>
        <v>1187254.2719137657</v>
      </c>
      <c r="K330" s="1">
        <f t="shared" si="137"/>
        <v>1556.22</v>
      </c>
      <c r="L330" s="5">
        <f t="shared" si="138"/>
        <v>0.14246575342465781</v>
      </c>
      <c r="M330" s="5">
        <f t="shared" si="139"/>
        <v>-0.51392564419495068</v>
      </c>
      <c r="N330" s="5">
        <f t="shared" si="140"/>
        <v>34.970749704282532</v>
      </c>
      <c r="O330" s="1">
        <f t="shared" si="141"/>
        <v>0</v>
      </c>
      <c r="P330" s="1">
        <f t="shared" si="142"/>
        <v>1556.22</v>
      </c>
      <c r="Q330" s="5">
        <f t="shared" si="143"/>
        <v>0.14246575342465781</v>
      </c>
      <c r="R330" s="5">
        <f t="shared" si="144"/>
        <v>-0.51392564419495068</v>
      </c>
      <c r="S330" s="5">
        <f t="shared" si="150"/>
        <v>34.970749704282532</v>
      </c>
      <c r="T330" s="5">
        <f t="shared" si="151"/>
        <v>-742.93782408391405</v>
      </c>
      <c r="U330" s="4">
        <f t="shared" si="152"/>
        <v>1187273.4306196878</v>
      </c>
      <c r="V330" s="4">
        <f t="shared" si="145"/>
        <v>19.159015085890303</v>
      </c>
      <c r="W330" s="4">
        <f t="shared" si="153"/>
        <v>1161292.337927805</v>
      </c>
      <c r="X330" s="4">
        <f t="shared" si="157"/>
        <v>7920.3522888743319</v>
      </c>
      <c r="Y330" s="9">
        <f>SUM($X$6:X330)</f>
        <v>161292.33792780503</v>
      </c>
      <c r="Z330" s="16">
        <f t="shared" si="135"/>
        <v>0.16129233792780504</v>
      </c>
      <c r="AA330" s="16">
        <f t="shared" si="154"/>
        <v>0.21783628020609844</v>
      </c>
      <c r="AB330" s="16">
        <f t="shared" si="155"/>
        <v>6.867127334020267E-3</v>
      </c>
      <c r="AC330" s="16">
        <f t="shared" si="156"/>
        <v>8.8478927874106293E-3</v>
      </c>
    </row>
    <row r="331" spans="1:29" x14ac:dyDescent="0.15">
      <c r="A331" s="8">
        <v>41386</v>
      </c>
      <c r="B331" s="4">
        <v>1562.5</v>
      </c>
      <c r="C331" s="1">
        <v>13.2158</v>
      </c>
      <c r="D331" s="1">
        <v>2.21</v>
      </c>
      <c r="E331" s="1">
        <v>0.2782</v>
      </c>
      <c r="F331" s="4">
        <f t="shared" si="146"/>
        <v>0.132158</v>
      </c>
      <c r="G331" s="4">
        <f t="shared" si="147"/>
        <v>2.2099999999999998E-2</v>
      </c>
      <c r="H331" s="4">
        <f t="shared" si="148"/>
        <v>2.7820000000000002E-3</v>
      </c>
      <c r="I331" s="3">
        <f t="shared" si="149"/>
        <v>44.85916953203683</v>
      </c>
      <c r="J331" s="4">
        <f t="shared" si="136"/>
        <v>1187273.4306196878</v>
      </c>
      <c r="K331" s="1">
        <f t="shared" si="137"/>
        <v>1556.22</v>
      </c>
      <c r="L331" s="5">
        <f t="shared" si="138"/>
        <v>0.13424657534246603</v>
      </c>
      <c r="M331" s="5">
        <f t="shared" si="139"/>
        <v>-0.4771200385033052</v>
      </c>
      <c r="N331" s="5">
        <f t="shared" si="140"/>
        <v>28.967016649686922</v>
      </c>
      <c r="O331" s="1">
        <f t="shared" si="141"/>
        <v>0</v>
      </c>
      <c r="P331" s="1">
        <f t="shared" si="142"/>
        <v>1556.22</v>
      </c>
      <c r="Q331" s="5">
        <f t="shared" si="143"/>
        <v>0.13424657534246603</v>
      </c>
      <c r="R331" s="5">
        <f t="shared" si="144"/>
        <v>-0.4771200385033052</v>
      </c>
      <c r="S331" s="5">
        <f t="shared" si="150"/>
        <v>28.967016649686922</v>
      </c>
      <c r="T331" s="5">
        <f t="shared" si="151"/>
        <v>-742.93782408391405</v>
      </c>
      <c r="U331" s="4">
        <f t="shared" si="152"/>
        <v>1187292.5896347736</v>
      </c>
      <c r="V331" s="4">
        <f t="shared" si="145"/>
        <v>57.477972763962867</v>
      </c>
      <c r="W331" s="4">
        <f t="shared" si="153"/>
        <v>1165771.8973148526</v>
      </c>
      <c r="X331" s="4">
        <f t="shared" si="157"/>
        <v>4479.5593870475423</v>
      </c>
      <c r="Y331" s="9">
        <f>SUM($X$6:X331)</f>
        <v>165771.89731485257</v>
      </c>
      <c r="Z331" s="16">
        <f t="shared" si="135"/>
        <v>0.16577189731485256</v>
      </c>
      <c r="AA331" s="16">
        <f t="shared" si="154"/>
        <v>0.22351338229997031</v>
      </c>
      <c r="AB331" s="16">
        <f t="shared" si="155"/>
        <v>3.857391666805285E-3</v>
      </c>
      <c r="AC331" s="16">
        <f t="shared" si="156"/>
        <v>4.6616299630284517E-3</v>
      </c>
    </row>
    <row r="332" spans="1:29" x14ac:dyDescent="0.15">
      <c r="A332" s="8">
        <v>41387</v>
      </c>
      <c r="B332" s="4">
        <v>1578.78</v>
      </c>
      <c r="C332" s="1">
        <v>12.4725</v>
      </c>
      <c r="D332" s="1">
        <v>2.19</v>
      </c>
      <c r="E332" s="1">
        <v>0.2787</v>
      </c>
      <c r="F332" s="4">
        <f t="shared" si="146"/>
        <v>0.124725</v>
      </c>
      <c r="G332" s="4">
        <f t="shared" si="147"/>
        <v>2.1899999999999999E-2</v>
      </c>
      <c r="H332" s="4">
        <f t="shared" si="148"/>
        <v>2.787E-3</v>
      </c>
      <c r="I332" s="3">
        <f t="shared" si="149"/>
        <v>42.962324876350493</v>
      </c>
      <c r="J332" s="4">
        <f t="shared" si="136"/>
        <v>1187292.5896347736</v>
      </c>
      <c r="K332" s="1">
        <f t="shared" si="137"/>
        <v>1556.22</v>
      </c>
      <c r="L332" s="5">
        <f t="shared" si="138"/>
        <v>0.13150684931506879</v>
      </c>
      <c r="M332" s="5">
        <f t="shared" si="139"/>
        <v>-0.38661047160846285</v>
      </c>
      <c r="N332" s="5">
        <f t="shared" si="140"/>
        <v>19.908904823097473</v>
      </c>
      <c r="O332" s="1">
        <f t="shared" si="141"/>
        <v>0</v>
      </c>
      <c r="P332" s="1">
        <f t="shared" si="142"/>
        <v>1556.22</v>
      </c>
      <c r="Q332" s="5">
        <f t="shared" si="143"/>
        <v>0.13150684931506879</v>
      </c>
      <c r="R332" s="5">
        <f t="shared" si="144"/>
        <v>-0.38661047160846285</v>
      </c>
      <c r="S332" s="5">
        <f t="shared" si="150"/>
        <v>19.908904823097473</v>
      </c>
      <c r="T332" s="5">
        <f t="shared" si="151"/>
        <v>-742.93782408391405</v>
      </c>
      <c r="U332" s="4">
        <f t="shared" si="152"/>
        <v>1187350.0676075376</v>
      </c>
      <c r="V332" s="4">
        <f t="shared" si="145"/>
        <v>19.160251775913412</v>
      </c>
      <c r="W332" s="4">
        <f t="shared" si="153"/>
        <v>1172558.9891783718</v>
      </c>
      <c r="X332" s="4">
        <f t="shared" si="157"/>
        <v>6787.0918635192793</v>
      </c>
      <c r="Y332" s="9">
        <f>SUM($X$6:X332)</f>
        <v>172558.98917837185</v>
      </c>
      <c r="Z332" s="16">
        <f t="shared" si="135"/>
        <v>0.17255898917837184</v>
      </c>
      <c r="AA332" s="16">
        <f t="shared" si="154"/>
        <v>0.23626141293283012</v>
      </c>
      <c r="AB332" s="16">
        <f t="shared" si="155"/>
        <v>5.8219724451688479E-3</v>
      </c>
      <c r="AC332" s="16">
        <f t="shared" si="156"/>
        <v>1.0419199999999983E-2</v>
      </c>
    </row>
    <row r="333" spans="1:29" x14ac:dyDescent="0.15">
      <c r="A333" s="8">
        <v>41388</v>
      </c>
      <c r="B333" s="4">
        <v>1578.79</v>
      </c>
      <c r="C333" s="1">
        <v>12.5299</v>
      </c>
      <c r="D333" s="1">
        <v>2.19</v>
      </c>
      <c r="E333" s="1">
        <v>0.2787</v>
      </c>
      <c r="F333" s="4">
        <f t="shared" si="146"/>
        <v>0.12529899999999999</v>
      </c>
      <c r="G333" s="4">
        <f t="shared" si="147"/>
        <v>2.1899999999999999E-2</v>
      </c>
      <c r="H333" s="4">
        <f t="shared" si="148"/>
        <v>2.787E-3</v>
      </c>
      <c r="I333" s="3">
        <f t="shared" si="149"/>
        <v>43.141949350280903</v>
      </c>
      <c r="J333" s="4">
        <f t="shared" si="136"/>
        <v>1187350.0676075376</v>
      </c>
      <c r="K333" s="1">
        <f t="shared" si="137"/>
        <v>1556.22</v>
      </c>
      <c r="L333" s="5">
        <f t="shared" si="138"/>
        <v>0.12876712328767154</v>
      </c>
      <c r="M333" s="5">
        <f t="shared" si="139"/>
        <v>-0.38558938524239456</v>
      </c>
      <c r="N333" s="5">
        <f t="shared" si="140"/>
        <v>19.711940879592266</v>
      </c>
      <c r="O333" s="1">
        <f t="shared" si="141"/>
        <v>0</v>
      </c>
      <c r="P333" s="1">
        <f t="shared" si="142"/>
        <v>1556.22</v>
      </c>
      <c r="Q333" s="5">
        <f t="shared" si="143"/>
        <v>0.12876712328767154</v>
      </c>
      <c r="R333" s="5">
        <f t="shared" si="144"/>
        <v>-0.38558938524239456</v>
      </c>
      <c r="S333" s="5">
        <f t="shared" si="150"/>
        <v>19.711940879592266</v>
      </c>
      <c r="T333" s="5">
        <f t="shared" si="151"/>
        <v>-742.93782408391405</v>
      </c>
      <c r="U333" s="4">
        <f t="shared" si="152"/>
        <v>1187369.2278593136</v>
      </c>
      <c r="V333" s="4">
        <f t="shared" si="145"/>
        <v>19.160560964633852</v>
      </c>
      <c r="W333" s="4">
        <f t="shared" si="153"/>
        <v>1172724.4813937587</v>
      </c>
      <c r="X333" s="4">
        <f t="shared" si="157"/>
        <v>165.49221538682468</v>
      </c>
      <c r="Y333" s="9">
        <f>SUM($X$6:X333)</f>
        <v>172724.48139375867</v>
      </c>
      <c r="Z333" s="16">
        <f t="shared" si="135"/>
        <v>0.17272448139375868</v>
      </c>
      <c r="AA333" s="16">
        <f t="shared" si="154"/>
        <v>0.23626924341847683</v>
      </c>
      <c r="AB333" s="16">
        <f t="shared" si="155"/>
        <v>1.4113764587893982E-4</v>
      </c>
      <c r="AC333" s="16">
        <f t="shared" si="156"/>
        <v>6.3340047378297835E-6</v>
      </c>
    </row>
    <row r="334" spans="1:29" x14ac:dyDescent="0.15">
      <c r="A334" s="8">
        <v>41389</v>
      </c>
      <c r="B334" s="4">
        <v>1585.16</v>
      </c>
      <c r="C334" s="1">
        <v>12.7736</v>
      </c>
      <c r="D334" s="1">
        <v>2.1800000000000002</v>
      </c>
      <c r="E334" s="1">
        <v>0.2787</v>
      </c>
      <c r="F334" s="4">
        <f t="shared" si="146"/>
        <v>0.12773599999999999</v>
      </c>
      <c r="G334" s="4">
        <f t="shared" si="147"/>
        <v>2.18E-2</v>
      </c>
      <c r="H334" s="4">
        <f t="shared" si="148"/>
        <v>2.787E-3</v>
      </c>
      <c r="I334" s="3">
        <f t="shared" si="149"/>
        <v>44.060276768240954</v>
      </c>
      <c r="J334" s="4">
        <f t="shared" si="136"/>
        <v>1187369.2278593136</v>
      </c>
      <c r="K334" s="1">
        <f t="shared" si="137"/>
        <v>1556.22</v>
      </c>
      <c r="L334" s="5">
        <f t="shared" si="138"/>
        <v>0.12602739726027429</v>
      </c>
      <c r="M334" s="5">
        <f t="shared" si="139"/>
        <v>-0.35242996118081832</v>
      </c>
      <c r="N334" s="5">
        <f t="shared" si="140"/>
        <v>17.553243544344557</v>
      </c>
      <c r="O334" s="1">
        <f t="shared" si="141"/>
        <v>0</v>
      </c>
      <c r="P334" s="1">
        <f t="shared" si="142"/>
        <v>1556.22</v>
      </c>
      <c r="Q334" s="5">
        <f t="shared" si="143"/>
        <v>0.12602739726027429</v>
      </c>
      <c r="R334" s="5">
        <f t="shared" si="144"/>
        <v>-0.35242996118081832</v>
      </c>
      <c r="S334" s="5">
        <f t="shared" si="150"/>
        <v>17.553243544344557</v>
      </c>
      <c r="T334" s="5">
        <f t="shared" si="151"/>
        <v>-742.93782408391405</v>
      </c>
      <c r="U334" s="4">
        <f t="shared" si="152"/>
        <v>1187388.3884202782</v>
      </c>
      <c r="V334" s="4">
        <f t="shared" si="145"/>
        <v>19.160870158343666</v>
      </c>
      <c r="W334" s="4">
        <f t="shared" si="153"/>
        <v>1174347.4198558279</v>
      </c>
      <c r="X334" s="4">
        <f t="shared" si="157"/>
        <v>1622.9384620692581</v>
      </c>
      <c r="Y334" s="9">
        <f>SUM($X$6:X334)</f>
        <v>174347.41985582793</v>
      </c>
      <c r="Z334" s="16">
        <f t="shared" si="135"/>
        <v>0.17434741985582794</v>
      </c>
      <c r="AA334" s="16">
        <f t="shared" si="154"/>
        <v>0.24125726277543744</v>
      </c>
      <c r="AB334" s="16">
        <f t="shared" si="155"/>
        <v>1.3839043081461295E-3</v>
      </c>
      <c r="AC334" s="16">
        <f t="shared" si="156"/>
        <v>4.0347354619677846E-3</v>
      </c>
    </row>
    <row r="335" spans="1:29" x14ac:dyDescent="0.15">
      <c r="A335" s="8">
        <v>41390</v>
      </c>
      <c r="B335" s="4">
        <v>1582.24</v>
      </c>
      <c r="C335" s="1">
        <v>12.5974</v>
      </c>
      <c r="D335" s="1">
        <v>2.19</v>
      </c>
      <c r="E335" s="1">
        <v>0.28170000000000001</v>
      </c>
      <c r="F335" s="4">
        <f t="shared" si="146"/>
        <v>0.125974</v>
      </c>
      <c r="G335" s="4">
        <f t="shared" si="147"/>
        <v>2.1899999999999999E-2</v>
      </c>
      <c r="H335" s="4">
        <f t="shared" si="148"/>
        <v>2.8170000000000001E-3</v>
      </c>
      <c r="I335" s="3">
        <f t="shared" si="149"/>
        <v>43.441183173397469</v>
      </c>
      <c r="J335" s="4">
        <f t="shared" si="136"/>
        <v>1187388.3884202782</v>
      </c>
      <c r="K335" s="1">
        <f t="shared" si="137"/>
        <v>1556.22</v>
      </c>
      <c r="L335" s="5">
        <f t="shared" si="138"/>
        <v>0.12328767123287702</v>
      </c>
      <c r="M335" s="5">
        <f t="shared" si="139"/>
        <v>-0.36451107086181461</v>
      </c>
      <c r="N335" s="5">
        <f t="shared" si="140"/>
        <v>17.917204689464693</v>
      </c>
      <c r="O335" s="1">
        <f t="shared" si="141"/>
        <v>0</v>
      </c>
      <c r="P335" s="1">
        <f t="shared" si="142"/>
        <v>1556.22</v>
      </c>
      <c r="Q335" s="5">
        <f t="shared" si="143"/>
        <v>0.12328767123287702</v>
      </c>
      <c r="R335" s="5">
        <f t="shared" si="144"/>
        <v>-0.36451107086181461</v>
      </c>
      <c r="S335" s="5">
        <f t="shared" si="150"/>
        <v>17.917204689464693</v>
      </c>
      <c r="T335" s="5">
        <f t="shared" si="151"/>
        <v>-742.93782408391405</v>
      </c>
      <c r="U335" s="4">
        <f t="shared" si="152"/>
        <v>1187407.5492904366</v>
      </c>
      <c r="V335" s="4">
        <f t="shared" si="145"/>
        <v>19.161179357042933</v>
      </c>
      <c r="W335" s="4">
        <f t="shared" si="153"/>
        <v>1174096.1802247795</v>
      </c>
      <c r="X335" s="4">
        <f t="shared" si="157"/>
        <v>-251.23963104840368</v>
      </c>
      <c r="Y335" s="9">
        <f>SUM($X$6:X335)</f>
        <v>174096.18022477953</v>
      </c>
      <c r="Z335" s="16">
        <f t="shared" si="135"/>
        <v>0.17409618022477952</v>
      </c>
      <c r="AA335" s="16">
        <f t="shared" si="154"/>
        <v>0.2389707609665952</v>
      </c>
      <c r="AB335" s="16">
        <f t="shared" si="155"/>
        <v>-2.1393978204443777E-4</v>
      </c>
      <c r="AC335" s="16">
        <f t="shared" si="156"/>
        <v>-1.8420853415428554E-3</v>
      </c>
    </row>
    <row r="336" spans="1:29" x14ac:dyDescent="0.15">
      <c r="A336" s="8">
        <v>41393</v>
      </c>
      <c r="B336" s="4">
        <v>1593.61</v>
      </c>
      <c r="C336" s="1">
        <v>12.6065</v>
      </c>
      <c r="D336" s="1">
        <v>2.17</v>
      </c>
      <c r="E336" s="1">
        <v>0.2802</v>
      </c>
      <c r="F336" s="4">
        <f t="shared" si="146"/>
        <v>0.12606500000000001</v>
      </c>
      <c r="G336" s="4">
        <f t="shared" si="147"/>
        <v>2.1700000000000001E-2</v>
      </c>
      <c r="H336" s="4">
        <f t="shared" si="148"/>
        <v>2.8020000000000002E-3</v>
      </c>
      <c r="I336" s="3">
        <f t="shared" si="149"/>
        <v>43.74439047383769</v>
      </c>
      <c r="J336" s="4">
        <f t="shared" si="136"/>
        <v>1187407.5492904366</v>
      </c>
      <c r="K336" s="1">
        <f t="shared" si="137"/>
        <v>1556.22</v>
      </c>
      <c r="L336" s="5">
        <f t="shared" si="138"/>
        <v>0.11506849315068525</v>
      </c>
      <c r="M336" s="5">
        <f t="shared" si="139"/>
        <v>-0.29879217911155853</v>
      </c>
      <c r="N336" s="5">
        <f t="shared" si="140"/>
        <v>13.210191607416663</v>
      </c>
      <c r="O336" s="1">
        <f t="shared" si="141"/>
        <v>0</v>
      </c>
      <c r="P336" s="1">
        <f t="shared" si="142"/>
        <v>1556.22</v>
      </c>
      <c r="Q336" s="5">
        <f t="shared" si="143"/>
        <v>0.11506849315068525</v>
      </c>
      <c r="R336" s="5">
        <f t="shared" si="144"/>
        <v>-0.29879217911155853</v>
      </c>
      <c r="S336" s="5">
        <f t="shared" si="150"/>
        <v>13.210191607416663</v>
      </c>
      <c r="T336" s="5">
        <f t="shared" si="151"/>
        <v>-742.93782408391405</v>
      </c>
      <c r="U336" s="4">
        <f t="shared" si="152"/>
        <v>1187426.7104697935</v>
      </c>
      <c r="V336" s="4">
        <f t="shared" si="145"/>
        <v>57.484465682195207</v>
      </c>
      <c r="W336" s="4">
        <f t="shared" si="153"/>
        <v>1177612.3594612479</v>
      </c>
      <c r="X336" s="4">
        <f t="shared" si="157"/>
        <v>3516.1792364683934</v>
      </c>
      <c r="Y336" s="9">
        <f>SUM($X$6:X336)</f>
        <v>177612.35946124792</v>
      </c>
      <c r="Z336" s="16">
        <f t="shared" si="135"/>
        <v>0.17761235946124793</v>
      </c>
      <c r="AA336" s="16">
        <f t="shared" si="154"/>
        <v>0.24787402314691553</v>
      </c>
      <c r="AB336" s="16">
        <f t="shared" si="155"/>
        <v>2.9947965896586293E-3</v>
      </c>
      <c r="AC336" s="16">
        <f t="shared" si="156"/>
        <v>7.1860147638789888E-3</v>
      </c>
    </row>
    <row r="337" spans="1:29" x14ac:dyDescent="0.15">
      <c r="A337" s="8">
        <v>41394</v>
      </c>
      <c r="B337" s="4">
        <v>1597.57</v>
      </c>
      <c r="C337" s="1">
        <v>12.5974</v>
      </c>
      <c r="D337" s="1">
        <v>2.17</v>
      </c>
      <c r="E337" s="1">
        <v>0.2792</v>
      </c>
      <c r="F337" s="4">
        <f t="shared" si="146"/>
        <v>0.125974</v>
      </c>
      <c r="G337" s="4">
        <f t="shared" si="147"/>
        <v>2.1700000000000001E-2</v>
      </c>
      <c r="H337" s="4">
        <f t="shared" si="148"/>
        <v>2.7920000000000002E-3</v>
      </c>
      <c r="I337" s="3">
        <f t="shared" si="149"/>
        <v>43.826474907524897</v>
      </c>
      <c r="J337" s="4">
        <f t="shared" si="136"/>
        <v>1187426.7104697935</v>
      </c>
      <c r="K337" s="1">
        <f t="shared" si="137"/>
        <v>1556.22</v>
      </c>
      <c r="L337" s="5">
        <f t="shared" si="138"/>
        <v>0.11232876712328799</v>
      </c>
      <c r="M337" s="5">
        <f t="shared" si="139"/>
        <v>-0.27627803718542193</v>
      </c>
      <c r="N337" s="5">
        <f t="shared" si="140"/>
        <v>11.753781514440172</v>
      </c>
      <c r="O337" s="1">
        <f t="shared" si="141"/>
        <v>0</v>
      </c>
      <c r="P337" s="1">
        <f t="shared" si="142"/>
        <v>1556.22</v>
      </c>
      <c r="Q337" s="5">
        <f t="shared" si="143"/>
        <v>0.11232876712328799</v>
      </c>
      <c r="R337" s="5">
        <f t="shared" si="144"/>
        <v>-0.27627803718542193</v>
      </c>
      <c r="S337" s="5">
        <f t="shared" si="150"/>
        <v>11.753781514440172</v>
      </c>
      <c r="T337" s="5">
        <f t="shared" si="151"/>
        <v>-742.93782408391405</v>
      </c>
      <c r="U337" s="4">
        <f t="shared" si="152"/>
        <v>1187484.1949354757</v>
      </c>
      <c r="V337" s="4">
        <f t="shared" si="145"/>
        <v>19.16241618676699</v>
      </c>
      <c r="W337" s="4">
        <f t="shared" si="153"/>
        <v>1178751.8660723798</v>
      </c>
      <c r="X337" s="4">
        <f t="shared" si="157"/>
        <v>1139.5066111318301</v>
      </c>
      <c r="Y337" s="9">
        <f>SUM($X$6:X337)</f>
        <v>178751.86607237975</v>
      </c>
      <c r="Z337" s="16">
        <f t="shared" si="135"/>
        <v>0.17875186607237975</v>
      </c>
      <c r="AA337" s="16">
        <f t="shared" si="154"/>
        <v>0.2509748954630166</v>
      </c>
      <c r="AB337" s="16">
        <f t="shared" si="155"/>
        <v>9.6764151800610263E-4</v>
      </c>
      <c r="AC337" s="16">
        <f t="shared" si="156"/>
        <v>2.4849241658875362E-3</v>
      </c>
    </row>
    <row r="338" spans="1:29" x14ac:dyDescent="0.15">
      <c r="A338" s="8">
        <v>41395</v>
      </c>
      <c r="B338" s="4">
        <v>1582.7</v>
      </c>
      <c r="C338" s="1">
        <v>13.1846</v>
      </c>
      <c r="D338" s="1">
        <v>2.19</v>
      </c>
      <c r="E338" s="1">
        <v>0.27900000000000003</v>
      </c>
      <c r="F338" s="4">
        <f t="shared" si="146"/>
        <v>0.13184599999999999</v>
      </c>
      <c r="G338" s="4">
        <f t="shared" si="147"/>
        <v>2.1899999999999999E-2</v>
      </c>
      <c r="H338" s="4">
        <f t="shared" si="148"/>
        <v>2.7900000000000004E-3</v>
      </c>
      <c r="I338" s="3">
        <f t="shared" si="149"/>
        <v>45.299163057524716</v>
      </c>
      <c r="J338" s="4">
        <f t="shared" si="136"/>
        <v>1187484.1949354757</v>
      </c>
      <c r="K338" s="1">
        <f t="shared" si="137"/>
        <v>1556.22</v>
      </c>
      <c r="L338" s="5">
        <f t="shared" si="138"/>
        <v>0.10958904109589072</v>
      </c>
      <c r="M338" s="5">
        <f t="shared" si="139"/>
        <v>-0.35840874130394113</v>
      </c>
      <c r="N338" s="5">
        <f t="shared" si="140"/>
        <v>17.257100999626044</v>
      </c>
      <c r="O338" s="1">
        <f t="shared" si="141"/>
        <v>0</v>
      </c>
      <c r="P338" s="1">
        <f t="shared" si="142"/>
        <v>1556.22</v>
      </c>
      <c r="Q338" s="5">
        <f t="shared" si="143"/>
        <v>0.10958904109589072</v>
      </c>
      <c r="R338" s="5">
        <f t="shared" si="144"/>
        <v>-0.35840874130394113</v>
      </c>
      <c r="S338" s="5">
        <f t="shared" si="150"/>
        <v>17.257100999626044</v>
      </c>
      <c r="T338" s="5">
        <f t="shared" si="151"/>
        <v>-742.93782408391405</v>
      </c>
      <c r="U338" s="4">
        <f t="shared" si="152"/>
        <v>1187503.3573516626</v>
      </c>
      <c r="V338" s="4">
        <f t="shared" si="145"/>
        <v>19.162725410414499</v>
      </c>
      <c r="W338" s="4">
        <f t="shared" si="153"/>
        <v>1174682.4042850041</v>
      </c>
      <c r="X338" s="4">
        <f t="shared" si="157"/>
        <v>-4069.4617873756215</v>
      </c>
      <c r="Y338" s="9">
        <f>SUM($X$6:X338)</f>
        <v>174682.40428500413</v>
      </c>
      <c r="Z338" s="16">
        <f t="shared" ref="Z338:Z401" si="158">Y338/$H$3</f>
        <v>0.17468240428500412</v>
      </c>
      <c r="AA338" s="16">
        <f t="shared" si="154"/>
        <v>0.23933096330634435</v>
      </c>
      <c r="AB338" s="16">
        <f t="shared" si="155"/>
        <v>-3.4523481188073399E-3</v>
      </c>
      <c r="AC338" s="16">
        <f t="shared" si="156"/>
        <v>-9.3078863523976367E-3</v>
      </c>
    </row>
    <row r="339" spans="1:29" x14ac:dyDescent="0.15">
      <c r="A339" s="8">
        <v>41396</v>
      </c>
      <c r="B339" s="4">
        <v>1597.59</v>
      </c>
      <c r="C339" s="1">
        <v>12.6249</v>
      </c>
      <c r="D339" s="1">
        <v>2.17</v>
      </c>
      <c r="E339" s="1">
        <v>0.2792</v>
      </c>
      <c r="F339" s="4">
        <f t="shared" si="146"/>
        <v>0.126249</v>
      </c>
      <c r="G339" s="4">
        <f t="shared" si="147"/>
        <v>2.1700000000000001E-2</v>
      </c>
      <c r="H339" s="4">
        <f t="shared" si="148"/>
        <v>2.7920000000000002E-3</v>
      </c>
      <c r="I339" s="3">
        <f t="shared" si="149"/>
        <v>43.913984500168276</v>
      </c>
      <c r="J339" s="4">
        <f t="shared" si="136"/>
        <v>1187503.3573516626</v>
      </c>
      <c r="K339" s="1">
        <f t="shared" si="137"/>
        <v>1556.22</v>
      </c>
      <c r="L339" s="5">
        <f t="shared" si="138"/>
        <v>0.10684931506849346</v>
      </c>
      <c r="M339" s="5">
        <f t="shared" si="139"/>
        <v>-0.27115163987540841</v>
      </c>
      <c r="N339" s="5">
        <f t="shared" si="140"/>
        <v>11.197062948689663</v>
      </c>
      <c r="O339" s="1">
        <f t="shared" si="141"/>
        <v>0</v>
      </c>
      <c r="P339" s="1">
        <f t="shared" si="142"/>
        <v>1556.22</v>
      </c>
      <c r="Q339" s="5">
        <f t="shared" si="143"/>
        <v>0.10684931506849346</v>
      </c>
      <c r="R339" s="5">
        <f t="shared" si="144"/>
        <v>-0.27115163987540841</v>
      </c>
      <c r="S339" s="5">
        <f t="shared" si="150"/>
        <v>11.197062948689663</v>
      </c>
      <c r="T339" s="5">
        <f t="shared" si="151"/>
        <v>-742.93782408391405</v>
      </c>
      <c r="U339" s="4">
        <f t="shared" si="152"/>
        <v>1187522.520077073</v>
      </c>
      <c r="V339" s="4">
        <f t="shared" si="145"/>
        <v>19.163034639051943</v>
      </c>
      <c r="W339" s="4">
        <f t="shared" si="153"/>
        <v>1179203.7984938428</v>
      </c>
      <c r="X339" s="4">
        <f t="shared" si="157"/>
        <v>4521.3942088386975</v>
      </c>
      <c r="Y339" s="9">
        <f>SUM($X$6:X339)</f>
        <v>179203.79849384283</v>
      </c>
      <c r="Z339" s="16">
        <f t="shared" si="158"/>
        <v>0.17920379849384283</v>
      </c>
      <c r="AA339" s="16">
        <f t="shared" si="154"/>
        <v>0.25099055643431006</v>
      </c>
      <c r="AB339" s="16">
        <f t="shared" si="155"/>
        <v>3.8490354434062898E-3</v>
      </c>
      <c r="AC339" s="16">
        <f t="shared" si="156"/>
        <v>9.4079737158020288E-3</v>
      </c>
    </row>
    <row r="340" spans="1:29" x14ac:dyDescent="0.15">
      <c r="A340" s="8">
        <v>41397</v>
      </c>
      <c r="B340" s="4">
        <v>1614.42</v>
      </c>
      <c r="C340" s="1">
        <v>12.2262</v>
      </c>
      <c r="D340" s="1">
        <v>2.15</v>
      </c>
      <c r="E340" s="1">
        <v>0.28120000000000001</v>
      </c>
      <c r="F340" s="4">
        <f t="shared" si="146"/>
        <v>0.12226200000000001</v>
      </c>
      <c r="G340" s="4">
        <f t="shared" si="147"/>
        <v>2.1499999999999998E-2</v>
      </c>
      <c r="H340" s="4">
        <f t="shared" si="148"/>
        <v>2.8120000000000003E-3</v>
      </c>
      <c r="I340" s="3">
        <f t="shared" si="149"/>
        <v>43.056758083147173</v>
      </c>
      <c r="J340" s="4">
        <f t="shared" si="136"/>
        <v>1187522.520077073</v>
      </c>
      <c r="K340" s="1">
        <f t="shared" si="137"/>
        <v>1556.22</v>
      </c>
      <c r="L340" s="5">
        <f t="shared" si="138"/>
        <v>0.1041095890410962</v>
      </c>
      <c r="M340" s="5">
        <f t="shared" si="139"/>
        <v>-0.18335061170144834</v>
      </c>
      <c r="N340" s="5">
        <f t="shared" si="140"/>
        <v>6.487842243848033</v>
      </c>
      <c r="O340" s="1">
        <f t="shared" si="141"/>
        <v>0</v>
      </c>
      <c r="P340" s="1">
        <f t="shared" si="142"/>
        <v>1556.22</v>
      </c>
      <c r="Q340" s="5">
        <f t="shared" si="143"/>
        <v>0.1041095890410962</v>
      </c>
      <c r="R340" s="5">
        <f t="shared" si="144"/>
        <v>-0.18335061170144834</v>
      </c>
      <c r="S340" s="5">
        <f t="shared" si="150"/>
        <v>6.487842243848033</v>
      </c>
      <c r="T340" s="5">
        <f t="shared" si="151"/>
        <v>-742.93782408391405</v>
      </c>
      <c r="U340" s="4">
        <f t="shared" si="152"/>
        <v>1187541.6831117121</v>
      </c>
      <c r="V340" s="4">
        <f t="shared" si="145"/>
        <v>19.163343872679405</v>
      </c>
      <c r="W340" s="4">
        <f t="shared" si="153"/>
        <v>1182721.619712068</v>
      </c>
      <c r="X340" s="4">
        <f t="shared" si="157"/>
        <v>3517.8212182251737</v>
      </c>
      <c r="Y340" s="9">
        <f>SUM($X$6:X340)</f>
        <v>182721.619712068</v>
      </c>
      <c r="Z340" s="16">
        <f t="shared" si="158"/>
        <v>0.18272161971206799</v>
      </c>
      <c r="AA340" s="16">
        <f t="shared" si="154"/>
        <v>0.26416926377773958</v>
      </c>
      <c r="AB340" s="16">
        <f t="shared" si="155"/>
        <v>2.9832173392914507E-3</v>
      </c>
      <c r="AC340" s="16">
        <f t="shared" si="156"/>
        <v>1.0534617768013167E-2</v>
      </c>
    </row>
    <row r="341" spans="1:29" x14ac:dyDescent="0.15">
      <c r="A341" s="8">
        <v>41400</v>
      </c>
      <c r="B341" s="4">
        <v>1617.5</v>
      </c>
      <c r="C341" s="1">
        <v>12.1069</v>
      </c>
      <c r="D341" s="1">
        <v>2.14</v>
      </c>
      <c r="E341" s="1">
        <v>0.28120000000000001</v>
      </c>
      <c r="F341" s="4">
        <f t="shared" si="146"/>
        <v>0.121069</v>
      </c>
      <c r="G341" s="4">
        <f t="shared" si="147"/>
        <v>2.1400000000000002E-2</v>
      </c>
      <c r="H341" s="4">
        <f t="shared" si="148"/>
        <v>2.8120000000000003E-3</v>
      </c>
      <c r="I341" s="3">
        <f t="shared" si="149"/>
        <v>42.736177668746592</v>
      </c>
      <c r="J341" s="4">
        <f t="shared" si="136"/>
        <v>1187541.6831117121</v>
      </c>
      <c r="K341" s="1">
        <f t="shared" si="137"/>
        <v>1556.22</v>
      </c>
      <c r="L341" s="5">
        <f t="shared" si="138"/>
        <v>9.5890410958904423E-2</v>
      </c>
      <c r="M341" s="5">
        <f t="shared" si="139"/>
        <v>-0.1579962312333838</v>
      </c>
      <c r="N341" s="5">
        <f t="shared" si="140"/>
        <v>5.115203640090936</v>
      </c>
      <c r="O341" s="1">
        <f t="shared" si="141"/>
        <v>0</v>
      </c>
      <c r="P341" s="1">
        <f t="shared" si="142"/>
        <v>1556.22</v>
      </c>
      <c r="Q341" s="5">
        <f t="shared" si="143"/>
        <v>9.5890410958904423E-2</v>
      </c>
      <c r="R341" s="5">
        <f t="shared" si="144"/>
        <v>-0.1579962312333838</v>
      </c>
      <c r="S341" s="5">
        <f t="shared" si="150"/>
        <v>5.115203640090936</v>
      </c>
      <c r="T341" s="5">
        <f t="shared" si="151"/>
        <v>-742.93782408391405</v>
      </c>
      <c r="U341" s="4">
        <f t="shared" si="152"/>
        <v>1187560.8464555847</v>
      </c>
      <c r="V341" s="4">
        <f t="shared" si="145"/>
        <v>57.490959333890906</v>
      </c>
      <c r="W341" s="4">
        <f t="shared" si="153"/>
        <v>1183760.5681934694</v>
      </c>
      <c r="X341" s="4">
        <f t="shared" si="157"/>
        <v>1038.9484814014286</v>
      </c>
      <c r="Y341" s="9">
        <f>SUM($X$6:X341)</f>
        <v>183760.56819346943</v>
      </c>
      <c r="Z341" s="16">
        <f t="shared" si="158"/>
        <v>0.18376056819346942</v>
      </c>
      <c r="AA341" s="16">
        <f t="shared" si="154"/>
        <v>0.26658105335692928</v>
      </c>
      <c r="AB341" s="16">
        <f t="shared" si="155"/>
        <v>8.7843873324507181E-4</v>
      </c>
      <c r="AC341" s="16">
        <f t="shared" si="156"/>
        <v>1.9078058993322227E-3</v>
      </c>
    </row>
    <row r="342" spans="1:29" x14ac:dyDescent="0.15">
      <c r="A342" s="8">
        <v>41401</v>
      </c>
      <c r="B342" s="4">
        <v>1625.96</v>
      </c>
      <c r="C342" s="1">
        <v>12.0633</v>
      </c>
      <c r="D342" s="1">
        <v>2.13</v>
      </c>
      <c r="E342" s="1">
        <v>0.28120000000000001</v>
      </c>
      <c r="F342" s="4">
        <f t="shared" si="146"/>
        <v>0.120633</v>
      </c>
      <c r="G342" s="4">
        <f t="shared" si="147"/>
        <v>2.1299999999999999E-2</v>
      </c>
      <c r="H342" s="4">
        <f t="shared" si="148"/>
        <v>2.8120000000000003E-3</v>
      </c>
      <c r="I342" s="3">
        <f t="shared" si="149"/>
        <v>42.798478722322663</v>
      </c>
      <c r="J342" s="4">
        <f t="shared" si="136"/>
        <v>1187560.8464555847</v>
      </c>
      <c r="K342" s="1">
        <f t="shared" si="137"/>
        <v>1556.22</v>
      </c>
      <c r="L342" s="5">
        <f t="shared" si="138"/>
        <v>9.3150684931507161E-2</v>
      </c>
      <c r="M342" s="5">
        <f t="shared" si="139"/>
        <v>-0.12230972188768159</v>
      </c>
      <c r="N342" s="5">
        <f t="shared" si="140"/>
        <v>3.6774654117066157</v>
      </c>
      <c r="O342" s="1">
        <f t="shared" si="141"/>
        <v>0</v>
      </c>
      <c r="P342" s="1">
        <f t="shared" si="142"/>
        <v>1556.22</v>
      </c>
      <c r="Q342" s="5">
        <f t="shared" si="143"/>
        <v>9.3150684931507161E-2</v>
      </c>
      <c r="R342" s="5">
        <f t="shared" si="144"/>
        <v>-0.12230972188768159</v>
      </c>
      <c r="S342" s="5">
        <f t="shared" si="150"/>
        <v>3.6774654117066157</v>
      </c>
      <c r="T342" s="5">
        <f t="shared" si="151"/>
        <v>-742.93782408391405</v>
      </c>
      <c r="U342" s="4">
        <f t="shared" si="152"/>
        <v>1187618.3374149187</v>
      </c>
      <c r="V342" s="4">
        <f t="shared" si="145"/>
        <v>19.164580842120191</v>
      </c>
      <c r="W342" s="4">
        <f t="shared" si="153"/>
        <v>1184886.2092638016</v>
      </c>
      <c r="X342" s="4">
        <f t="shared" si="157"/>
        <v>1125.6410703321453</v>
      </c>
      <c r="Y342" s="9">
        <f>SUM($X$6:X342)</f>
        <v>184886.20926380157</v>
      </c>
      <c r="Z342" s="16">
        <f t="shared" si="158"/>
        <v>0.18488620926380159</v>
      </c>
      <c r="AA342" s="16">
        <f t="shared" si="154"/>
        <v>0.27320564421405424</v>
      </c>
      <c r="AB342" s="16">
        <f t="shared" si="155"/>
        <v>9.509026576632638E-4</v>
      </c>
      <c r="AC342" s="16">
        <f t="shared" si="156"/>
        <v>5.2302936630603007E-3</v>
      </c>
    </row>
    <row r="343" spans="1:29" x14ac:dyDescent="0.15">
      <c r="A343" s="8">
        <v>41402</v>
      </c>
      <c r="B343" s="4">
        <v>1632.69</v>
      </c>
      <c r="C343" s="1">
        <v>12.3142</v>
      </c>
      <c r="D343" s="1">
        <v>2.12</v>
      </c>
      <c r="E343" s="1">
        <v>0.28110000000000002</v>
      </c>
      <c r="F343" s="4">
        <f t="shared" si="146"/>
        <v>0.123142</v>
      </c>
      <c r="G343" s="4">
        <f t="shared" si="147"/>
        <v>2.12E-2</v>
      </c>
      <c r="H343" s="4">
        <f t="shared" si="148"/>
        <v>2.8110000000000001E-3</v>
      </c>
      <c r="I343" s="3">
        <f t="shared" si="149"/>
        <v>43.765732694301732</v>
      </c>
      <c r="J343" s="4">
        <f t="shared" si="136"/>
        <v>1187618.3374149187</v>
      </c>
      <c r="K343" s="1">
        <f t="shared" si="137"/>
        <v>1556.22</v>
      </c>
      <c r="L343" s="5">
        <f t="shared" si="138"/>
        <v>9.0410958904109898E-2</v>
      </c>
      <c r="M343" s="5">
        <f t="shared" si="139"/>
        <v>-0.10200069128650334</v>
      </c>
      <c r="N343" s="5">
        <f t="shared" si="140"/>
        <v>2.9782109743722143</v>
      </c>
      <c r="O343" s="1">
        <f t="shared" si="141"/>
        <v>0</v>
      </c>
      <c r="P343" s="1">
        <f t="shared" si="142"/>
        <v>1556.22</v>
      </c>
      <c r="Q343" s="5">
        <f t="shared" si="143"/>
        <v>9.0410958904109898E-2</v>
      </c>
      <c r="R343" s="5">
        <f t="shared" si="144"/>
        <v>-0.10200069128650334</v>
      </c>
      <c r="S343" s="5">
        <f t="shared" si="150"/>
        <v>2.9782109743722143</v>
      </c>
      <c r="T343" s="5">
        <f t="shared" si="151"/>
        <v>-742.93782408391405</v>
      </c>
      <c r="U343" s="4">
        <f t="shared" si="152"/>
        <v>1187637.5019957607</v>
      </c>
      <c r="V343" s="4">
        <f t="shared" si="145"/>
        <v>19.164890100698713</v>
      </c>
      <c r="W343" s="4">
        <f t="shared" si="153"/>
        <v>1185424.8764147977</v>
      </c>
      <c r="X343" s="4">
        <f t="shared" si="157"/>
        <v>538.66715099615976</v>
      </c>
      <c r="Y343" s="9">
        <f>SUM($X$6:X343)</f>
        <v>185424.87641479773</v>
      </c>
      <c r="Z343" s="16">
        <f t="shared" si="158"/>
        <v>0.18542487641479774</v>
      </c>
      <c r="AA343" s="16">
        <f t="shared" si="154"/>
        <v>0.27847556105429666</v>
      </c>
      <c r="AB343" s="16">
        <f t="shared" si="155"/>
        <v>4.5461509028014318E-4</v>
      </c>
      <c r="AC343" s="16">
        <f t="shared" si="156"/>
        <v>4.1390932126251683E-3</v>
      </c>
    </row>
    <row r="344" spans="1:29" x14ac:dyDescent="0.15">
      <c r="A344" s="8">
        <v>41403</v>
      </c>
      <c r="B344" s="4">
        <v>1626.67</v>
      </c>
      <c r="C344" s="1">
        <v>12.6852</v>
      </c>
      <c r="D344" s="1">
        <v>2.13</v>
      </c>
      <c r="E344" s="1">
        <v>0.28120000000000001</v>
      </c>
      <c r="F344" s="4">
        <f t="shared" si="146"/>
        <v>0.12685199999999999</v>
      </c>
      <c r="G344" s="4">
        <f t="shared" si="147"/>
        <v>2.1299999999999999E-2</v>
      </c>
      <c r="H344" s="4">
        <f t="shared" si="148"/>
        <v>2.8120000000000003E-3</v>
      </c>
      <c r="I344" s="3">
        <f t="shared" si="149"/>
        <v>44.819712958866106</v>
      </c>
      <c r="J344" s="4">
        <f t="shared" si="136"/>
        <v>1187637.5019957607</v>
      </c>
      <c r="K344" s="1">
        <f t="shared" si="137"/>
        <v>1556.22</v>
      </c>
      <c r="L344" s="5">
        <f t="shared" si="138"/>
        <v>8.7671232876712635E-2</v>
      </c>
      <c r="M344" s="5">
        <f t="shared" si="139"/>
        <v>-0.12393430060606853</v>
      </c>
      <c r="N344" s="5">
        <f t="shared" si="140"/>
        <v>3.8155108768021337</v>
      </c>
      <c r="O344" s="1">
        <f t="shared" si="141"/>
        <v>0</v>
      </c>
      <c r="P344" s="1">
        <f t="shared" si="142"/>
        <v>1556.22</v>
      </c>
      <c r="Q344" s="5">
        <f t="shared" si="143"/>
        <v>8.7671232876712635E-2</v>
      </c>
      <c r="R344" s="5">
        <f t="shared" si="144"/>
        <v>-0.12393430060606853</v>
      </c>
      <c r="S344" s="5">
        <f t="shared" si="150"/>
        <v>3.8155108768021337</v>
      </c>
      <c r="T344" s="5">
        <f t="shared" si="151"/>
        <v>-742.93782408391405</v>
      </c>
      <c r="U344" s="4">
        <f t="shared" si="152"/>
        <v>1187656.6668858614</v>
      </c>
      <c r="V344" s="4">
        <f t="shared" si="145"/>
        <v>19.165199364267735</v>
      </c>
      <c r="W344" s="4">
        <f t="shared" si="153"/>
        <v>1184821.9795372814</v>
      </c>
      <c r="X344" s="4">
        <f t="shared" si="157"/>
        <v>-602.8968775162939</v>
      </c>
      <c r="Y344" s="9">
        <f>SUM($X$6:X344)</f>
        <v>184821.97953728144</v>
      </c>
      <c r="Z344" s="16">
        <f t="shared" si="158"/>
        <v>0.18482197953728144</v>
      </c>
      <c r="AA344" s="16">
        <f t="shared" si="154"/>
        <v>0.27376160869497135</v>
      </c>
      <c r="AB344" s="16">
        <f t="shared" si="155"/>
        <v>-5.0859138315006254E-4</v>
      </c>
      <c r="AC344" s="16">
        <f t="shared" si="156"/>
        <v>-3.6871665778561648E-3</v>
      </c>
    </row>
    <row r="345" spans="1:29" x14ac:dyDescent="0.15">
      <c r="A345" s="8">
        <v>41404</v>
      </c>
      <c r="B345" s="4">
        <v>1633.7</v>
      </c>
      <c r="C345" s="1">
        <v>12.759600000000001</v>
      </c>
      <c r="D345" s="1">
        <v>2.13</v>
      </c>
      <c r="E345" s="1">
        <v>0.28120000000000001</v>
      </c>
      <c r="F345" s="4">
        <f t="shared" si="146"/>
        <v>0.12759600000000001</v>
      </c>
      <c r="G345" s="4">
        <f t="shared" si="147"/>
        <v>2.1299999999999999E-2</v>
      </c>
      <c r="H345" s="4">
        <f t="shared" si="148"/>
        <v>2.8120000000000003E-3</v>
      </c>
      <c r="I345" s="3">
        <f t="shared" si="149"/>
        <v>45.25404756807022</v>
      </c>
      <c r="J345" s="4">
        <f t="shared" si="136"/>
        <v>1187656.6668858614</v>
      </c>
      <c r="K345" s="1">
        <f t="shared" si="137"/>
        <v>1556.22</v>
      </c>
      <c r="L345" s="5">
        <f t="shared" si="138"/>
        <v>8.4931506849315372E-2</v>
      </c>
      <c r="M345" s="5">
        <f t="shared" si="139"/>
        <v>-9.9565864403589499E-2</v>
      </c>
      <c r="N345" s="5">
        <f t="shared" si="140"/>
        <v>2.9069247026189395</v>
      </c>
      <c r="O345" s="1">
        <f t="shared" si="141"/>
        <v>0</v>
      </c>
      <c r="P345" s="1">
        <f t="shared" si="142"/>
        <v>1556.22</v>
      </c>
      <c r="Q345" s="5">
        <f t="shared" si="143"/>
        <v>8.4931506849315372E-2</v>
      </c>
      <c r="R345" s="5">
        <f t="shared" si="144"/>
        <v>-9.9565864403589499E-2</v>
      </c>
      <c r="S345" s="5">
        <f t="shared" si="150"/>
        <v>2.9069247026189395</v>
      </c>
      <c r="T345" s="5">
        <f t="shared" si="151"/>
        <v>-742.93782408391405</v>
      </c>
      <c r="U345" s="4">
        <f t="shared" si="152"/>
        <v>1187675.8320852257</v>
      </c>
      <c r="V345" s="4">
        <f t="shared" si="145"/>
        <v>19.16550863282734</v>
      </c>
      <c r="W345" s="4">
        <f t="shared" si="153"/>
        <v>1185516.1677718863</v>
      </c>
      <c r="X345" s="4">
        <f t="shared" si="157"/>
        <v>694.18823460489511</v>
      </c>
      <c r="Y345" s="9">
        <f>SUM($X$6:X345)</f>
        <v>185516.16777188634</v>
      </c>
      <c r="Z345" s="16">
        <f t="shared" si="158"/>
        <v>0.18551616777188634</v>
      </c>
      <c r="AA345" s="16">
        <f t="shared" si="154"/>
        <v>0.27926644010461538</v>
      </c>
      <c r="AB345" s="16">
        <f t="shared" si="155"/>
        <v>5.8590087506310638E-4</v>
      </c>
      <c r="AC345" s="16">
        <f t="shared" si="156"/>
        <v>4.3217124555072466E-3</v>
      </c>
    </row>
    <row r="346" spans="1:29" x14ac:dyDescent="0.15">
      <c r="A346" s="8">
        <v>41407</v>
      </c>
      <c r="B346" s="4">
        <v>1633.77</v>
      </c>
      <c r="C346" s="1">
        <v>13.0267</v>
      </c>
      <c r="D346" s="1">
        <v>2.13</v>
      </c>
      <c r="E346" s="1">
        <v>0.28120000000000001</v>
      </c>
      <c r="F346" s="4">
        <f t="shared" si="146"/>
        <v>0.13026699999999999</v>
      </c>
      <c r="G346" s="4">
        <f t="shared" si="147"/>
        <v>2.1299999999999999E-2</v>
      </c>
      <c r="H346" s="4">
        <f t="shared" si="148"/>
        <v>2.8120000000000003E-3</v>
      </c>
      <c r="I346" s="3">
        <f t="shared" si="149"/>
        <v>46.119970121167306</v>
      </c>
      <c r="J346" s="4">
        <f t="shared" si="136"/>
        <v>1187675.8320852257</v>
      </c>
      <c r="K346" s="1">
        <f t="shared" si="137"/>
        <v>1556.22</v>
      </c>
      <c r="L346" s="5">
        <f t="shared" si="138"/>
        <v>7.6712328767123597E-2</v>
      </c>
      <c r="M346" s="5">
        <f t="shared" si="139"/>
        <v>-9.21731282922814E-2</v>
      </c>
      <c r="N346" s="5">
        <f t="shared" si="140"/>
        <v>2.5693782029907037</v>
      </c>
      <c r="O346" s="1">
        <f t="shared" si="141"/>
        <v>0</v>
      </c>
      <c r="P346" s="1">
        <f t="shared" si="142"/>
        <v>1556.22</v>
      </c>
      <c r="Q346" s="5">
        <f t="shared" si="143"/>
        <v>7.6712328767123597E-2</v>
      </c>
      <c r="R346" s="5">
        <f t="shared" si="144"/>
        <v>-9.21731282922814E-2</v>
      </c>
      <c r="S346" s="5">
        <f t="shared" si="150"/>
        <v>2.5693782029907037</v>
      </c>
      <c r="T346" s="5">
        <f t="shared" si="151"/>
        <v>-742.93782408391405</v>
      </c>
      <c r="U346" s="4">
        <f t="shared" si="152"/>
        <v>1187694.9975938585</v>
      </c>
      <c r="V346" s="4">
        <f t="shared" si="145"/>
        <v>57.497453719132814</v>
      </c>
      <c r="W346" s="4">
        <f t="shared" si="153"/>
        <v>1185786.1093424798</v>
      </c>
      <c r="X346" s="4">
        <f t="shared" si="157"/>
        <v>269.94157059350982</v>
      </c>
      <c r="Y346" s="9">
        <f>SUM($X$6:X346)</f>
        <v>185786.10934247985</v>
      </c>
      <c r="Z346" s="16">
        <f t="shared" si="158"/>
        <v>0.18578610934247985</v>
      </c>
      <c r="AA346" s="16">
        <f t="shared" si="154"/>
        <v>0.27932125350414239</v>
      </c>
      <c r="AB346" s="16">
        <f t="shared" si="155"/>
        <v>2.2769961130167499E-4</v>
      </c>
      <c r="AC346" s="16">
        <f t="shared" si="156"/>
        <v>4.2847524025179855E-5</v>
      </c>
    </row>
    <row r="347" spans="1:29" x14ac:dyDescent="0.15">
      <c r="A347" s="8">
        <v>41408</v>
      </c>
      <c r="B347" s="4">
        <v>1650.34</v>
      </c>
      <c r="C347" s="1">
        <v>13.059699999999999</v>
      </c>
      <c r="D347" s="1">
        <v>2.1</v>
      </c>
      <c r="E347" s="1">
        <v>0.2802</v>
      </c>
      <c r="F347" s="4">
        <f t="shared" si="146"/>
        <v>0.13059699999999999</v>
      </c>
      <c r="G347" s="4">
        <f t="shared" si="147"/>
        <v>2.1000000000000001E-2</v>
      </c>
      <c r="H347" s="4">
        <f t="shared" si="148"/>
        <v>2.8020000000000002E-3</v>
      </c>
      <c r="I347" s="3">
        <f t="shared" si="149"/>
        <v>46.634552260327077</v>
      </c>
      <c r="J347" s="4">
        <f t="shared" si="136"/>
        <v>1187694.9975938585</v>
      </c>
      <c r="K347" s="1">
        <f t="shared" si="137"/>
        <v>1556.22</v>
      </c>
      <c r="L347" s="5">
        <f t="shared" si="138"/>
        <v>7.3972602739726334E-2</v>
      </c>
      <c r="M347" s="5">
        <f t="shared" si="139"/>
        <v>-5.1147263027524287E-2</v>
      </c>
      <c r="N347" s="5">
        <f t="shared" si="140"/>
        <v>1.2747060879849259</v>
      </c>
      <c r="O347" s="1">
        <f t="shared" si="141"/>
        <v>0</v>
      </c>
      <c r="P347" s="1">
        <f t="shared" si="142"/>
        <v>1556.22</v>
      </c>
      <c r="Q347" s="5">
        <f t="shared" si="143"/>
        <v>7.3972602739726334E-2</v>
      </c>
      <c r="R347" s="5">
        <f t="shared" si="144"/>
        <v>-5.1147263027524287E-2</v>
      </c>
      <c r="S347" s="5">
        <f t="shared" si="150"/>
        <v>1.2747060879849259</v>
      </c>
      <c r="T347" s="5">
        <f t="shared" si="151"/>
        <v>-742.93782408391405</v>
      </c>
      <c r="U347" s="4">
        <f t="shared" si="152"/>
        <v>1187752.4950475777</v>
      </c>
      <c r="V347" s="4">
        <f t="shared" si="145"/>
        <v>19.166745742000636</v>
      </c>
      <c r="W347" s="4">
        <f t="shared" si="153"/>
        <v>1186805.4676802235</v>
      </c>
      <c r="X347" s="4">
        <f t="shared" si="157"/>
        <v>1019.3583377436735</v>
      </c>
      <c r="Y347" s="9">
        <f>SUM($X$6:X347)</f>
        <v>186805.46768022352</v>
      </c>
      <c r="Z347" s="16">
        <f t="shared" si="158"/>
        <v>0.18680546768022352</v>
      </c>
      <c r="AA347" s="16">
        <f t="shared" si="154"/>
        <v>0.29229636822075705</v>
      </c>
      <c r="AB347" s="16">
        <f t="shared" si="155"/>
        <v>8.5964773049071149E-4</v>
      </c>
      <c r="AC347" s="16">
        <f t="shared" si="156"/>
        <v>1.0142186476676605E-2</v>
      </c>
    </row>
    <row r="348" spans="1:29" x14ac:dyDescent="0.15">
      <c r="A348" s="8">
        <v>41409</v>
      </c>
      <c r="B348" s="4">
        <v>1658.78</v>
      </c>
      <c r="C348" s="1">
        <v>13.1225</v>
      </c>
      <c r="D348" s="1">
        <v>2.09</v>
      </c>
      <c r="E348" s="1">
        <v>0.28010000000000002</v>
      </c>
      <c r="F348" s="4">
        <f t="shared" si="146"/>
        <v>0.13122500000000001</v>
      </c>
      <c r="G348" s="4">
        <f t="shared" si="147"/>
        <v>2.0899999999999998E-2</v>
      </c>
      <c r="H348" s="4">
        <f t="shared" si="148"/>
        <v>2.8010000000000001E-3</v>
      </c>
      <c r="I348" s="3">
        <f t="shared" si="149"/>
        <v>47.058387776904198</v>
      </c>
      <c r="J348" s="4">
        <f t="shared" ref="J348:J411" si="159">U347</f>
        <v>1187752.4950475777</v>
      </c>
      <c r="K348" s="1">
        <f t="shared" ref="K348:K411" si="160">P347</f>
        <v>1556.22</v>
      </c>
      <c r="L348" s="5">
        <f t="shared" ref="L348:L411" si="161">Q347-(A348-A347)/365</f>
        <v>7.1232876712329071E-2</v>
      </c>
      <c r="M348" s="5">
        <f t="shared" ref="M348:M411" si="162">BSM_Put(B348,K348,F348,H348,G348,L348,$G$3)</f>
        <v>-3.5641712161653155E-2</v>
      </c>
      <c r="N348" s="5">
        <f t="shared" ref="N348:N411" si="163">BSM_Put(B348,K348,F348,H348,G348,L348,$F$3)</f>
        <v>0.83233596075758853</v>
      </c>
      <c r="O348" s="1">
        <f t="shared" ref="O348:O411" si="164">IF(OR(M348&gt;-0.05,L348&lt;=0.00001),1,0)</f>
        <v>1</v>
      </c>
      <c r="P348" s="1">
        <f t="shared" ref="P348:P411" si="165">IF(O348,B348,K348)</f>
        <v>1658.78</v>
      </c>
      <c r="Q348" s="5">
        <f t="shared" ref="Q348:Q411" si="166">IF(O348,$B$3,L348)</f>
        <v>0.24931506849315069</v>
      </c>
      <c r="R348" s="5">
        <f t="shared" ref="R348:R411" si="167">IF(O348,BSM_Put(B348,P348,F348,H348,G348,Q348,$G$3),M348)</f>
        <v>-0.51172762852328046</v>
      </c>
      <c r="S348" s="5">
        <f t="shared" si="150"/>
        <v>47.058387776904198</v>
      </c>
      <c r="T348" s="5">
        <f t="shared" si="151"/>
        <v>-715.66700899455361</v>
      </c>
      <c r="U348" s="4">
        <f t="shared" si="152"/>
        <v>1220831.4235541306</v>
      </c>
      <c r="V348" s="4">
        <f t="shared" ref="V348:V411" si="168">U348*$H$6*(A348-A347)/365</f>
        <v>19.700539958174872</v>
      </c>
      <c r="W348" s="4">
        <f t="shared" si="153"/>
        <v>1187153.2879257277</v>
      </c>
      <c r="X348" s="4">
        <f t="shared" si="157"/>
        <v>347.82024550414644</v>
      </c>
      <c r="Y348" s="9">
        <f>SUM($X$6:X348)</f>
        <v>187153.28792572767</v>
      </c>
      <c r="Z348" s="16">
        <f t="shared" si="158"/>
        <v>0.18715328792572766</v>
      </c>
      <c r="AA348" s="16">
        <f t="shared" si="154"/>
        <v>0.29890529810658861</v>
      </c>
      <c r="AB348" s="16">
        <f t="shared" si="155"/>
        <v>2.9307266858486045E-4</v>
      </c>
      <c r="AC348" s="16">
        <f t="shared" si="156"/>
        <v>5.1140977010798111E-3</v>
      </c>
    </row>
    <row r="349" spans="1:29" x14ac:dyDescent="0.15">
      <c r="A349" s="8">
        <v>41410</v>
      </c>
      <c r="B349" s="4">
        <v>1650.47</v>
      </c>
      <c r="C349" s="1">
        <v>13.225899999999999</v>
      </c>
      <c r="D349" s="1">
        <v>2.1</v>
      </c>
      <c r="E349" s="1">
        <v>0.2802</v>
      </c>
      <c r="F349" s="4">
        <f t="shared" si="146"/>
        <v>0.13225899999999999</v>
      </c>
      <c r="G349" s="4">
        <f t="shared" si="147"/>
        <v>2.1000000000000001E-2</v>
      </c>
      <c r="H349" s="4">
        <f t="shared" si="148"/>
        <v>2.8020000000000002E-3</v>
      </c>
      <c r="I349" s="3">
        <f t="shared" si="149"/>
        <v>47.181429308478776</v>
      </c>
      <c r="J349" s="4">
        <f t="shared" si="159"/>
        <v>1220831.4235541306</v>
      </c>
      <c r="K349" s="1">
        <f t="shared" si="160"/>
        <v>1658.78</v>
      </c>
      <c r="L349" s="5">
        <f t="shared" si="161"/>
        <v>0.24657534246575344</v>
      </c>
      <c r="M349" s="5">
        <f t="shared" si="162"/>
        <v>-0.54175928243921423</v>
      </c>
      <c r="N349" s="5">
        <f t="shared" si="163"/>
        <v>51.513962139659583</v>
      </c>
      <c r="O349" s="1">
        <f t="shared" si="164"/>
        <v>0</v>
      </c>
      <c r="P349" s="1">
        <f t="shared" si="165"/>
        <v>1658.78</v>
      </c>
      <c r="Q349" s="5">
        <f t="shared" si="166"/>
        <v>0.24657534246575344</v>
      </c>
      <c r="R349" s="5">
        <f t="shared" si="167"/>
        <v>-0.54175928243921423</v>
      </c>
      <c r="S349" s="5">
        <f t="shared" si="150"/>
        <v>51.513962139659583</v>
      </c>
      <c r="T349" s="5">
        <f t="shared" si="151"/>
        <v>-715.66700899455361</v>
      </c>
      <c r="U349" s="4">
        <f t="shared" si="152"/>
        <v>1220851.1240940888</v>
      </c>
      <c r="V349" s="4">
        <f t="shared" si="168"/>
        <v>19.700857865518309</v>
      </c>
      <c r="W349" s="4">
        <f t="shared" si="153"/>
        <v>1183984.28088814</v>
      </c>
      <c r="X349" s="4">
        <f t="shared" si="157"/>
        <v>-3169.0070375876967</v>
      </c>
      <c r="Y349" s="9">
        <f>SUM($X$6:X349)</f>
        <v>183984.28088813997</v>
      </c>
      <c r="Z349" s="16">
        <f t="shared" si="158"/>
        <v>0.18398428088813998</v>
      </c>
      <c r="AA349" s="16">
        <f t="shared" si="154"/>
        <v>0.29239816453416451</v>
      </c>
      <c r="AB349" s="16">
        <f t="shared" si="155"/>
        <v>-2.6694168898144521E-3</v>
      </c>
      <c r="AC349" s="16">
        <f t="shared" si="156"/>
        <v>-5.0097059284534085E-3</v>
      </c>
    </row>
    <row r="350" spans="1:29" x14ac:dyDescent="0.15">
      <c r="A350" s="8">
        <v>41411</v>
      </c>
      <c r="B350" s="4">
        <v>1667.47</v>
      </c>
      <c r="C350" s="1">
        <v>12.9133</v>
      </c>
      <c r="D350" s="1">
        <v>2.08</v>
      </c>
      <c r="E350" s="1">
        <v>0.2797</v>
      </c>
      <c r="F350" s="4">
        <f t="shared" si="146"/>
        <v>0.129133</v>
      </c>
      <c r="G350" s="4">
        <f t="shared" si="147"/>
        <v>2.0799999999999999E-2</v>
      </c>
      <c r="H350" s="4">
        <f t="shared" si="148"/>
        <v>2.797E-3</v>
      </c>
      <c r="I350" s="3">
        <f t="shared" si="149"/>
        <v>46.593728815125978</v>
      </c>
      <c r="J350" s="4">
        <f t="shared" si="159"/>
        <v>1220851.1240940888</v>
      </c>
      <c r="K350" s="1">
        <f t="shared" si="160"/>
        <v>1658.78</v>
      </c>
      <c r="L350" s="5">
        <f t="shared" si="161"/>
        <v>0.24383561643835619</v>
      </c>
      <c r="M350" s="5">
        <f t="shared" si="162"/>
        <v>-0.4796217220784284</v>
      </c>
      <c r="N350" s="5">
        <f t="shared" si="163"/>
        <v>41.489981556051248</v>
      </c>
      <c r="O350" s="1">
        <f t="shared" si="164"/>
        <v>0</v>
      </c>
      <c r="P350" s="1">
        <f t="shared" si="165"/>
        <v>1658.78</v>
      </c>
      <c r="Q350" s="5">
        <f t="shared" si="166"/>
        <v>0.24383561643835619</v>
      </c>
      <c r="R350" s="5">
        <f t="shared" si="167"/>
        <v>-0.4796217220784284</v>
      </c>
      <c r="S350" s="5">
        <f t="shared" si="150"/>
        <v>41.489981556051248</v>
      </c>
      <c r="T350" s="5">
        <f t="shared" si="151"/>
        <v>-715.66700899455361</v>
      </c>
      <c r="U350" s="4">
        <f t="shared" si="152"/>
        <v>1220870.8249519544</v>
      </c>
      <c r="V350" s="4">
        <f t="shared" si="168"/>
        <v>19.701175777991811</v>
      </c>
      <c r="W350" s="4">
        <f t="shared" si="153"/>
        <v>1191177.813948496</v>
      </c>
      <c r="X350" s="4">
        <f t="shared" si="157"/>
        <v>7193.5330603560433</v>
      </c>
      <c r="Y350" s="9">
        <f>SUM($X$6:X350)</f>
        <v>191177.81394849601</v>
      </c>
      <c r="Z350" s="16">
        <f t="shared" si="158"/>
        <v>0.19117781394849601</v>
      </c>
      <c r="AA350" s="16">
        <f t="shared" si="154"/>
        <v>0.30570999013358818</v>
      </c>
      <c r="AB350" s="16">
        <f t="shared" si="155"/>
        <v>6.0756998014872051E-3</v>
      </c>
      <c r="AC350" s="16">
        <f t="shared" si="156"/>
        <v>1.0300096336195145E-2</v>
      </c>
    </row>
    <row r="351" spans="1:29" x14ac:dyDescent="0.15">
      <c r="A351" s="8">
        <v>41414</v>
      </c>
      <c r="B351" s="4">
        <v>1666.29</v>
      </c>
      <c r="C351" s="1">
        <v>13.2098</v>
      </c>
      <c r="D351" s="1">
        <v>2.08</v>
      </c>
      <c r="E351" s="1">
        <v>0.2792</v>
      </c>
      <c r="F351" s="4">
        <f t="shared" si="146"/>
        <v>0.13209799999999999</v>
      </c>
      <c r="G351" s="4">
        <f t="shared" si="147"/>
        <v>2.0799999999999999E-2</v>
      </c>
      <c r="H351" s="4">
        <f t="shared" si="148"/>
        <v>2.7920000000000002E-3</v>
      </c>
      <c r="I351" s="3">
        <f t="shared" si="149"/>
        <v>47.540291541101325</v>
      </c>
      <c r="J351" s="4">
        <f t="shared" si="159"/>
        <v>1220870.8249519544</v>
      </c>
      <c r="K351" s="1">
        <f t="shared" si="160"/>
        <v>1658.78</v>
      </c>
      <c r="L351" s="5">
        <f t="shared" si="161"/>
        <v>0.23561643835616441</v>
      </c>
      <c r="M351" s="5">
        <f t="shared" si="162"/>
        <v>-0.48313322267766612</v>
      </c>
      <c r="N351" s="5">
        <f t="shared" si="163"/>
        <v>42.176141564481846</v>
      </c>
      <c r="O351" s="1">
        <f t="shared" si="164"/>
        <v>0</v>
      </c>
      <c r="P351" s="1">
        <f t="shared" si="165"/>
        <v>1658.78</v>
      </c>
      <c r="Q351" s="5">
        <f t="shared" si="166"/>
        <v>0.23561643835616441</v>
      </c>
      <c r="R351" s="5">
        <f t="shared" si="167"/>
        <v>-0.48313322267766612</v>
      </c>
      <c r="S351" s="5">
        <f t="shared" si="150"/>
        <v>42.176141564481846</v>
      </c>
      <c r="T351" s="5">
        <f t="shared" si="151"/>
        <v>-715.66700899455361</v>
      </c>
      <c r="U351" s="4">
        <f t="shared" si="152"/>
        <v>1220890.5261277324</v>
      </c>
      <c r="V351" s="4">
        <f t="shared" si="168"/>
        <v>59.104481086786379</v>
      </c>
      <c r="W351" s="4">
        <f t="shared" si="153"/>
        <v>1190706.4530433489</v>
      </c>
      <c r="X351" s="4">
        <f t="shared" si="157"/>
        <v>-471.36090514715761</v>
      </c>
      <c r="Y351" s="9">
        <f>SUM($X$6:X351)</f>
        <v>190706.45304334885</v>
      </c>
      <c r="Z351" s="16">
        <f t="shared" si="158"/>
        <v>0.19070645304334885</v>
      </c>
      <c r="AA351" s="16">
        <f t="shared" si="154"/>
        <v>0.3047859928272752</v>
      </c>
      <c r="AB351" s="16">
        <f t="shared" si="155"/>
        <v>-3.9570994324071438E-4</v>
      </c>
      <c r="AC351" s="16">
        <f t="shared" si="156"/>
        <v>-7.0765890840618643E-4</v>
      </c>
    </row>
    <row r="352" spans="1:29" x14ac:dyDescent="0.15">
      <c r="A352" s="8">
        <v>41415</v>
      </c>
      <c r="B352" s="4">
        <v>1669.16</v>
      </c>
      <c r="C352" s="1">
        <v>13.594200000000001</v>
      </c>
      <c r="D352" s="1">
        <v>2.08</v>
      </c>
      <c r="E352" s="1">
        <v>0.2802</v>
      </c>
      <c r="F352" s="4">
        <f t="shared" si="146"/>
        <v>0.13594200000000001</v>
      </c>
      <c r="G352" s="4">
        <f t="shared" si="147"/>
        <v>2.0799999999999999E-2</v>
      </c>
      <c r="H352" s="4">
        <f t="shared" si="148"/>
        <v>2.8020000000000002E-3</v>
      </c>
      <c r="I352" s="3">
        <f t="shared" si="149"/>
        <v>48.890701555905984</v>
      </c>
      <c r="J352" s="4">
        <f t="shared" si="159"/>
        <v>1220890.5261277324</v>
      </c>
      <c r="K352" s="1">
        <f t="shared" si="160"/>
        <v>1658.78</v>
      </c>
      <c r="L352" s="5">
        <f t="shared" si="161"/>
        <v>0.23287671232876717</v>
      </c>
      <c r="M352" s="5">
        <f t="shared" si="162"/>
        <v>-0.47219185066646896</v>
      </c>
      <c r="N352" s="5">
        <f t="shared" si="163"/>
        <v>41.743815554504728</v>
      </c>
      <c r="O352" s="1">
        <f t="shared" si="164"/>
        <v>0</v>
      </c>
      <c r="P352" s="1">
        <f t="shared" si="165"/>
        <v>1658.78</v>
      </c>
      <c r="Q352" s="5">
        <f t="shared" si="166"/>
        <v>0.23287671232876717</v>
      </c>
      <c r="R352" s="5">
        <f t="shared" si="167"/>
        <v>-0.47219185066646896</v>
      </c>
      <c r="S352" s="5">
        <f t="shared" si="150"/>
        <v>41.743815554504728</v>
      </c>
      <c r="T352" s="5">
        <f t="shared" si="151"/>
        <v>-715.66700899455361</v>
      </c>
      <c r="U352" s="4">
        <f t="shared" si="152"/>
        <v>1220949.6306088192</v>
      </c>
      <c r="V352" s="4">
        <f t="shared" si="168"/>
        <v>19.702447463797107</v>
      </c>
      <c r="W352" s="4">
        <f t="shared" si="153"/>
        <v>1191074.9589869066</v>
      </c>
      <c r="X352" s="4">
        <f t="shared" si="157"/>
        <v>368.50594355771318</v>
      </c>
      <c r="Y352" s="9">
        <f>SUM($X$6:X352)</f>
        <v>191074.95898690657</v>
      </c>
      <c r="Z352" s="16">
        <f t="shared" si="158"/>
        <v>0.19107495898690657</v>
      </c>
      <c r="AA352" s="16">
        <f t="shared" si="154"/>
        <v>0.30703334220788386</v>
      </c>
      <c r="AB352" s="16">
        <f t="shared" si="155"/>
        <v>3.0948513180208435E-4</v>
      </c>
      <c r="AC352" s="16">
        <f t="shared" si="156"/>
        <v>1.7223892599728249E-3</v>
      </c>
    </row>
    <row r="353" spans="1:29" x14ac:dyDescent="0.15">
      <c r="A353" s="8">
        <v>41416</v>
      </c>
      <c r="B353" s="4">
        <v>1655.35</v>
      </c>
      <c r="C353" s="1">
        <v>14.261100000000001</v>
      </c>
      <c r="D353" s="1">
        <v>2.1</v>
      </c>
      <c r="E353" s="1">
        <v>0.27960000000000002</v>
      </c>
      <c r="F353" s="4">
        <f t="shared" si="146"/>
        <v>0.14261100000000002</v>
      </c>
      <c r="G353" s="4">
        <f t="shared" si="147"/>
        <v>2.1000000000000001E-2</v>
      </c>
      <c r="H353" s="4">
        <f t="shared" si="148"/>
        <v>2.7960000000000003E-3</v>
      </c>
      <c r="I353" s="3">
        <f t="shared" si="149"/>
        <v>50.716202388218498</v>
      </c>
      <c r="J353" s="4">
        <f t="shared" si="159"/>
        <v>1220949.6306088192</v>
      </c>
      <c r="K353" s="1">
        <f t="shared" si="160"/>
        <v>1658.78</v>
      </c>
      <c r="L353" s="5">
        <f t="shared" si="161"/>
        <v>0.23013698630136992</v>
      </c>
      <c r="M353" s="5">
        <f t="shared" si="162"/>
        <v>-0.5203200745666795</v>
      </c>
      <c r="N353" s="5">
        <f t="shared" si="163"/>
        <v>50.454953927246862</v>
      </c>
      <c r="O353" s="1">
        <f t="shared" si="164"/>
        <v>0</v>
      </c>
      <c r="P353" s="1">
        <f t="shared" si="165"/>
        <v>1658.78</v>
      </c>
      <c r="Q353" s="5">
        <f t="shared" si="166"/>
        <v>0.23013698630136992</v>
      </c>
      <c r="R353" s="5">
        <f t="shared" si="167"/>
        <v>-0.5203200745666795</v>
      </c>
      <c r="S353" s="5">
        <f t="shared" si="150"/>
        <v>50.454953927246862</v>
      </c>
      <c r="T353" s="5">
        <f t="shared" si="151"/>
        <v>-715.66700899455361</v>
      </c>
      <c r="U353" s="4">
        <f t="shared" si="152"/>
        <v>1220969.333056283</v>
      </c>
      <c r="V353" s="4">
        <f t="shared" si="168"/>
        <v>19.702765401921933</v>
      </c>
      <c r="W353" s="4">
        <f t="shared" si="153"/>
        <v>1184860.3870902122</v>
      </c>
      <c r="X353" s="4">
        <f t="shared" si="157"/>
        <v>-6214.5718966943678</v>
      </c>
      <c r="Y353" s="9">
        <f>SUM($X$6:X353)</f>
        <v>184860.3870902122</v>
      </c>
      <c r="Z353" s="16">
        <f t="shared" si="158"/>
        <v>0.18486038709021219</v>
      </c>
      <c r="AA353" s="16">
        <f t="shared" si="154"/>
        <v>0.29621944152976365</v>
      </c>
      <c r="AB353" s="16">
        <f t="shared" si="155"/>
        <v>-5.2176161120709823E-3</v>
      </c>
      <c r="AC353" s="16">
        <f t="shared" si="156"/>
        <v>-8.2736226604999945E-3</v>
      </c>
    </row>
    <row r="354" spans="1:29" x14ac:dyDescent="0.15">
      <c r="A354" s="8">
        <v>41417</v>
      </c>
      <c r="B354" s="4">
        <v>1650.51</v>
      </c>
      <c r="C354" s="1">
        <v>13.991899999999999</v>
      </c>
      <c r="D354" s="1">
        <v>2.11</v>
      </c>
      <c r="E354" s="1">
        <v>0.27879999999999999</v>
      </c>
      <c r="F354" s="4">
        <f t="shared" si="146"/>
        <v>0.13991899999999999</v>
      </c>
      <c r="G354" s="4">
        <f t="shared" si="147"/>
        <v>2.1099999999999997E-2</v>
      </c>
      <c r="H354" s="4">
        <f t="shared" si="148"/>
        <v>2.7880000000000001E-3</v>
      </c>
      <c r="I354" s="3">
        <f t="shared" si="149"/>
        <v>49.710576495119057</v>
      </c>
      <c r="J354" s="4">
        <f t="shared" si="159"/>
        <v>1220969.333056283</v>
      </c>
      <c r="K354" s="1">
        <f t="shared" si="160"/>
        <v>1658.78</v>
      </c>
      <c r="L354" s="5">
        <f t="shared" si="161"/>
        <v>0.22739726027397267</v>
      </c>
      <c r="M354" s="5">
        <f t="shared" si="162"/>
        <v>-0.53880694134359375</v>
      </c>
      <c r="N354" s="5">
        <f t="shared" si="163"/>
        <v>51.889206195351605</v>
      </c>
      <c r="O354" s="1">
        <f t="shared" si="164"/>
        <v>0</v>
      </c>
      <c r="P354" s="1">
        <f t="shared" si="165"/>
        <v>1658.78</v>
      </c>
      <c r="Q354" s="5">
        <f t="shared" si="166"/>
        <v>0.22739726027397267</v>
      </c>
      <c r="R354" s="5">
        <f t="shared" si="167"/>
        <v>-0.53880694134359375</v>
      </c>
      <c r="S354" s="5">
        <f t="shared" si="150"/>
        <v>51.889206195351605</v>
      </c>
      <c r="T354" s="5">
        <f t="shared" si="151"/>
        <v>-715.66700899455361</v>
      </c>
      <c r="U354" s="4">
        <f t="shared" si="152"/>
        <v>1220989.0358216849</v>
      </c>
      <c r="V354" s="4">
        <f t="shared" si="168"/>
        <v>19.703083345177323</v>
      </c>
      <c r="W354" s="4">
        <f t="shared" si="153"/>
        <v>1183853.642824756</v>
      </c>
      <c r="X354" s="4">
        <f t="shared" si="157"/>
        <v>-1006.7442654562183</v>
      </c>
      <c r="Y354" s="9">
        <f>SUM($X$6:X354)</f>
        <v>183853.64282475598</v>
      </c>
      <c r="Z354" s="16">
        <f t="shared" si="158"/>
        <v>0.18385364282475597</v>
      </c>
      <c r="AA354" s="16">
        <f t="shared" si="154"/>
        <v>0.29242948647675132</v>
      </c>
      <c r="AB354" s="16">
        <f t="shared" si="155"/>
        <v>-8.4967332558782505E-4</v>
      </c>
      <c r="AC354" s="16">
        <f t="shared" si="156"/>
        <v>-2.9238529616092781E-3</v>
      </c>
    </row>
    <row r="355" spans="1:29" x14ac:dyDescent="0.15">
      <c r="A355" s="8">
        <v>41418</v>
      </c>
      <c r="B355" s="4">
        <v>1649.6</v>
      </c>
      <c r="C355" s="1">
        <v>13.804500000000001</v>
      </c>
      <c r="D355" s="1">
        <v>2.11</v>
      </c>
      <c r="E355" s="1">
        <v>0.27879999999999999</v>
      </c>
      <c r="F355" s="4">
        <f t="shared" si="146"/>
        <v>0.138045</v>
      </c>
      <c r="G355" s="4">
        <f t="shared" si="147"/>
        <v>2.1099999999999997E-2</v>
      </c>
      <c r="H355" s="4">
        <f t="shared" si="148"/>
        <v>2.7880000000000001E-3</v>
      </c>
      <c r="I355" s="3">
        <f t="shared" si="149"/>
        <v>49.070905869923529</v>
      </c>
      <c r="J355" s="4">
        <f t="shared" si="159"/>
        <v>1220989.0358216849</v>
      </c>
      <c r="K355" s="1">
        <f t="shared" si="160"/>
        <v>1658.78</v>
      </c>
      <c r="L355" s="5">
        <f t="shared" si="161"/>
        <v>0.22465753424657542</v>
      </c>
      <c r="M355" s="5">
        <f t="shared" si="162"/>
        <v>-0.54318665332033578</v>
      </c>
      <c r="N355" s="5">
        <f t="shared" si="163"/>
        <v>51.496114605814221</v>
      </c>
      <c r="O355" s="1">
        <f t="shared" si="164"/>
        <v>0</v>
      </c>
      <c r="P355" s="1">
        <f t="shared" si="165"/>
        <v>1658.78</v>
      </c>
      <c r="Q355" s="5">
        <f t="shared" si="166"/>
        <v>0.22465753424657542</v>
      </c>
      <c r="R355" s="5">
        <f t="shared" si="167"/>
        <v>-0.54318665332033578</v>
      </c>
      <c r="S355" s="5">
        <f t="shared" si="150"/>
        <v>51.496114605814221</v>
      </c>
      <c r="T355" s="5">
        <f t="shared" si="151"/>
        <v>-715.66700899455361</v>
      </c>
      <c r="U355" s="4">
        <f t="shared" si="152"/>
        <v>1221008.7389050301</v>
      </c>
      <c r="V355" s="4">
        <f t="shared" si="168"/>
        <v>19.70340129356336</v>
      </c>
      <c r="W355" s="4">
        <f t="shared" si="153"/>
        <v>1184154.6685902462</v>
      </c>
      <c r="X355" s="4">
        <f t="shared" si="157"/>
        <v>301.02576549025252</v>
      </c>
      <c r="Y355" s="9">
        <f>SUM($X$6:X355)</f>
        <v>184154.66859024623</v>
      </c>
      <c r="Z355" s="16">
        <f t="shared" si="158"/>
        <v>0.18415466859024623</v>
      </c>
      <c r="AA355" s="16">
        <f t="shared" si="154"/>
        <v>0.29171691228289975</v>
      </c>
      <c r="AB355" s="16">
        <f t="shared" si="155"/>
        <v>2.5427616607402959E-4</v>
      </c>
      <c r="AC355" s="16">
        <f t="shared" si="156"/>
        <v>-5.5134473586956867E-4</v>
      </c>
    </row>
    <row r="356" spans="1:29" x14ac:dyDescent="0.15">
      <c r="A356" s="8">
        <v>41422</v>
      </c>
      <c r="B356" s="4">
        <v>1660.06</v>
      </c>
      <c r="C356" s="1">
        <v>13.680099999999999</v>
      </c>
      <c r="D356" s="1">
        <v>2.1</v>
      </c>
      <c r="E356" s="1">
        <v>0.27879999999999999</v>
      </c>
      <c r="F356" s="4">
        <f t="shared" si="146"/>
        <v>0.13680100000000001</v>
      </c>
      <c r="G356" s="4">
        <f t="shared" si="147"/>
        <v>2.1000000000000001E-2</v>
      </c>
      <c r="H356" s="4">
        <f t="shared" si="148"/>
        <v>2.7880000000000001E-3</v>
      </c>
      <c r="I356" s="3">
        <f t="shared" si="149"/>
        <v>48.951946468510791</v>
      </c>
      <c r="J356" s="4">
        <f t="shared" si="159"/>
        <v>1221008.7389050301</v>
      </c>
      <c r="K356" s="1">
        <f t="shared" si="160"/>
        <v>1658.78</v>
      </c>
      <c r="L356" s="5">
        <f t="shared" si="161"/>
        <v>0.21369863013698637</v>
      </c>
      <c r="M356" s="5">
        <f t="shared" si="162"/>
        <v>-0.50480021198974401</v>
      </c>
      <c r="N356" s="5">
        <f t="shared" si="163"/>
        <v>44.385700947209322</v>
      </c>
      <c r="O356" s="1">
        <f t="shared" si="164"/>
        <v>0</v>
      </c>
      <c r="P356" s="1">
        <f t="shared" si="165"/>
        <v>1658.78</v>
      </c>
      <c r="Q356" s="5">
        <f t="shared" si="166"/>
        <v>0.21369863013698637</v>
      </c>
      <c r="R356" s="5">
        <f t="shared" si="167"/>
        <v>-0.50480021198974401</v>
      </c>
      <c r="S356" s="5">
        <f t="shared" si="150"/>
        <v>44.385700947209322</v>
      </c>
      <c r="T356" s="5">
        <f t="shared" si="151"/>
        <v>-715.66700899455361</v>
      </c>
      <c r="U356" s="4">
        <f t="shared" si="152"/>
        <v>1221028.4423063237</v>
      </c>
      <c r="V356" s="4">
        <f t="shared" si="168"/>
        <v>78.814876988320506</v>
      </c>
      <c r="W356" s="4">
        <f t="shared" si="153"/>
        <v>1189263.0604673077</v>
      </c>
      <c r="X356" s="4">
        <f t="shared" si="157"/>
        <v>5108.3918770614546</v>
      </c>
      <c r="Y356" s="9">
        <f>SUM($X$6:X356)</f>
        <v>189263.06046730769</v>
      </c>
      <c r="Z356" s="16">
        <f t="shared" si="158"/>
        <v>0.18926306046730768</v>
      </c>
      <c r="AA356" s="16">
        <f t="shared" si="154"/>
        <v>0.29990760026936875</v>
      </c>
      <c r="AB356" s="16">
        <f t="shared" si="155"/>
        <v>4.3139566245540134E-3</v>
      </c>
      <c r="AC356" s="16">
        <f t="shared" si="156"/>
        <v>6.3409311348205846E-3</v>
      </c>
    </row>
    <row r="357" spans="1:29" x14ac:dyDescent="0.15">
      <c r="A357" s="8">
        <v>41423</v>
      </c>
      <c r="B357" s="4">
        <v>1648.36</v>
      </c>
      <c r="C357" s="1">
        <v>13.834300000000001</v>
      </c>
      <c r="D357" s="1">
        <v>2.11</v>
      </c>
      <c r="E357" s="1">
        <v>0.27879999999999999</v>
      </c>
      <c r="F357" s="4">
        <f t="shared" si="146"/>
        <v>0.13834299999999999</v>
      </c>
      <c r="G357" s="4">
        <f t="shared" si="147"/>
        <v>2.1099999999999997E-2</v>
      </c>
      <c r="H357" s="4">
        <f t="shared" si="148"/>
        <v>2.7880000000000001E-3</v>
      </c>
      <c r="I357" s="3">
        <f t="shared" si="149"/>
        <v>49.131305396089417</v>
      </c>
      <c r="J357" s="4">
        <f t="shared" si="159"/>
        <v>1221028.4423063237</v>
      </c>
      <c r="K357" s="1">
        <f t="shared" si="160"/>
        <v>1658.78</v>
      </c>
      <c r="L357" s="5">
        <f t="shared" si="161"/>
        <v>0.21095890410958912</v>
      </c>
      <c r="M357" s="5">
        <f t="shared" si="162"/>
        <v>-0.54855666876908937</v>
      </c>
      <c r="N357" s="5">
        <f t="shared" si="163"/>
        <v>50.721043979955795</v>
      </c>
      <c r="O357" s="1">
        <f t="shared" si="164"/>
        <v>0</v>
      </c>
      <c r="P357" s="1">
        <f t="shared" si="165"/>
        <v>1658.78</v>
      </c>
      <c r="Q357" s="5">
        <f t="shared" si="166"/>
        <v>0.21095890410958912</v>
      </c>
      <c r="R357" s="5">
        <f t="shared" si="167"/>
        <v>-0.54855666876908937</v>
      </c>
      <c r="S357" s="5">
        <f t="shared" si="150"/>
        <v>50.721043979955795</v>
      </c>
      <c r="T357" s="5">
        <f t="shared" si="151"/>
        <v>-715.66700899455361</v>
      </c>
      <c r="U357" s="4">
        <f t="shared" si="152"/>
        <v>1221107.257183312</v>
      </c>
      <c r="V357" s="4">
        <f t="shared" si="168"/>
        <v>19.704991081670428</v>
      </c>
      <c r="W357" s="4">
        <f t="shared" si="153"/>
        <v>1184807.8793450957</v>
      </c>
      <c r="X357" s="4">
        <f t="shared" si="157"/>
        <v>-4455.1811222119723</v>
      </c>
      <c r="Y357" s="9">
        <f>SUM($X$6:X357)</f>
        <v>184807.87934509572</v>
      </c>
      <c r="Z357" s="16">
        <f t="shared" si="158"/>
        <v>0.18480787934509571</v>
      </c>
      <c r="AA357" s="16">
        <f t="shared" si="154"/>
        <v>0.29074593206270649</v>
      </c>
      <c r="AB357" s="16">
        <f t="shared" si="155"/>
        <v>-3.7461695988954356E-3</v>
      </c>
      <c r="AC357" s="16">
        <f t="shared" si="156"/>
        <v>-7.0479380263364253E-3</v>
      </c>
    </row>
    <row r="358" spans="1:29" x14ac:dyDescent="0.15">
      <c r="A358" s="8">
        <v>41424</v>
      </c>
      <c r="B358" s="4">
        <v>1654.41</v>
      </c>
      <c r="C358" s="1">
        <v>13.684900000000001</v>
      </c>
      <c r="D358" s="1">
        <v>2.11</v>
      </c>
      <c r="E358" s="1">
        <v>0.28079999999999999</v>
      </c>
      <c r="F358" s="4">
        <f t="shared" si="146"/>
        <v>0.136849</v>
      </c>
      <c r="G358" s="4">
        <f t="shared" si="147"/>
        <v>2.1099999999999997E-2</v>
      </c>
      <c r="H358" s="4">
        <f t="shared" si="148"/>
        <v>2.8079999999999997E-3</v>
      </c>
      <c r="I358" s="3">
        <f t="shared" si="149"/>
        <v>48.817660388026219</v>
      </c>
      <c r="J358" s="4">
        <f t="shared" si="159"/>
        <v>1221107.257183312</v>
      </c>
      <c r="K358" s="1">
        <f t="shared" si="160"/>
        <v>1658.78</v>
      </c>
      <c r="L358" s="5">
        <f t="shared" si="161"/>
        <v>0.20821917808219187</v>
      </c>
      <c r="M358" s="5">
        <f t="shared" si="162"/>
        <v>-0.52638689441255671</v>
      </c>
      <c r="N358" s="5">
        <f t="shared" si="163"/>
        <v>46.705898893248673</v>
      </c>
      <c r="O358" s="1">
        <f t="shared" si="164"/>
        <v>0</v>
      </c>
      <c r="P358" s="1">
        <f t="shared" si="165"/>
        <v>1658.78</v>
      </c>
      <c r="Q358" s="5">
        <f t="shared" si="166"/>
        <v>0.20821917808219187</v>
      </c>
      <c r="R358" s="5">
        <f t="shared" si="167"/>
        <v>-0.52638689441255671</v>
      </c>
      <c r="S358" s="5">
        <f t="shared" si="150"/>
        <v>46.705898893248673</v>
      </c>
      <c r="T358" s="5">
        <f t="shared" si="151"/>
        <v>-715.66700899455361</v>
      </c>
      <c r="U358" s="4">
        <f t="shared" si="152"/>
        <v>1221126.9621743937</v>
      </c>
      <c r="V358" s="4">
        <f t="shared" si="168"/>
        <v>19.705309060841586</v>
      </c>
      <c r="W358" s="4">
        <f t="shared" si="153"/>
        <v>1187701.0912110603</v>
      </c>
      <c r="X358" s="4">
        <f t="shared" si="157"/>
        <v>2893.2118659645785</v>
      </c>
      <c r="Y358" s="9">
        <f>SUM($X$6:X358)</f>
        <v>187701.09121106029</v>
      </c>
      <c r="Z358" s="16">
        <f t="shared" si="158"/>
        <v>0.18770109121106029</v>
      </c>
      <c r="AA358" s="16">
        <f t="shared" si="154"/>
        <v>0.29548337587897211</v>
      </c>
      <c r="AB358" s="16">
        <f t="shared" si="155"/>
        <v>2.4419249031022699E-3</v>
      </c>
      <c r="AC358" s="16">
        <f t="shared" si="156"/>
        <v>3.6703147370721096E-3</v>
      </c>
    </row>
    <row r="359" spans="1:29" x14ac:dyDescent="0.15">
      <c r="A359" s="8">
        <v>41425</v>
      </c>
      <c r="B359" s="4">
        <v>1630.74</v>
      </c>
      <c r="C359" s="1">
        <v>14.2559</v>
      </c>
      <c r="D359" s="1">
        <v>2.14</v>
      </c>
      <c r="E359" s="1">
        <v>0.28139999999999998</v>
      </c>
      <c r="F359" s="4">
        <f t="shared" si="146"/>
        <v>0.14255899999999999</v>
      </c>
      <c r="G359" s="4">
        <f t="shared" si="147"/>
        <v>2.1400000000000002E-2</v>
      </c>
      <c r="H359" s="4">
        <f t="shared" si="148"/>
        <v>2.8139999999999997E-3</v>
      </c>
      <c r="I359" s="3">
        <f t="shared" si="149"/>
        <v>50.024208448420751</v>
      </c>
      <c r="J359" s="4">
        <f t="shared" si="159"/>
        <v>1221126.9621743937</v>
      </c>
      <c r="K359" s="1">
        <f t="shared" si="160"/>
        <v>1658.78</v>
      </c>
      <c r="L359" s="5">
        <f t="shared" si="161"/>
        <v>0.20547945205479462</v>
      </c>
      <c r="M359" s="5">
        <f t="shared" si="162"/>
        <v>-0.6116286890456466</v>
      </c>
      <c r="N359" s="5">
        <f t="shared" si="163"/>
        <v>61.593765498756241</v>
      </c>
      <c r="O359" s="1">
        <f t="shared" si="164"/>
        <v>0</v>
      </c>
      <c r="P359" s="1">
        <f t="shared" si="165"/>
        <v>1658.78</v>
      </c>
      <c r="Q359" s="5">
        <f t="shared" si="166"/>
        <v>0.20547945205479462</v>
      </c>
      <c r="R359" s="5">
        <f t="shared" si="167"/>
        <v>-0.6116286890456466</v>
      </c>
      <c r="S359" s="5">
        <f t="shared" si="150"/>
        <v>61.593765498756241</v>
      </c>
      <c r="T359" s="5">
        <f t="shared" si="151"/>
        <v>-715.66700899455361</v>
      </c>
      <c r="U359" s="4">
        <f t="shared" si="152"/>
        <v>1221146.6674834546</v>
      </c>
      <c r="V359" s="4">
        <f t="shared" si="168"/>
        <v>19.705627045143963</v>
      </c>
      <c r="W359" s="4">
        <f t="shared" si="153"/>
        <v>1177066.0415562477</v>
      </c>
      <c r="X359" s="4">
        <f t="shared" si="157"/>
        <v>-10635.049654812552</v>
      </c>
      <c r="Y359" s="9">
        <f>SUM($X$6:X359)</f>
        <v>177066.04155624774</v>
      </c>
      <c r="Z359" s="16">
        <f t="shared" si="158"/>
        <v>0.17706604155624775</v>
      </c>
      <c r="AA359" s="16">
        <f t="shared" si="154"/>
        <v>0.27694861635318629</v>
      </c>
      <c r="AB359" s="16">
        <f t="shared" si="155"/>
        <v>-8.9543149648606754E-3</v>
      </c>
      <c r="AC359" s="16">
        <f t="shared" si="156"/>
        <v>-1.4307215261029654E-2</v>
      </c>
    </row>
    <row r="360" spans="1:29" x14ac:dyDescent="0.15">
      <c r="A360" s="8">
        <v>41428</v>
      </c>
      <c r="B360" s="4">
        <v>1640.42</v>
      </c>
      <c r="C360" s="1">
        <v>14.921900000000001</v>
      </c>
      <c r="D360" s="1">
        <v>2.13</v>
      </c>
      <c r="E360" s="1">
        <v>0.27929999999999999</v>
      </c>
      <c r="F360" s="4">
        <f t="shared" si="146"/>
        <v>0.14921900000000002</v>
      </c>
      <c r="G360" s="4">
        <f t="shared" si="147"/>
        <v>2.1299999999999999E-2</v>
      </c>
      <c r="H360" s="4">
        <f t="shared" si="148"/>
        <v>2.7929999999999999E-3</v>
      </c>
      <c r="I360" s="3">
        <f t="shared" si="149"/>
        <v>52.468929076637863</v>
      </c>
      <c r="J360" s="4">
        <f t="shared" si="159"/>
        <v>1221146.6674834546</v>
      </c>
      <c r="K360" s="1">
        <f t="shared" si="160"/>
        <v>1658.78</v>
      </c>
      <c r="L360" s="5">
        <f t="shared" si="161"/>
        <v>0.19726027397260285</v>
      </c>
      <c r="M360" s="5">
        <f t="shared" si="162"/>
        <v>-0.5728893708805689</v>
      </c>
      <c r="N360" s="5">
        <f t="shared" si="163"/>
        <v>56.74294529637185</v>
      </c>
      <c r="O360" s="1">
        <f t="shared" si="164"/>
        <v>0</v>
      </c>
      <c r="P360" s="1">
        <f t="shared" si="165"/>
        <v>1658.78</v>
      </c>
      <c r="Q360" s="5">
        <f t="shared" si="166"/>
        <v>0.19726027397260285</v>
      </c>
      <c r="R360" s="5">
        <f t="shared" si="167"/>
        <v>-0.5728893708805689</v>
      </c>
      <c r="S360" s="5">
        <f t="shared" si="150"/>
        <v>56.74294529637185</v>
      </c>
      <c r="T360" s="5">
        <f t="shared" si="151"/>
        <v>-715.66700899455361</v>
      </c>
      <c r="U360" s="4">
        <f t="shared" si="152"/>
        <v>1221166.3731104997</v>
      </c>
      <c r="V360" s="4">
        <f t="shared" si="168"/>
        <v>59.117835103732958</v>
      </c>
      <c r="W360" s="4">
        <f t="shared" si="153"/>
        <v>1180557.3191687036</v>
      </c>
      <c r="X360" s="4">
        <f t="shared" si="157"/>
        <v>3491.2776124558877</v>
      </c>
      <c r="Y360" s="9">
        <f>SUM($X$6:X360)</f>
        <v>180557.31916870363</v>
      </c>
      <c r="Z360" s="16">
        <f t="shared" si="158"/>
        <v>0.18055731916870363</v>
      </c>
      <c r="AA360" s="16">
        <f t="shared" si="154"/>
        <v>0.28452852645921112</v>
      </c>
      <c r="AB360" s="16">
        <f t="shared" si="155"/>
        <v>2.9660847303350328E-3</v>
      </c>
      <c r="AC360" s="16">
        <f t="shared" si="156"/>
        <v>5.9359554558053793E-3</v>
      </c>
    </row>
    <row r="361" spans="1:29" x14ac:dyDescent="0.15">
      <c r="A361" s="8">
        <v>41429</v>
      </c>
      <c r="B361" s="4">
        <v>1631.38</v>
      </c>
      <c r="C361" s="1">
        <v>15.0791</v>
      </c>
      <c r="D361" s="1">
        <v>2.14</v>
      </c>
      <c r="E361" s="1">
        <v>0.28000000000000003</v>
      </c>
      <c r="F361" s="4">
        <f t="shared" si="146"/>
        <v>0.15079100000000001</v>
      </c>
      <c r="G361" s="4">
        <f t="shared" si="147"/>
        <v>2.1400000000000002E-2</v>
      </c>
      <c r="H361" s="4">
        <f t="shared" si="148"/>
        <v>2.8000000000000004E-3</v>
      </c>
      <c r="I361" s="3">
        <f t="shared" si="149"/>
        <v>52.706856180651968</v>
      </c>
      <c r="J361" s="4">
        <f t="shared" si="159"/>
        <v>1221166.3731104997</v>
      </c>
      <c r="K361" s="1">
        <f t="shared" si="160"/>
        <v>1658.78</v>
      </c>
      <c r="L361" s="5">
        <f t="shared" si="161"/>
        <v>0.1945205479452056</v>
      </c>
      <c r="M361" s="5">
        <f t="shared" si="162"/>
        <v>-0.60451223637580642</v>
      </c>
      <c r="N361" s="5">
        <f t="shared" si="163"/>
        <v>62.180690942686546</v>
      </c>
      <c r="O361" s="1">
        <f t="shared" si="164"/>
        <v>0</v>
      </c>
      <c r="P361" s="1">
        <f t="shared" si="165"/>
        <v>1658.78</v>
      </c>
      <c r="Q361" s="5">
        <f t="shared" si="166"/>
        <v>0.1945205479452056</v>
      </c>
      <c r="R361" s="5">
        <f t="shared" si="167"/>
        <v>-0.60451223637580642</v>
      </c>
      <c r="S361" s="5">
        <f t="shared" si="150"/>
        <v>62.180690942686546</v>
      </c>
      <c r="T361" s="5">
        <f t="shared" si="151"/>
        <v>-715.66700899455361</v>
      </c>
      <c r="U361" s="4">
        <f t="shared" si="152"/>
        <v>1221225.4909456035</v>
      </c>
      <c r="V361" s="4">
        <f t="shared" si="168"/>
        <v>19.706899018272889</v>
      </c>
      <c r="W361" s="4">
        <f t="shared" si="153"/>
        <v>1176724.8218414362</v>
      </c>
      <c r="X361" s="4">
        <f t="shared" si="157"/>
        <v>-3832.4973272674251</v>
      </c>
      <c r="Y361" s="9">
        <f>SUM($X$6:X361)</f>
        <v>176724.82184143621</v>
      </c>
      <c r="Z361" s="16">
        <f t="shared" si="158"/>
        <v>0.1767248218414362</v>
      </c>
      <c r="AA361" s="16">
        <f t="shared" si="154"/>
        <v>0.27744976743457644</v>
      </c>
      <c r="AB361" s="16">
        <f t="shared" si="155"/>
        <v>-3.2463458275504157E-3</v>
      </c>
      <c r="AC361" s="16">
        <f t="shared" si="156"/>
        <v>-5.5107838236548952E-3</v>
      </c>
    </row>
    <row r="362" spans="1:29" x14ac:dyDescent="0.15">
      <c r="A362" s="8">
        <v>41430</v>
      </c>
      <c r="B362" s="4">
        <v>1608.9</v>
      </c>
      <c r="C362" s="1">
        <v>15.4702</v>
      </c>
      <c r="D362" s="1">
        <v>2.17</v>
      </c>
      <c r="E362" s="1">
        <v>0.28039999999999998</v>
      </c>
      <c r="F362" s="4">
        <f t="shared" si="146"/>
        <v>0.15470200000000001</v>
      </c>
      <c r="G362" s="4">
        <f t="shared" si="147"/>
        <v>2.1700000000000001E-2</v>
      </c>
      <c r="H362" s="4">
        <f t="shared" si="148"/>
        <v>2.8039999999999996E-3</v>
      </c>
      <c r="I362" s="3">
        <f t="shared" si="149"/>
        <v>53.287038138800604</v>
      </c>
      <c r="J362" s="4">
        <f t="shared" si="159"/>
        <v>1221225.4909456035</v>
      </c>
      <c r="K362" s="1">
        <f t="shared" si="160"/>
        <v>1658.78</v>
      </c>
      <c r="L362" s="5">
        <f t="shared" si="161"/>
        <v>0.19178082191780835</v>
      </c>
      <c r="M362" s="5">
        <f t="shared" si="162"/>
        <v>-0.67809448670536709</v>
      </c>
      <c r="N362" s="5">
        <f t="shared" si="163"/>
        <v>77.362598566622367</v>
      </c>
      <c r="O362" s="1">
        <f t="shared" si="164"/>
        <v>0</v>
      </c>
      <c r="P362" s="1">
        <f t="shared" si="165"/>
        <v>1658.78</v>
      </c>
      <c r="Q362" s="5">
        <f t="shared" si="166"/>
        <v>0.19178082191780835</v>
      </c>
      <c r="R362" s="5">
        <f t="shared" si="167"/>
        <v>-0.67809448670536709</v>
      </c>
      <c r="S362" s="5">
        <f t="shared" si="150"/>
        <v>77.362598566622367</v>
      </c>
      <c r="T362" s="5">
        <f t="shared" si="151"/>
        <v>-715.66700899455361</v>
      </c>
      <c r="U362" s="4">
        <f t="shared" si="152"/>
        <v>1221245.1978446217</v>
      </c>
      <c r="V362" s="4">
        <f t="shared" si="168"/>
        <v>19.707217028232385</v>
      </c>
      <c r="W362" s="4">
        <f t="shared" si="153"/>
        <v>1165879.3383204008</v>
      </c>
      <c r="X362" s="4">
        <f t="shared" si="157"/>
        <v>-10845.483521035407</v>
      </c>
      <c r="Y362" s="9">
        <f>SUM($X$6:X362)</f>
        <v>165879.3383204008</v>
      </c>
      <c r="Z362" s="16">
        <f t="shared" si="158"/>
        <v>0.1658793383204008</v>
      </c>
      <c r="AA362" s="16">
        <f t="shared" si="154"/>
        <v>0.25984683570075029</v>
      </c>
      <c r="AB362" s="16">
        <f t="shared" si="155"/>
        <v>-9.2166692838717371E-3</v>
      </c>
      <c r="AC362" s="16">
        <f t="shared" si="156"/>
        <v>-1.377974475597348E-2</v>
      </c>
    </row>
    <row r="363" spans="1:29" x14ac:dyDescent="0.15">
      <c r="A363" s="8">
        <v>41431</v>
      </c>
      <c r="B363" s="4">
        <v>1622.56</v>
      </c>
      <c r="C363" s="1">
        <v>15.406000000000001</v>
      </c>
      <c r="D363" s="1">
        <v>2.16</v>
      </c>
      <c r="E363" s="1">
        <v>0.28029999999999999</v>
      </c>
      <c r="F363" s="4">
        <f t="shared" si="146"/>
        <v>0.15406</v>
      </c>
      <c r="G363" s="4">
        <f t="shared" si="147"/>
        <v>2.1600000000000001E-2</v>
      </c>
      <c r="H363" s="4">
        <f t="shared" si="148"/>
        <v>2.8029999999999999E-3</v>
      </c>
      <c r="I363" s="3">
        <f t="shared" si="149"/>
        <v>53.512868362953469</v>
      </c>
      <c r="J363" s="4">
        <f t="shared" si="159"/>
        <v>1221245.1978446217</v>
      </c>
      <c r="K363" s="1">
        <f t="shared" si="160"/>
        <v>1658.78</v>
      </c>
      <c r="L363" s="5">
        <f t="shared" si="161"/>
        <v>0.1890410958904111</v>
      </c>
      <c r="M363" s="5">
        <f t="shared" si="162"/>
        <v>-0.6339176340556989</v>
      </c>
      <c r="N363" s="5">
        <f t="shared" si="163"/>
        <v>67.87300430348516</v>
      </c>
      <c r="O363" s="1">
        <f t="shared" si="164"/>
        <v>0</v>
      </c>
      <c r="P363" s="1">
        <f t="shared" si="165"/>
        <v>1658.78</v>
      </c>
      <c r="Q363" s="5">
        <f t="shared" si="166"/>
        <v>0.1890410958904111</v>
      </c>
      <c r="R363" s="5">
        <f t="shared" si="167"/>
        <v>-0.6339176340556989</v>
      </c>
      <c r="S363" s="5">
        <f t="shared" si="150"/>
        <v>67.87300430348516</v>
      </c>
      <c r="T363" s="5">
        <f t="shared" si="151"/>
        <v>-715.66700899455361</v>
      </c>
      <c r="U363" s="4">
        <f t="shared" si="152"/>
        <v>1221264.9050616499</v>
      </c>
      <c r="V363" s="4">
        <f t="shared" si="168"/>
        <v>19.70753504332361</v>
      </c>
      <c r="W363" s="4">
        <f t="shared" si="153"/>
        <v>1172690.4350803001</v>
      </c>
      <c r="X363" s="4">
        <f t="shared" si="157"/>
        <v>6811.0967598992866</v>
      </c>
      <c r="Y363" s="9">
        <f>SUM($X$6:X363)</f>
        <v>172690.43508030009</v>
      </c>
      <c r="Z363" s="16">
        <f t="shared" si="158"/>
        <v>0.17269043508030008</v>
      </c>
      <c r="AA363" s="16">
        <f t="shared" si="154"/>
        <v>0.27054327909416942</v>
      </c>
      <c r="AB363" s="16">
        <f t="shared" si="155"/>
        <v>5.8420254446841366E-3</v>
      </c>
      <c r="AC363" s="16">
        <f t="shared" si="156"/>
        <v>8.4902728572315584E-3</v>
      </c>
    </row>
    <row r="364" spans="1:29" x14ac:dyDescent="0.15">
      <c r="A364" s="8">
        <v>41432</v>
      </c>
      <c r="B364" s="4">
        <v>1643.38</v>
      </c>
      <c r="C364" s="1">
        <v>14.3873</v>
      </c>
      <c r="D364" s="1">
        <v>2.12</v>
      </c>
      <c r="E364" s="1">
        <v>0.28129999999999999</v>
      </c>
      <c r="F364" s="4">
        <f t="shared" si="146"/>
        <v>0.143873</v>
      </c>
      <c r="G364" s="4">
        <f t="shared" si="147"/>
        <v>2.12E-2</v>
      </c>
      <c r="H364" s="4">
        <f t="shared" si="148"/>
        <v>2.813E-3</v>
      </c>
      <c r="I364" s="3">
        <f t="shared" si="149"/>
        <v>50.798176627487621</v>
      </c>
      <c r="J364" s="4">
        <f t="shared" si="159"/>
        <v>1221264.9050616499</v>
      </c>
      <c r="K364" s="1">
        <f t="shared" si="160"/>
        <v>1658.78</v>
      </c>
      <c r="L364" s="5">
        <f t="shared" si="161"/>
        <v>0.18630136986301385</v>
      </c>
      <c r="M364" s="5">
        <f t="shared" si="162"/>
        <v>-0.56694612918344156</v>
      </c>
      <c r="N364" s="5">
        <f t="shared" si="163"/>
        <v>52.167976087179255</v>
      </c>
      <c r="O364" s="1">
        <f t="shared" si="164"/>
        <v>0</v>
      </c>
      <c r="P364" s="1">
        <f t="shared" si="165"/>
        <v>1658.78</v>
      </c>
      <c r="Q364" s="5">
        <f t="shared" si="166"/>
        <v>0.18630136986301385</v>
      </c>
      <c r="R364" s="5">
        <f t="shared" si="167"/>
        <v>-0.56694612918344156</v>
      </c>
      <c r="S364" s="5">
        <f t="shared" si="150"/>
        <v>52.167976087179255</v>
      </c>
      <c r="T364" s="5">
        <f t="shared" si="151"/>
        <v>-715.66700899455361</v>
      </c>
      <c r="U364" s="4">
        <f t="shared" si="152"/>
        <v>1221284.6125966932</v>
      </c>
      <c r="V364" s="4">
        <f t="shared" si="168"/>
        <v>19.707853063546636</v>
      </c>
      <c r="W364" s="4">
        <f t="shared" si="153"/>
        <v>1183949.7131850822</v>
      </c>
      <c r="X364" s="4">
        <f t="shared" si="157"/>
        <v>11259.278104782104</v>
      </c>
      <c r="Y364" s="9">
        <f>SUM($X$6:X364)</f>
        <v>183949.71318508219</v>
      </c>
      <c r="Z364" s="16">
        <f t="shared" si="158"/>
        <v>0.18394971318508219</v>
      </c>
      <c r="AA364" s="16">
        <f t="shared" si="154"/>
        <v>0.2868463502106402</v>
      </c>
      <c r="AB364" s="16">
        <f t="shared" si="155"/>
        <v>9.6012364115608435E-3</v>
      </c>
      <c r="AC364" s="16">
        <f t="shared" si="156"/>
        <v>1.2831574795385171E-2</v>
      </c>
    </row>
    <row r="365" spans="1:29" x14ac:dyDescent="0.15">
      <c r="A365" s="8">
        <v>41435</v>
      </c>
      <c r="B365" s="4">
        <v>1642.81</v>
      </c>
      <c r="C365" s="1">
        <v>14.4277</v>
      </c>
      <c r="D365" s="1">
        <v>2.12</v>
      </c>
      <c r="E365" s="1">
        <v>0.2802</v>
      </c>
      <c r="F365" s="4">
        <f t="shared" si="146"/>
        <v>0.14427699999999999</v>
      </c>
      <c r="G365" s="4">
        <f t="shared" si="147"/>
        <v>2.12E-2</v>
      </c>
      <c r="H365" s="4">
        <f t="shared" si="148"/>
        <v>2.8020000000000002E-3</v>
      </c>
      <c r="I365" s="3">
        <f t="shared" si="149"/>
        <v>50.914446300152875</v>
      </c>
      <c r="J365" s="4">
        <f t="shared" si="159"/>
        <v>1221284.6125966932</v>
      </c>
      <c r="K365" s="1">
        <f t="shared" si="160"/>
        <v>1658.78</v>
      </c>
      <c r="L365" s="5">
        <f t="shared" si="161"/>
        <v>0.17808219178082207</v>
      </c>
      <c r="M365" s="5">
        <f t="shared" si="162"/>
        <v>-0.57015577833701581</v>
      </c>
      <c r="N365" s="5">
        <f t="shared" si="163"/>
        <v>51.573270584230301</v>
      </c>
      <c r="O365" s="1">
        <f t="shared" si="164"/>
        <v>0</v>
      </c>
      <c r="P365" s="1">
        <f t="shared" si="165"/>
        <v>1658.78</v>
      </c>
      <c r="Q365" s="5">
        <f t="shared" si="166"/>
        <v>0.17808219178082207</v>
      </c>
      <c r="R365" s="5">
        <f t="shared" si="167"/>
        <v>-0.57015577833701581</v>
      </c>
      <c r="S365" s="5">
        <f t="shared" si="150"/>
        <v>51.573270584230301</v>
      </c>
      <c r="T365" s="5">
        <f t="shared" si="151"/>
        <v>-715.66700899455361</v>
      </c>
      <c r="U365" s="4">
        <f t="shared" si="152"/>
        <v>1221304.3204497567</v>
      </c>
      <c r="V365" s="4">
        <f t="shared" si="168"/>
        <v>59.124513266704653</v>
      </c>
      <c r="W365" s="4">
        <f t="shared" si="153"/>
        <v>1184395.0321466739</v>
      </c>
      <c r="X365" s="4">
        <f t="shared" si="157"/>
        <v>445.31896159169264</v>
      </c>
      <c r="Y365" s="9">
        <f>SUM($X$6:X365)</f>
        <v>184395.03214667388</v>
      </c>
      <c r="Z365" s="16">
        <f t="shared" si="158"/>
        <v>0.18439503214667388</v>
      </c>
      <c r="AA365" s="16">
        <f t="shared" si="154"/>
        <v>0.28640001252877706</v>
      </c>
      <c r="AB365" s="16">
        <f t="shared" si="155"/>
        <v>3.7612996281209259E-4</v>
      </c>
      <c r="AC365" s="16">
        <f t="shared" si="156"/>
        <v>-3.4684613418695841E-4</v>
      </c>
    </row>
    <row r="366" spans="1:29" x14ac:dyDescent="0.15">
      <c r="A366" s="8">
        <v>41436</v>
      </c>
      <c r="B366" s="4">
        <v>1626.13</v>
      </c>
      <c r="C366" s="1">
        <v>15.276199999999999</v>
      </c>
      <c r="D366" s="1">
        <v>2.15</v>
      </c>
      <c r="E366" s="1">
        <v>0.27829999999999999</v>
      </c>
      <c r="F366" s="4">
        <f t="shared" si="146"/>
        <v>0.15276199999999998</v>
      </c>
      <c r="G366" s="4">
        <f t="shared" si="147"/>
        <v>2.1499999999999998E-2</v>
      </c>
      <c r="H366" s="4">
        <f t="shared" si="148"/>
        <v>2.7829999999999999E-3</v>
      </c>
      <c r="I366" s="3">
        <f t="shared" si="149"/>
        <v>53.196363726558772</v>
      </c>
      <c r="J366" s="4">
        <f t="shared" si="159"/>
        <v>1221304.3204497567</v>
      </c>
      <c r="K366" s="1">
        <f t="shared" si="160"/>
        <v>1658.78</v>
      </c>
      <c r="L366" s="5">
        <f t="shared" si="161"/>
        <v>0.17534246575342483</v>
      </c>
      <c r="M366" s="5">
        <f t="shared" si="162"/>
        <v>-0.62696830378231727</v>
      </c>
      <c r="N366" s="5">
        <f t="shared" si="163"/>
        <v>63.509164066338599</v>
      </c>
      <c r="O366" s="1">
        <f t="shared" si="164"/>
        <v>0</v>
      </c>
      <c r="P366" s="1">
        <f t="shared" si="165"/>
        <v>1658.78</v>
      </c>
      <c r="Q366" s="5">
        <f t="shared" si="166"/>
        <v>0.17534246575342483</v>
      </c>
      <c r="R366" s="5">
        <f t="shared" si="167"/>
        <v>-0.62696830378231727</v>
      </c>
      <c r="S366" s="5">
        <f t="shared" si="150"/>
        <v>63.509164066338599</v>
      </c>
      <c r="T366" s="5">
        <f t="shared" si="151"/>
        <v>-715.66700899455361</v>
      </c>
      <c r="U366" s="4">
        <f t="shared" si="152"/>
        <v>1221363.4449630233</v>
      </c>
      <c r="V366" s="4">
        <f t="shared" si="168"/>
        <v>19.709125180362211</v>
      </c>
      <c r="W366" s="4">
        <f t="shared" si="153"/>
        <v>1175912.0314719223</v>
      </c>
      <c r="X366" s="4">
        <f t="shared" si="157"/>
        <v>-8483.0006747515872</v>
      </c>
      <c r="Y366" s="9">
        <f>SUM($X$6:X366)</f>
        <v>175912.0314719223</v>
      </c>
      <c r="Z366" s="16">
        <f t="shared" si="158"/>
        <v>0.1759120314719223</v>
      </c>
      <c r="AA366" s="16">
        <f t="shared" si="154"/>
        <v>0.27333876247004851</v>
      </c>
      <c r="AB366" s="16">
        <f t="shared" si="155"/>
        <v>-7.162306869336027E-3</v>
      </c>
      <c r="AC366" s="16">
        <f t="shared" si="156"/>
        <v>-1.0153334834825596E-2</v>
      </c>
    </row>
    <row r="367" spans="1:29" x14ac:dyDescent="0.15">
      <c r="A367" s="8">
        <v>41437</v>
      </c>
      <c r="B367" s="4">
        <v>1612.52</v>
      </c>
      <c r="C367" s="1">
        <v>16.439499999999999</v>
      </c>
      <c r="D367" s="1">
        <v>2.16</v>
      </c>
      <c r="E367" s="1">
        <v>0.2792</v>
      </c>
      <c r="F367" s="4">
        <f t="shared" si="146"/>
        <v>0.16439499999999999</v>
      </c>
      <c r="G367" s="4">
        <f t="shared" si="147"/>
        <v>2.1600000000000001E-2</v>
      </c>
      <c r="H367" s="4">
        <f t="shared" si="148"/>
        <v>2.7920000000000002E-3</v>
      </c>
      <c r="I367" s="3">
        <f t="shared" si="149"/>
        <v>56.485390316432778</v>
      </c>
      <c r="J367" s="4">
        <f t="shared" si="159"/>
        <v>1221363.4449630233</v>
      </c>
      <c r="K367" s="1">
        <f t="shared" si="160"/>
        <v>1658.78</v>
      </c>
      <c r="L367" s="5">
        <f t="shared" si="161"/>
        <v>0.17260273972602758</v>
      </c>
      <c r="M367" s="5">
        <f t="shared" si="162"/>
        <v>-0.66301847887610876</v>
      </c>
      <c r="N367" s="5">
        <f t="shared" si="163"/>
        <v>74.850113452413979</v>
      </c>
      <c r="O367" s="1">
        <f t="shared" si="164"/>
        <v>0</v>
      </c>
      <c r="P367" s="1">
        <f t="shared" si="165"/>
        <v>1658.78</v>
      </c>
      <c r="Q367" s="5">
        <f t="shared" si="166"/>
        <v>0.17260273972602758</v>
      </c>
      <c r="R367" s="5">
        <f t="shared" si="167"/>
        <v>-0.66301847887610876</v>
      </c>
      <c r="S367" s="5">
        <f t="shared" si="150"/>
        <v>74.850113452413979</v>
      </c>
      <c r="T367" s="5">
        <f t="shared" si="151"/>
        <v>-715.66700899455361</v>
      </c>
      <c r="U367" s="4">
        <f t="shared" si="152"/>
        <v>1221383.1540882036</v>
      </c>
      <c r="V367" s="4">
        <f t="shared" si="168"/>
        <v>19.709443226245256</v>
      </c>
      <c r="W367" s="4">
        <f t="shared" si="153"/>
        <v>1167815.3972708115</v>
      </c>
      <c r="X367" s="4">
        <f t="shared" si="157"/>
        <v>-8096.6342011108063</v>
      </c>
      <c r="Y367" s="9">
        <f>SUM($X$6:X367)</f>
        <v>167815.39727081149</v>
      </c>
      <c r="Z367" s="16">
        <f t="shared" si="158"/>
        <v>0.16781539727081149</v>
      </c>
      <c r="AA367" s="16">
        <f t="shared" si="154"/>
        <v>0.26268147150486276</v>
      </c>
      <c r="AB367" s="16">
        <f t="shared" si="155"/>
        <v>-6.8854080785073872E-3</v>
      </c>
      <c r="AC367" s="16">
        <f t="shared" si="156"/>
        <v>-8.3695645489598788E-3</v>
      </c>
    </row>
    <row r="368" spans="1:29" x14ac:dyDescent="0.15">
      <c r="A368" s="8">
        <v>41438</v>
      </c>
      <c r="B368" s="4">
        <v>1636.36</v>
      </c>
      <c r="C368" s="1">
        <v>15.444599999999999</v>
      </c>
      <c r="D368" s="1">
        <v>2.13</v>
      </c>
      <c r="E368" s="1">
        <v>0.27929999999999999</v>
      </c>
      <c r="F368" s="4">
        <f t="shared" si="146"/>
        <v>0.154446</v>
      </c>
      <c r="G368" s="4">
        <f t="shared" si="147"/>
        <v>2.1299999999999999E-2</v>
      </c>
      <c r="H368" s="4">
        <f t="shared" si="148"/>
        <v>2.7929999999999999E-3</v>
      </c>
      <c r="I368" s="3">
        <f t="shared" si="149"/>
        <v>54.033386877529878</v>
      </c>
      <c r="J368" s="4">
        <f t="shared" si="159"/>
        <v>1221383.1540882036</v>
      </c>
      <c r="K368" s="1">
        <f t="shared" si="160"/>
        <v>1658.78</v>
      </c>
      <c r="L368" s="5">
        <f t="shared" si="161"/>
        <v>0.16986301369863033</v>
      </c>
      <c r="M368" s="5">
        <f t="shared" si="162"/>
        <v>-0.58933935134153159</v>
      </c>
      <c r="N368" s="5">
        <f t="shared" si="163"/>
        <v>56.955140015723074</v>
      </c>
      <c r="O368" s="1">
        <f t="shared" si="164"/>
        <v>0</v>
      </c>
      <c r="P368" s="1">
        <f t="shared" si="165"/>
        <v>1658.78</v>
      </c>
      <c r="Q368" s="5">
        <f t="shared" si="166"/>
        <v>0.16986301369863033</v>
      </c>
      <c r="R368" s="5">
        <f t="shared" si="167"/>
        <v>-0.58933935134153159</v>
      </c>
      <c r="S368" s="5">
        <f t="shared" si="150"/>
        <v>56.955140015723074</v>
      </c>
      <c r="T368" s="5">
        <f t="shared" si="151"/>
        <v>-715.66700899455361</v>
      </c>
      <c r="U368" s="4">
        <f t="shared" si="152"/>
        <v>1221402.8635314298</v>
      </c>
      <c r="V368" s="4">
        <f t="shared" si="168"/>
        <v>19.709761277260604</v>
      </c>
      <c r="W368" s="4">
        <f t="shared" si="153"/>
        <v>1180641.9488295112</v>
      </c>
      <c r="X368" s="4">
        <f t="shared" si="157"/>
        <v>12826.551558699692</v>
      </c>
      <c r="Y368" s="9">
        <f>SUM($X$6:X368)</f>
        <v>180641.94882951118</v>
      </c>
      <c r="Z368" s="16">
        <f t="shared" si="158"/>
        <v>0.18064194882951118</v>
      </c>
      <c r="AA368" s="16">
        <f t="shared" si="154"/>
        <v>0.28134934928664274</v>
      </c>
      <c r="AB368" s="16">
        <f t="shared" si="155"/>
        <v>1.0983372533600247E-2</v>
      </c>
      <c r="AC368" s="16">
        <f t="shared" si="156"/>
        <v>1.4784312752709994E-2</v>
      </c>
    </row>
    <row r="369" spans="1:29" x14ac:dyDescent="0.15">
      <c r="A369" s="8">
        <v>41439</v>
      </c>
      <c r="B369" s="4">
        <v>1626.73</v>
      </c>
      <c r="C369" s="1">
        <v>15.628399999999999</v>
      </c>
      <c r="D369" s="1">
        <v>2.15</v>
      </c>
      <c r="E369" s="1">
        <v>0.27879999999999999</v>
      </c>
      <c r="F369" s="4">
        <f t="shared" si="146"/>
        <v>0.15628399999999998</v>
      </c>
      <c r="G369" s="4">
        <f t="shared" si="147"/>
        <v>2.1499999999999998E-2</v>
      </c>
      <c r="H369" s="4">
        <f t="shared" si="148"/>
        <v>2.7880000000000001E-3</v>
      </c>
      <c r="I369" s="3">
        <f t="shared" si="149"/>
        <v>54.349797100274898</v>
      </c>
      <c r="J369" s="4">
        <f t="shared" si="159"/>
        <v>1221402.8635314298</v>
      </c>
      <c r="K369" s="1">
        <f t="shared" si="160"/>
        <v>1658.78</v>
      </c>
      <c r="L369" s="5">
        <f t="shared" si="161"/>
        <v>0.16712328767123308</v>
      </c>
      <c r="M369" s="5">
        <f t="shared" si="162"/>
        <v>-0.62417026403241682</v>
      </c>
      <c r="N369" s="5">
        <f t="shared" si="163"/>
        <v>62.930392299037997</v>
      </c>
      <c r="O369" s="1">
        <f t="shared" si="164"/>
        <v>0</v>
      </c>
      <c r="P369" s="1">
        <f t="shared" si="165"/>
        <v>1658.78</v>
      </c>
      <c r="Q369" s="5">
        <f t="shared" si="166"/>
        <v>0.16712328767123308</v>
      </c>
      <c r="R369" s="5">
        <f t="shared" si="167"/>
        <v>-0.62417026403241682</v>
      </c>
      <c r="S369" s="5">
        <f t="shared" si="150"/>
        <v>62.930392299037997</v>
      </c>
      <c r="T369" s="5">
        <f t="shared" si="151"/>
        <v>-715.66700899455361</v>
      </c>
      <c r="U369" s="4">
        <f t="shared" si="152"/>
        <v>1221422.5732927071</v>
      </c>
      <c r="V369" s="4">
        <f t="shared" si="168"/>
        <v>19.710079333408341</v>
      </c>
      <c r="W369" s="4">
        <f t="shared" si="153"/>
        <v>1176385.3676612007</v>
      </c>
      <c r="X369" s="4">
        <f t="shared" si="157"/>
        <v>-4256.5811683104839</v>
      </c>
      <c r="Y369" s="9">
        <f>SUM($X$6:X369)</f>
        <v>176385.3676612007</v>
      </c>
      <c r="Z369" s="16">
        <f t="shared" si="158"/>
        <v>0.17638536766120069</v>
      </c>
      <c r="AA369" s="16">
        <f t="shared" si="154"/>
        <v>0.27380859160885163</v>
      </c>
      <c r="AB369" s="16">
        <f t="shared" si="155"/>
        <v>-3.6053107993752553E-3</v>
      </c>
      <c r="AC369" s="16">
        <f t="shared" si="156"/>
        <v>-5.8850130778067677E-3</v>
      </c>
    </row>
    <row r="370" spans="1:29" x14ac:dyDescent="0.15">
      <c r="A370" s="8">
        <v>41442</v>
      </c>
      <c r="B370" s="4">
        <v>1639.04</v>
      </c>
      <c r="C370" s="1">
        <v>15.680400000000001</v>
      </c>
      <c r="D370" s="1">
        <v>2.13</v>
      </c>
      <c r="E370" s="1">
        <v>0.27929999999999999</v>
      </c>
      <c r="F370" s="4">
        <f t="shared" si="146"/>
        <v>0.156804</v>
      </c>
      <c r="G370" s="4">
        <f t="shared" si="147"/>
        <v>2.1299999999999999E-2</v>
      </c>
      <c r="H370" s="4">
        <f t="shared" si="148"/>
        <v>2.7929999999999999E-3</v>
      </c>
      <c r="I370" s="3">
        <f t="shared" si="149"/>
        <v>54.887513380308789</v>
      </c>
      <c r="J370" s="4">
        <f t="shared" si="159"/>
        <v>1221422.5732927071</v>
      </c>
      <c r="K370" s="1">
        <f t="shared" si="160"/>
        <v>1658.78</v>
      </c>
      <c r="L370" s="5">
        <f t="shared" si="161"/>
        <v>0.1589041095890413</v>
      </c>
      <c r="M370" s="5">
        <f t="shared" si="162"/>
        <v>-0.58015410904386933</v>
      </c>
      <c r="N370" s="5">
        <f t="shared" si="163"/>
        <v>54.466010796602816</v>
      </c>
      <c r="O370" s="1">
        <f t="shared" si="164"/>
        <v>0</v>
      </c>
      <c r="P370" s="1">
        <f t="shared" si="165"/>
        <v>1658.78</v>
      </c>
      <c r="Q370" s="5">
        <f t="shared" si="166"/>
        <v>0.1589041095890413</v>
      </c>
      <c r="R370" s="5">
        <f t="shared" si="167"/>
        <v>-0.58015410904386933</v>
      </c>
      <c r="S370" s="5">
        <f t="shared" si="150"/>
        <v>54.466010796602816</v>
      </c>
      <c r="T370" s="5">
        <f t="shared" si="151"/>
        <v>-715.66700899455361</v>
      </c>
      <c r="U370" s="4">
        <f t="shared" si="152"/>
        <v>1221442.2833720406</v>
      </c>
      <c r="V370" s="4">
        <f t="shared" si="168"/>
        <v>59.131192184065632</v>
      </c>
      <c r="W370" s="4">
        <f t="shared" si="153"/>
        <v>1182462.7563333707</v>
      </c>
      <c r="X370" s="4">
        <f t="shared" si="157"/>
        <v>6077.3886721699964</v>
      </c>
      <c r="Y370" s="9">
        <f>SUM($X$6:X370)</f>
        <v>182462.75633337069</v>
      </c>
      <c r="Z370" s="16">
        <f t="shared" si="158"/>
        <v>0.1824627563333707</v>
      </c>
      <c r="AA370" s="16">
        <f t="shared" si="154"/>
        <v>0.28344791943996367</v>
      </c>
      <c r="AB370" s="16">
        <f t="shared" si="155"/>
        <v>5.1661545946058438E-3</v>
      </c>
      <c r="AC370" s="16">
        <f t="shared" si="156"/>
        <v>7.567328321233361E-3</v>
      </c>
    </row>
    <row r="371" spans="1:29" x14ac:dyDescent="0.15">
      <c r="A371" s="8">
        <v>41443</v>
      </c>
      <c r="B371" s="4">
        <v>1651.81</v>
      </c>
      <c r="C371" s="1">
        <v>15.121700000000001</v>
      </c>
      <c r="D371" s="1">
        <v>2.11</v>
      </c>
      <c r="E371" s="1">
        <v>0.27829999999999999</v>
      </c>
      <c r="F371" s="4">
        <f t="shared" si="146"/>
        <v>0.15121700000000002</v>
      </c>
      <c r="G371" s="4">
        <f t="shared" si="147"/>
        <v>2.1099999999999997E-2</v>
      </c>
      <c r="H371" s="4">
        <f t="shared" si="148"/>
        <v>2.7829999999999999E-3</v>
      </c>
      <c r="I371" s="3">
        <f t="shared" si="149"/>
        <v>53.447484942708464</v>
      </c>
      <c r="J371" s="4">
        <f t="shared" si="159"/>
        <v>1221442.2833720406</v>
      </c>
      <c r="K371" s="1">
        <f t="shared" si="160"/>
        <v>1658.78</v>
      </c>
      <c r="L371" s="5">
        <f t="shared" si="161"/>
        <v>0.15616438356164405</v>
      </c>
      <c r="M371" s="5">
        <f t="shared" si="162"/>
        <v>-0.5334809646961669</v>
      </c>
      <c r="N371" s="5">
        <f t="shared" si="163"/>
        <v>45.499471938806181</v>
      </c>
      <c r="O371" s="1">
        <f t="shared" si="164"/>
        <v>0</v>
      </c>
      <c r="P371" s="1">
        <f t="shared" si="165"/>
        <v>1658.78</v>
      </c>
      <c r="Q371" s="5">
        <f t="shared" si="166"/>
        <v>0.15616438356164405</v>
      </c>
      <c r="R371" s="5">
        <f t="shared" si="167"/>
        <v>-0.5334809646961669</v>
      </c>
      <c r="S371" s="5">
        <f t="shared" si="150"/>
        <v>45.499471938806181</v>
      </c>
      <c r="T371" s="5">
        <f t="shared" si="151"/>
        <v>-715.66700899455361</v>
      </c>
      <c r="U371" s="4">
        <f t="shared" si="152"/>
        <v>1221501.4145642247</v>
      </c>
      <c r="V371" s="4">
        <f t="shared" si="168"/>
        <v>19.7113515939268</v>
      </c>
      <c r="W371" s="4">
        <f t="shared" si="153"/>
        <v>1188938.9435709475</v>
      </c>
      <c r="X371" s="4">
        <f t="shared" si="157"/>
        <v>6476.1872375768144</v>
      </c>
      <c r="Y371" s="9">
        <f>SUM($X$6:X371)</f>
        <v>188938.94357094751</v>
      </c>
      <c r="Z371" s="16">
        <f t="shared" si="158"/>
        <v>0.18893894357094751</v>
      </c>
      <c r="AA371" s="16">
        <f t="shared" si="154"/>
        <v>0.29344744961082486</v>
      </c>
      <c r="AB371" s="16">
        <f t="shared" si="155"/>
        <v>5.4768636076610502E-3</v>
      </c>
      <c r="AC371" s="16">
        <f t="shared" si="156"/>
        <v>7.7911460367044013E-3</v>
      </c>
    </row>
    <row r="372" spans="1:29" x14ac:dyDescent="0.15">
      <c r="A372" s="8">
        <v>41444</v>
      </c>
      <c r="B372" s="4">
        <v>1628.93</v>
      </c>
      <c r="C372" s="1">
        <v>14.7064</v>
      </c>
      <c r="D372" s="1">
        <v>2.14</v>
      </c>
      <c r="E372" s="1">
        <v>0.2777</v>
      </c>
      <c r="F372" s="4">
        <f t="shared" si="146"/>
        <v>0.147064</v>
      </c>
      <c r="G372" s="4">
        <f t="shared" si="147"/>
        <v>2.1400000000000002E-2</v>
      </c>
      <c r="H372" s="4">
        <f t="shared" si="148"/>
        <v>2.777E-3</v>
      </c>
      <c r="I372" s="3">
        <f t="shared" si="149"/>
        <v>51.43022278955447</v>
      </c>
      <c r="J372" s="4">
        <f t="shared" si="159"/>
        <v>1221501.4145642247</v>
      </c>
      <c r="K372" s="1">
        <f t="shared" si="160"/>
        <v>1658.78</v>
      </c>
      <c r="L372" s="5">
        <f t="shared" si="161"/>
        <v>0.15342465753424681</v>
      </c>
      <c r="M372" s="5">
        <f t="shared" si="162"/>
        <v>-0.62950831551084263</v>
      </c>
      <c r="N372" s="5">
        <f t="shared" si="163"/>
        <v>57.424730569109819</v>
      </c>
      <c r="O372" s="1">
        <f t="shared" si="164"/>
        <v>0</v>
      </c>
      <c r="P372" s="1">
        <f t="shared" si="165"/>
        <v>1658.78</v>
      </c>
      <c r="Q372" s="5">
        <f t="shared" si="166"/>
        <v>0.15342465753424681</v>
      </c>
      <c r="R372" s="5">
        <f t="shared" si="167"/>
        <v>-0.62950831551084263</v>
      </c>
      <c r="S372" s="5">
        <f t="shared" si="150"/>
        <v>57.424730569109819</v>
      </c>
      <c r="T372" s="5">
        <f t="shared" si="151"/>
        <v>-715.66700899455361</v>
      </c>
      <c r="U372" s="4">
        <f t="shared" si="152"/>
        <v>1221521.1259158186</v>
      </c>
      <c r="V372" s="4">
        <f t="shared" si="168"/>
        <v>19.711669675737454</v>
      </c>
      <c r="W372" s="4">
        <f t="shared" si="153"/>
        <v>1180424.1407471057</v>
      </c>
      <c r="X372" s="4">
        <f t="shared" si="157"/>
        <v>-8514.8028238418046</v>
      </c>
      <c r="Y372" s="9">
        <f>SUM($X$6:X372)</f>
        <v>180424.1407471057</v>
      </c>
      <c r="Z372" s="16">
        <f t="shared" si="158"/>
        <v>0.18042414074710569</v>
      </c>
      <c r="AA372" s="16">
        <f t="shared" si="154"/>
        <v>0.27553129845113006</v>
      </c>
      <c r="AB372" s="16">
        <f t="shared" si="155"/>
        <v>-7.1616821619685644E-3</v>
      </c>
      <c r="AC372" s="16">
        <f t="shared" si="156"/>
        <v>-1.3851472021600477E-2</v>
      </c>
    </row>
    <row r="373" spans="1:29" x14ac:dyDescent="0.15">
      <c r="A373" s="8">
        <v>41445</v>
      </c>
      <c r="B373" s="4">
        <v>1588.19</v>
      </c>
      <c r="C373" s="1">
        <v>17.512499999999999</v>
      </c>
      <c r="D373" s="1">
        <v>2.2000000000000002</v>
      </c>
      <c r="E373" s="1">
        <v>0.27860000000000001</v>
      </c>
      <c r="F373" s="4">
        <f t="shared" si="146"/>
        <v>0.175125</v>
      </c>
      <c r="G373" s="4">
        <f t="shared" si="147"/>
        <v>2.2000000000000002E-2</v>
      </c>
      <c r="H373" s="4">
        <f t="shared" si="148"/>
        <v>2.7860000000000003E-3</v>
      </c>
      <c r="I373" s="3">
        <f t="shared" si="149"/>
        <v>59.08989285933967</v>
      </c>
      <c r="J373" s="4">
        <f t="shared" si="159"/>
        <v>1221521.1259158186</v>
      </c>
      <c r="K373" s="1">
        <f t="shared" si="160"/>
        <v>1658.78</v>
      </c>
      <c r="L373" s="5">
        <f t="shared" si="161"/>
        <v>0.15068493150684956</v>
      </c>
      <c r="M373" s="5">
        <f t="shared" si="162"/>
        <v>-0.73915185146173579</v>
      </c>
      <c r="N373" s="5">
        <f t="shared" si="163"/>
        <v>91.357715985990325</v>
      </c>
      <c r="O373" s="1">
        <f t="shared" si="164"/>
        <v>0</v>
      </c>
      <c r="P373" s="1">
        <f t="shared" si="165"/>
        <v>1658.78</v>
      </c>
      <c r="Q373" s="5">
        <f t="shared" si="166"/>
        <v>0.15068493150684956</v>
      </c>
      <c r="R373" s="5">
        <f t="shared" si="167"/>
        <v>-0.73915185146173579</v>
      </c>
      <c r="S373" s="5">
        <f t="shared" si="150"/>
        <v>91.357715985990325</v>
      </c>
      <c r="T373" s="5">
        <f t="shared" si="151"/>
        <v>-715.66700899455361</v>
      </c>
      <c r="U373" s="4">
        <f t="shared" si="152"/>
        <v>1221540.8375854944</v>
      </c>
      <c r="V373" s="4">
        <f t="shared" si="168"/>
        <v>19.711987762680991</v>
      </c>
      <c r="W373" s="4">
        <f t="shared" si="153"/>
        <v>1156159.1342372268</v>
      </c>
      <c r="X373" s="4">
        <f t="shared" si="157"/>
        <v>-24265.006509878905</v>
      </c>
      <c r="Y373" s="9">
        <f>SUM($X$6:X373)</f>
        <v>156159.1342372268</v>
      </c>
      <c r="Z373" s="16">
        <f t="shared" si="158"/>
        <v>0.1561591342372268</v>
      </c>
      <c r="AA373" s="16">
        <f t="shared" si="154"/>
        <v>0.24362989992639353</v>
      </c>
      <c r="AB373" s="16">
        <f t="shared" si="155"/>
        <v>-2.0556176099991712E-2</v>
      </c>
      <c r="AC373" s="16">
        <f t="shared" si="156"/>
        <v>-2.5010282823694087E-2</v>
      </c>
    </row>
    <row r="374" spans="1:29" x14ac:dyDescent="0.15">
      <c r="A374" s="8">
        <v>41446</v>
      </c>
      <c r="B374" s="4">
        <v>1592.43</v>
      </c>
      <c r="C374" s="1">
        <v>16.292999999999999</v>
      </c>
      <c r="D374" s="1">
        <v>2.2000000000000002</v>
      </c>
      <c r="E374" s="1">
        <v>0.27879999999999999</v>
      </c>
      <c r="F374" s="4">
        <f t="shared" si="146"/>
        <v>0.16292999999999999</v>
      </c>
      <c r="G374" s="4">
        <f t="shared" si="147"/>
        <v>2.2000000000000002E-2</v>
      </c>
      <c r="H374" s="4">
        <f t="shared" si="148"/>
        <v>2.7880000000000001E-3</v>
      </c>
      <c r="I374" s="3">
        <f t="shared" si="149"/>
        <v>55.400437752058252</v>
      </c>
      <c r="J374" s="4">
        <f t="shared" si="159"/>
        <v>1221540.8375854944</v>
      </c>
      <c r="K374" s="1">
        <f t="shared" si="160"/>
        <v>1658.78</v>
      </c>
      <c r="L374" s="5">
        <f t="shared" si="161"/>
        <v>0.14794520547945231</v>
      </c>
      <c r="M374" s="5">
        <f t="shared" si="162"/>
        <v>-0.74467515945372043</v>
      </c>
      <c r="N374" s="5">
        <f t="shared" si="163"/>
        <v>85.443096909293502</v>
      </c>
      <c r="O374" s="1">
        <f t="shared" si="164"/>
        <v>0</v>
      </c>
      <c r="P374" s="1">
        <f t="shared" si="165"/>
        <v>1658.78</v>
      </c>
      <c r="Q374" s="5">
        <f t="shared" si="166"/>
        <v>0.14794520547945231</v>
      </c>
      <c r="R374" s="5">
        <f t="shared" si="167"/>
        <v>-0.74467515945372043</v>
      </c>
      <c r="S374" s="5">
        <f t="shared" si="150"/>
        <v>85.443096909293502</v>
      </c>
      <c r="T374" s="5">
        <f t="shared" si="151"/>
        <v>-715.66700899455361</v>
      </c>
      <c r="U374" s="4">
        <f t="shared" si="152"/>
        <v>1221560.5495732571</v>
      </c>
      <c r="V374" s="4">
        <f t="shared" si="168"/>
        <v>19.712305854757489</v>
      </c>
      <c r="W374" s="4">
        <f t="shared" si="153"/>
        <v>1160411.7439689513</v>
      </c>
      <c r="X374" s="4">
        <f t="shared" si="157"/>
        <v>4252.6097317244858</v>
      </c>
      <c r="Y374" s="9">
        <f>SUM($X$6:X374)</f>
        <v>160411.74396895128</v>
      </c>
      <c r="Z374" s="16">
        <f t="shared" si="158"/>
        <v>0.16041174396895128</v>
      </c>
      <c r="AA374" s="16">
        <f t="shared" si="154"/>
        <v>0.24695002584060274</v>
      </c>
      <c r="AB374" s="16">
        <f t="shared" si="155"/>
        <v>3.6782217999169592E-3</v>
      </c>
      <c r="AC374" s="16">
        <f t="shared" si="156"/>
        <v>2.6697057656829529E-3</v>
      </c>
    </row>
    <row r="375" spans="1:29" x14ac:dyDescent="0.15">
      <c r="A375" s="8">
        <v>41449</v>
      </c>
      <c r="B375" s="4">
        <v>1573.09</v>
      </c>
      <c r="C375" s="1">
        <v>17.3109</v>
      </c>
      <c r="D375" s="1">
        <v>2.2200000000000002</v>
      </c>
      <c r="E375" s="1">
        <v>0.28289999999999998</v>
      </c>
      <c r="F375" s="4">
        <f t="shared" si="146"/>
        <v>0.17310900000000001</v>
      </c>
      <c r="G375" s="4">
        <f t="shared" si="147"/>
        <v>2.2200000000000001E-2</v>
      </c>
      <c r="H375" s="4">
        <f t="shared" si="148"/>
        <v>2.8289999999999999E-3</v>
      </c>
      <c r="I375" s="3">
        <f t="shared" si="149"/>
        <v>57.930158536023804</v>
      </c>
      <c r="J375" s="4">
        <f t="shared" si="159"/>
        <v>1221560.5495732571</v>
      </c>
      <c r="K375" s="1">
        <f t="shared" si="160"/>
        <v>1658.78</v>
      </c>
      <c r="L375" s="5">
        <f t="shared" si="161"/>
        <v>0.13972602739726053</v>
      </c>
      <c r="M375" s="5">
        <f t="shared" si="162"/>
        <v>-0.79402752367487572</v>
      </c>
      <c r="N375" s="5">
        <f t="shared" si="163"/>
        <v>101.14222439399263</v>
      </c>
      <c r="O375" s="1">
        <f t="shared" si="164"/>
        <v>0</v>
      </c>
      <c r="P375" s="1">
        <f t="shared" si="165"/>
        <v>1658.78</v>
      </c>
      <c r="Q375" s="5">
        <f t="shared" si="166"/>
        <v>0.13972602739726053</v>
      </c>
      <c r="R375" s="5">
        <f t="shared" si="167"/>
        <v>-0.79402752367487572</v>
      </c>
      <c r="S375" s="5">
        <f t="shared" si="150"/>
        <v>101.14222439399263</v>
      </c>
      <c r="T375" s="5">
        <f t="shared" si="151"/>
        <v>-715.66700899455361</v>
      </c>
      <c r="U375" s="4">
        <f t="shared" si="152"/>
        <v>1221580.2618791119</v>
      </c>
      <c r="V375" s="4">
        <f t="shared" si="168"/>
        <v>59.137871855901103</v>
      </c>
      <c r="W375" s="4">
        <f t="shared" si="153"/>
        <v>1149196.1086640072</v>
      </c>
      <c r="X375" s="4">
        <f t="shared" si="157"/>
        <v>-11215.635304944124</v>
      </c>
      <c r="Y375" s="9">
        <f>SUM($X$6:X375)</f>
        <v>149196.10866400716</v>
      </c>
      <c r="Z375" s="16">
        <f t="shared" si="158"/>
        <v>0.14919610866400715</v>
      </c>
      <c r="AA375" s="16">
        <f t="shared" si="154"/>
        <v>0.23180586659984651</v>
      </c>
      <c r="AB375" s="16">
        <f t="shared" si="155"/>
        <v>-9.6652204385516954E-3</v>
      </c>
      <c r="AC375" s="16">
        <f t="shared" si="156"/>
        <v>-1.2144960846002742E-2</v>
      </c>
    </row>
    <row r="376" spans="1:29" x14ac:dyDescent="0.15">
      <c r="A376" s="8">
        <v>41450</v>
      </c>
      <c r="B376" s="4">
        <v>1588.03</v>
      </c>
      <c r="C376" s="1">
        <v>16.5183</v>
      </c>
      <c r="D376" s="1">
        <v>2.2000000000000002</v>
      </c>
      <c r="E376" s="1">
        <v>0.28220000000000001</v>
      </c>
      <c r="F376" s="4">
        <f t="shared" si="146"/>
        <v>0.165183</v>
      </c>
      <c r="G376" s="4">
        <f t="shared" si="147"/>
        <v>2.2000000000000002E-2</v>
      </c>
      <c r="H376" s="4">
        <f t="shared" si="148"/>
        <v>2.8219999999999999E-3</v>
      </c>
      <c r="I376" s="3">
        <f t="shared" si="149"/>
        <v>55.948793239045159</v>
      </c>
      <c r="J376" s="4">
        <f t="shared" si="159"/>
        <v>1221580.2618791119</v>
      </c>
      <c r="K376" s="1">
        <f t="shared" si="160"/>
        <v>1658.78</v>
      </c>
      <c r="L376" s="5">
        <f t="shared" si="161"/>
        <v>0.13698630136986328</v>
      </c>
      <c r="M376" s="5">
        <f t="shared" si="162"/>
        <v>-0.76358014366312876</v>
      </c>
      <c r="N376" s="5">
        <f t="shared" si="163"/>
        <v>87.744568251405965</v>
      </c>
      <c r="O376" s="1">
        <f t="shared" si="164"/>
        <v>0</v>
      </c>
      <c r="P376" s="1">
        <f t="shared" si="165"/>
        <v>1658.78</v>
      </c>
      <c r="Q376" s="5">
        <f t="shared" si="166"/>
        <v>0.13698630136986328</v>
      </c>
      <c r="R376" s="5">
        <f t="shared" si="167"/>
        <v>-0.76358014366312876</v>
      </c>
      <c r="S376" s="5">
        <f t="shared" si="150"/>
        <v>87.744568251405965</v>
      </c>
      <c r="T376" s="5">
        <f t="shared" si="151"/>
        <v>-715.66700899455361</v>
      </c>
      <c r="U376" s="4">
        <f t="shared" si="152"/>
        <v>1221639.3997509677</v>
      </c>
      <c r="V376" s="4">
        <f t="shared" si="168"/>
        <v>19.713578258995067</v>
      </c>
      <c r="W376" s="4">
        <f t="shared" si="153"/>
        <v>1158843.5070349656</v>
      </c>
      <c r="X376" s="4">
        <f t="shared" si="157"/>
        <v>9647.398370958399</v>
      </c>
      <c r="Y376" s="9">
        <f>SUM($X$6:X376)</f>
        <v>158843.50703496556</v>
      </c>
      <c r="Z376" s="16">
        <f t="shared" si="158"/>
        <v>0.15884350703496555</v>
      </c>
      <c r="AA376" s="16">
        <f t="shared" si="154"/>
        <v>0.24350461215604596</v>
      </c>
      <c r="AB376" s="16">
        <f t="shared" si="155"/>
        <v>8.3949104058261559E-3</v>
      </c>
      <c r="AC376" s="16">
        <f t="shared" si="156"/>
        <v>9.4972315633562315E-3</v>
      </c>
    </row>
    <row r="377" spans="1:29" x14ac:dyDescent="0.15">
      <c r="A377" s="8">
        <v>41451</v>
      </c>
      <c r="B377" s="4">
        <v>1603.26</v>
      </c>
      <c r="C377" s="1">
        <v>15.929500000000001</v>
      </c>
      <c r="D377" s="1">
        <v>2.1800000000000002</v>
      </c>
      <c r="E377" s="1">
        <v>0.28160000000000002</v>
      </c>
      <c r="F377" s="4">
        <f t="shared" si="146"/>
        <v>0.15929500000000002</v>
      </c>
      <c r="G377" s="4">
        <f t="shared" si="147"/>
        <v>2.18E-2</v>
      </c>
      <c r="H377" s="4">
        <f t="shared" si="148"/>
        <v>2.8160000000000004E-3</v>
      </c>
      <c r="I377" s="3">
        <f t="shared" si="149"/>
        <v>54.576456126084899</v>
      </c>
      <c r="J377" s="4">
        <f t="shared" si="159"/>
        <v>1221639.3997509677</v>
      </c>
      <c r="K377" s="1">
        <f t="shared" si="160"/>
        <v>1658.78</v>
      </c>
      <c r="L377" s="5">
        <f t="shared" si="161"/>
        <v>0.13424657534246603</v>
      </c>
      <c r="M377" s="5">
        <f t="shared" si="162"/>
        <v>-0.72288279030021885</v>
      </c>
      <c r="N377" s="5">
        <f t="shared" si="163"/>
        <v>74.911780189852806</v>
      </c>
      <c r="O377" s="1">
        <f t="shared" si="164"/>
        <v>0</v>
      </c>
      <c r="P377" s="1">
        <f t="shared" si="165"/>
        <v>1658.78</v>
      </c>
      <c r="Q377" s="5">
        <f t="shared" si="166"/>
        <v>0.13424657534246603</v>
      </c>
      <c r="R377" s="5">
        <f t="shared" si="167"/>
        <v>-0.72288279030021885</v>
      </c>
      <c r="S377" s="5">
        <f t="shared" si="150"/>
        <v>74.911780189852806</v>
      </c>
      <c r="T377" s="5">
        <f t="shared" si="151"/>
        <v>-715.66700899455361</v>
      </c>
      <c r="U377" s="4">
        <f t="shared" si="152"/>
        <v>1221659.1133292268</v>
      </c>
      <c r="V377" s="4">
        <f t="shared" si="168"/>
        <v>19.713896376737384</v>
      </c>
      <c r="W377" s="4">
        <f t="shared" si="153"/>
        <v>1168047.2236622975</v>
      </c>
      <c r="X377" s="4">
        <f t="shared" si="157"/>
        <v>9203.7166273319162</v>
      </c>
      <c r="Y377" s="9">
        <f>SUM($X$6:X377)</f>
        <v>168047.22366229747</v>
      </c>
      <c r="Z377" s="16">
        <f t="shared" si="158"/>
        <v>0.16804722366229746</v>
      </c>
      <c r="AA377" s="16">
        <f t="shared" si="154"/>
        <v>0.25543044179600022</v>
      </c>
      <c r="AB377" s="16">
        <f t="shared" si="155"/>
        <v>7.9421566168849534E-3</v>
      </c>
      <c r="AC377" s="16">
        <f t="shared" si="156"/>
        <v>9.5904989200456033E-3</v>
      </c>
    </row>
    <row r="378" spans="1:29" x14ac:dyDescent="0.15">
      <c r="A378" s="8">
        <v>41452</v>
      </c>
      <c r="B378" s="4">
        <v>1613.2</v>
      </c>
      <c r="C378" s="1">
        <v>15.7003</v>
      </c>
      <c r="D378" s="1">
        <v>2.17</v>
      </c>
      <c r="E378" s="1">
        <v>0.28010000000000002</v>
      </c>
      <c r="F378" s="4">
        <f t="shared" si="146"/>
        <v>0.157003</v>
      </c>
      <c r="G378" s="4">
        <f t="shared" si="147"/>
        <v>2.1700000000000001E-2</v>
      </c>
      <c r="H378" s="4">
        <f t="shared" si="148"/>
        <v>2.8010000000000001E-3</v>
      </c>
      <c r="I378" s="3">
        <f t="shared" si="149"/>
        <v>54.165360336943699</v>
      </c>
      <c r="J378" s="4">
        <f t="shared" si="159"/>
        <v>1221659.1133292268</v>
      </c>
      <c r="K378" s="1">
        <f t="shared" si="160"/>
        <v>1658.78</v>
      </c>
      <c r="L378" s="5">
        <f t="shared" si="161"/>
        <v>0.13150684931506879</v>
      </c>
      <c r="M378" s="5">
        <f t="shared" si="162"/>
        <v>-0.69109000810718035</v>
      </c>
      <c r="N378" s="5">
        <f t="shared" si="163"/>
        <v>67.0251811425033</v>
      </c>
      <c r="O378" s="1">
        <f t="shared" si="164"/>
        <v>0</v>
      </c>
      <c r="P378" s="1">
        <f t="shared" si="165"/>
        <v>1658.78</v>
      </c>
      <c r="Q378" s="5">
        <f t="shared" si="166"/>
        <v>0.13150684931506879</v>
      </c>
      <c r="R378" s="5">
        <f t="shared" si="167"/>
        <v>-0.69109000810718035</v>
      </c>
      <c r="S378" s="5">
        <f t="shared" si="150"/>
        <v>67.0251811425033</v>
      </c>
      <c r="T378" s="5">
        <f t="shared" si="151"/>
        <v>-715.66700899455361</v>
      </c>
      <c r="U378" s="4">
        <f t="shared" si="152"/>
        <v>1221678.8272256036</v>
      </c>
      <c r="V378" s="4">
        <f t="shared" si="168"/>
        <v>19.714214499613163</v>
      </c>
      <c r="W378" s="4">
        <f t="shared" si="153"/>
        <v>1173711.1163100302</v>
      </c>
      <c r="X378" s="4">
        <f t="shared" si="157"/>
        <v>5663.8926477327477</v>
      </c>
      <c r="Y378" s="9">
        <f>SUM($X$6:X378)</f>
        <v>173711.11631003022</v>
      </c>
      <c r="Z378" s="16">
        <f t="shared" si="158"/>
        <v>0.17371111631003022</v>
      </c>
      <c r="AA378" s="16">
        <f t="shared" si="154"/>
        <v>0.26321394452883978</v>
      </c>
      <c r="AB378" s="16">
        <f t="shared" si="155"/>
        <v>4.849027105234811E-3</v>
      </c>
      <c r="AC378" s="16">
        <f t="shared" si="156"/>
        <v>6.1998677694198416E-3</v>
      </c>
    </row>
    <row r="379" spans="1:29" x14ac:dyDescent="0.15">
      <c r="A379" s="8">
        <v>41453</v>
      </c>
      <c r="B379" s="4">
        <v>1606.28</v>
      </c>
      <c r="C379" s="1">
        <v>15.655200000000001</v>
      </c>
      <c r="D379" s="1">
        <v>2.17</v>
      </c>
      <c r="E379" s="1">
        <v>0.2792</v>
      </c>
      <c r="F379" s="4">
        <f t="shared" si="146"/>
        <v>0.156552</v>
      </c>
      <c r="G379" s="4">
        <f t="shared" si="147"/>
        <v>2.1700000000000001E-2</v>
      </c>
      <c r="H379" s="4">
        <f t="shared" si="148"/>
        <v>2.7920000000000002E-3</v>
      </c>
      <c r="I379" s="3">
        <f t="shared" si="149"/>
        <v>53.791460593178485</v>
      </c>
      <c r="J379" s="4">
        <f t="shared" si="159"/>
        <v>1221678.8272256036</v>
      </c>
      <c r="K379" s="1">
        <f t="shared" si="160"/>
        <v>1658.78</v>
      </c>
      <c r="L379" s="5">
        <f t="shared" si="161"/>
        <v>0.12876712328767154</v>
      </c>
      <c r="M379" s="5">
        <f t="shared" si="162"/>
        <v>-0.71963629707351906</v>
      </c>
      <c r="N379" s="5">
        <f t="shared" si="163"/>
        <v>71.431524247805143</v>
      </c>
      <c r="O379" s="1">
        <f t="shared" si="164"/>
        <v>0</v>
      </c>
      <c r="P379" s="1">
        <f t="shared" si="165"/>
        <v>1658.78</v>
      </c>
      <c r="Q379" s="5">
        <f t="shared" si="166"/>
        <v>0.12876712328767154</v>
      </c>
      <c r="R379" s="5">
        <f t="shared" si="167"/>
        <v>-0.71963629707351906</v>
      </c>
      <c r="S379" s="5">
        <f t="shared" si="150"/>
        <v>71.431524247805143</v>
      </c>
      <c r="T379" s="5">
        <f t="shared" si="151"/>
        <v>-715.66700899455361</v>
      </c>
      <c r="U379" s="4">
        <f t="shared" si="152"/>
        <v>1221698.5414401032</v>
      </c>
      <c r="V379" s="4">
        <f t="shared" si="168"/>
        <v>19.714532627622486</v>
      </c>
      <c r="W379" s="4">
        <f t="shared" si="153"/>
        <v>1170577.3561337546</v>
      </c>
      <c r="X379" s="4">
        <f t="shared" si="157"/>
        <v>-3133.760176275624</v>
      </c>
      <c r="Y379" s="9">
        <f>SUM($X$6:X379)</f>
        <v>170577.3561337546</v>
      </c>
      <c r="Z379" s="16">
        <f t="shared" si="158"/>
        <v>0.1705773561337546</v>
      </c>
      <c r="AA379" s="16">
        <f t="shared" si="154"/>
        <v>0.25779524846130958</v>
      </c>
      <c r="AB379" s="16">
        <f t="shared" si="155"/>
        <v>-2.6699586744374465E-3</v>
      </c>
      <c r="AC379" s="16">
        <f t="shared" si="156"/>
        <v>-4.2896107116291056E-3</v>
      </c>
    </row>
    <row r="380" spans="1:29" x14ac:dyDescent="0.15">
      <c r="A380" s="8">
        <v>41456</v>
      </c>
      <c r="B380" s="4">
        <v>1614.96</v>
      </c>
      <c r="C380" s="1">
        <v>15.465</v>
      </c>
      <c r="D380" s="1">
        <v>2.17</v>
      </c>
      <c r="E380" s="1">
        <v>0.2792</v>
      </c>
      <c r="F380" s="4">
        <f t="shared" si="146"/>
        <v>0.15465000000000001</v>
      </c>
      <c r="G380" s="4">
        <f t="shared" si="147"/>
        <v>2.1700000000000001E-2</v>
      </c>
      <c r="H380" s="4">
        <f t="shared" si="148"/>
        <v>2.7920000000000002E-3</v>
      </c>
      <c r="I380" s="3">
        <f t="shared" si="149"/>
        <v>53.47371829492301</v>
      </c>
      <c r="J380" s="4">
        <f t="shared" si="159"/>
        <v>1221698.5414401032</v>
      </c>
      <c r="K380" s="1">
        <f t="shared" si="160"/>
        <v>1658.78</v>
      </c>
      <c r="L380" s="5">
        <f t="shared" si="161"/>
        <v>0.12054794520547976</v>
      </c>
      <c r="M380" s="5">
        <f t="shared" si="162"/>
        <v>-0.69462616973509594</v>
      </c>
      <c r="N380" s="5">
        <f t="shared" si="163"/>
        <v>63.749455437467709</v>
      </c>
      <c r="O380" s="1">
        <f t="shared" si="164"/>
        <v>0</v>
      </c>
      <c r="P380" s="1">
        <f t="shared" si="165"/>
        <v>1658.78</v>
      </c>
      <c r="Q380" s="5">
        <f t="shared" si="166"/>
        <v>0.12054794520547976</v>
      </c>
      <c r="R380" s="5">
        <f t="shared" si="167"/>
        <v>-0.69462616973509594</v>
      </c>
      <c r="S380" s="5">
        <f t="shared" si="150"/>
        <v>63.749455437467709</v>
      </c>
      <c r="T380" s="5">
        <f t="shared" si="151"/>
        <v>-715.66700899455361</v>
      </c>
      <c r="U380" s="4">
        <f t="shared" si="152"/>
        <v>1221718.2559727309</v>
      </c>
      <c r="V380" s="4">
        <f t="shared" si="168"/>
        <v>59.144552282296317</v>
      </c>
      <c r="W380" s="4">
        <f t="shared" si="153"/>
        <v>1176094.8738747668</v>
      </c>
      <c r="X380" s="4">
        <f t="shared" si="157"/>
        <v>5517.5177410121541</v>
      </c>
      <c r="Y380" s="9">
        <f>SUM($X$6:X380)</f>
        <v>176094.87387476675</v>
      </c>
      <c r="Z380" s="16">
        <f t="shared" si="158"/>
        <v>0.17609487387476674</v>
      </c>
      <c r="AA380" s="16">
        <f t="shared" si="154"/>
        <v>0.26459211000266247</v>
      </c>
      <c r="AB380" s="16">
        <f t="shared" si="155"/>
        <v>4.7135011728192885E-3</v>
      </c>
      <c r="AC380" s="16">
        <f t="shared" si="156"/>
        <v>5.4037901237642648E-3</v>
      </c>
    </row>
    <row r="381" spans="1:29" x14ac:dyDescent="0.15">
      <c r="A381" s="8">
        <v>41457</v>
      </c>
      <c r="B381" s="4">
        <v>1614.08</v>
      </c>
      <c r="C381" s="1">
        <v>15.744899999999999</v>
      </c>
      <c r="D381" s="1">
        <v>2.17</v>
      </c>
      <c r="E381" s="1">
        <v>0.27879999999999999</v>
      </c>
      <c r="F381" s="4">
        <f t="shared" si="146"/>
        <v>0.15744900000000001</v>
      </c>
      <c r="G381" s="4">
        <f t="shared" si="147"/>
        <v>2.1700000000000001E-2</v>
      </c>
      <c r="H381" s="4">
        <f t="shared" si="148"/>
        <v>2.7880000000000001E-3</v>
      </c>
      <c r="I381" s="3">
        <f t="shared" si="149"/>
        <v>54.340321992876504</v>
      </c>
      <c r="J381" s="4">
        <f t="shared" si="159"/>
        <v>1221718.2559727309</v>
      </c>
      <c r="K381" s="1">
        <f t="shared" si="160"/>
        <v>1658.78</v>
      </c>
      <c r="L381" s="5">
        <f t="shared" si="161"/>
        <v>0.1178082191780825</v>
      </c>
      <c r="M381" s="5">
        <f t="shared" si="162"/>
        <v>-0.69657813745516128</v>
      </c>
      <c r="N381" s="5">
        <f t="shared" si="163"/>
        <v>64.499521195139806</v>
      </c>
      <c r="O381" s="1">
        <f t="shared" si="164"/>
        <v>0</v>
      </c>
      <c r="P381" s="1">
        <f t="shared" si="165"/>
        <v>1658.78</v>
      </c>
      <c r="Q381" s="5">
        <f t="shared" si="166"/>
        <v>0.1178082191780825</v>
      </c>
      <c r="R381" s="5">
        <f t="shared" si="167"/>
        <v>-0.69657813745516128</v>
      </c>
      <c r="S381" s="5">
        <f t="shared" si="150"/>
        <v>64.499521195139806</v>
      </c>
      <c r="T381" s="5">
        <f t="shared" si="151"/>
        <v>-715.66700899455361</v>
      </c>
      <c r="U381" s="4">
        <f t="shared" si="152"/>
        <v>1221777.4005250132</v>
      </c>
      <c r="V381" s="4">
        <f t="shared" si="168"/>
        <v>19.715805175595417</v>
      </c>
      <c r="W381" s="4">
        <f t="shared" si="153"/>
        <v>1175617.2211097067</v>
      </c>
      <c r="X381" s="4">
        <f t="shared" si="157"/>
        <v>-477.65276506007649</v>
      </c>
      <c r="Y381" s="9">
        <f>SUM($X$6:X381)</f>
        <v>175617.22110970668</v>
      </c>
      <c r="Z381" s="16">
        <f t="shared" si="158"/>
        <v>0.17561722110970668</v>
      </c>
      <c r="AA381" s="16">
        <f t="shared" si="154"/>
        <v>0.26390302726575104</v>
      </c>
      <c r="AB381" s="16">
        <f t="shared" si="155"/>
        <v>-4.0613455229712876E-4</v>
      </c>
      <c r="AC381" s="16">
        <f t="shared" si="156"/>
        <v>-5.4490513696940429E-4</v>
      </c>
    </row>
    <row r="382" spans="1:29" x14ac:dyDescent="0.15">
      <c r="A382" s="8">
        <v>41458</v>
      </c>
      <c r="B382" s="4">
        <v>1615.41</v>
      </c>
      <c r="C382" s="1">
        <v>15.4125</v>
      </c>
      <c r="D382" s="1">
        <v>2.17</v>
      </c>
      <c r="E382" s="1">
        <v>0.27989999999999998</v>
      </c>
      <c r="F382" s="4">
        <f t="shared" si="146"/>
        <v>0.15412499999999998</v>
      </c>
      <c r="G382" s="4">
        <f t="shared" si="147"/>
        <v>2.1700000000000001E-2</v>
      </c>
      <c r="H382" s="4">
        <f t="shared" si="148"/>
        <v>2.7989999999999998E-3</v>
      </c>
      <c r="I382" s="3">
        <f t="shared" si="149"/>
        <v>53.319114748879784</v>
      </c>
      <c r="J382" s="4">
        <f t="shared" si="159"/>
        <v>1221777.4005250132</v>
      </c>
      <c r="K382" s="1">
        <f t="shared" si="160"/>
        <v>1658.78</v>
      </c>
      <c r="L382" s="5">
        <f t="shared" si="161"/>
        <v>0.11506849315068524</v>
      </c>
      <c r="M382" s="5">
        <f t="shared" si="162"/>
        <v>-0.69749201748050527</v>
      </c>
      <c r="N382" s="5">
        <f t="shared" si="163"/>
        <v>62.525913534858816</v>
      </c>
      <c r="O382" s="1">
        <f t="shared" si="164"/>
        <v>0</v>
      </c>
      <c r="P382" s="1">
        <f t="shared" si="165"/>
        <v>1658.78</v>
      </c>
      <c r="Q382" s="5">
        <f t="shared" si="166"/>
        <v>0.11506849315068524</v>
      </c>
      <c r="R382" s="5">
        <f t="shared" si="167"/>
        <v>-0.69749201748050527</v>
      </c>
      <c r="S382" s="5">
        <f t="shared" si="150"/>
        <v>62.525913534858816</v>
      </c>
      <c r="T382" s="5">
        <f t="shared" si="151"/>
        <v>-715.66700899455361</v>
      </c>
      <c r="U382" s="4">
        <f t="shared" si="152"/>
        <v>1221797.1163301887</v>
      </c>
      <c r="V382" s="4">
        <f t="shared" si="168"/>
        <v>19.716123329273454</v>
      </c>
      <c r="W382" s="4">
        <f t="shared" si="153"/>
        <v>1177049.3828060443</v>
      </c>
      <c r="X382" s="4">
        <f t="shared" si="157"/>
        <v>1432.1616963376291</v>
      </c>
      <c r="Y382" s="9">
        <f>SUM($X$6:X382)</f>
        <v>177049.3828060443</v>
      </c>
      <c r="Z382" s="16">
        <f t="shared" si="158"/>
        <v>0.17704938280604429</v>
      </c>
      <c r="AA382" s="16">
        <f t="shared" si="154"/>
        <v>0.26494448185676489</v>
      </c>
      <c r="AB382" s="16">
        <f t="shared" si="155"/>
        <v>1.2182210932447561E-3</v>
      </c>
      <c r="AC382" s="16">
        <f t="shared" si="156"/>
        <v>8.2399881046797848E-4</v>
      </c>
    </row>
    <row r="383" spans="1:29" x14ac:dyDescent="0.15">
      <c r="A383" s="8">
        <v>41460</v>
      </c>
      <c r="B383" s="4">
        <v>1631.89</v>
      </c>
      <c r="C383" s="1">
        <v>14.8672</v>
      </c>
      <c r="D383" s="1">
        <v>2.15</v>
      </c>
      <c r="E383" s="1">
        <v>0.27589999999999998</v>
      </c>
      <c r="F383" s="4">
        <f t="shared" si="146"/>
        <v>0.148672</v>
      </c>
      <c r="G383" s="4">
        <f t="shared" si="147"/>
        <v>2.1499999999999998E-2</v>
      </c>
      <c r="H383" s="4">
        <f t="shared" si="148"/>
        <v>2.7589999999999997E-3</v>
      </c>
      <c r="I383" s="3">
        <f t="shared" si="149"/>
        <v>52.068030857576986</v>
      </c>
      <c r="J383" s="4">
        <f t="shared" si="159"/>
        <v>1221797.1163301887</v>
      </c>
      <c r="K383" s="1">
        <f t="shared" si="160"/>
        <v>1658.78</v>
      </c>
      <c r="L383" s="5">
        <f t="shared" si="161"/>
        <v>0.10958904109589071</v>
      </c>
      <c r="M383" s="5">
        <f t="shared" si="162"/>
        <v>-0.63503030694879992</v>
      </c>
      <c r="N383" s="5">
        <f t="shared" si="163"/>
        <v>49.601560912614396</v>
      </c>
      <c r="O383" s="1">
        <f t="shared" si="164"/>
        <v>0</v>
      </c>
      <c r="P383" s="1">
        <f t="shared" si="165"/>
        <v>1658.78</v>
      </c>
      <c r="Q383" s="5">
        <f t="shared" si="166"/>
        <v>0.10958904109589071</v>
      </c>
      <c r="R383" s="5">
        <f t="shared" si="167"/>
        <v>-0.63503030694879992</v>
      </c>
      <c r="S383" s="5">
        <f t="shared" si="150"/>
        <v>49.601560912614396</v>
      </c>
      <c r="T383" s="5">
        <f t="shared" si="151"/>
        <v>-715.66700899455361</v>
      </c>
      <c r="U383" s="4">
        <f t="shared" si="152"/>
        <v>1221816.8324535179</v>
      </c>
      <c r="V383" s="4">
        <f t="shared" si="168"/>
        <v>39.432882976171072</v>
      </c>
      <c r="W383" s="4">
        <f t="shared" si="153"/>
        <v>1186318.6317137261</v>
      </c>
      <c r="X383" s="4">
        <f t="shared" si="157"/>
        <v>9269.2489076817874</v>
      </c>
      <c r="Y383" s="9">
        <f>SUM($X$6:X383)</f>
        <v>186318.63171372609</v>
      </c>
      <c r="Z383" s="16">
        <f t="shared" si="158"/>
        <v>0.18631863171372609</v>
      </c>
      <c r="AA383" s="16">
        <f t="shared" si="154"/>
        <v>0.27784912220255914</v>
      </c>
      <c r="AB383" s="16">
        <f t="shared" si="155"/>
        <v>7.8749872716336027E-3</v>
      </c>
      <c r="AC383" s="16">
        <f t="shared" si="156"/>
        <v>1.020174444877772E-2</v>
      </c>
    </row>
    <row r="384" spans="1:29" x14ac:dyDescent="0.15">
      <c r="A384" s="8">
        <v>41463</v>
      </c>
      <c r="B384" s="4">
        <v>1640.46</v>
      </c>
      <c r="C384" s="1">
        <v>14.325200000000001</v>
      </c>
      <c r="D384" s="1">
        <v>2.14</v>
      </c>
      <c r="E384" s="1">
        <v>0.27460000000000001</v>
      </c>
      <c r="F384" s="4">
        <f t="shared" si="146"/>
        <v>0.14325200000000002</v>
      </c>
      <c r="G384" s="4">
        <f t="shared" si="147"/>
        <v>2.1400000000000002E-2</v>
      </c>
      <c r="H384" s="4">
        <f t="shared" si="148"/>
        <v>2.7460000000000002E-3</v>
      </c>
      <c r="I384" s="3">
        <f t="shared" si="149"/>
        <v>50.562541516369095</v>
      </c>
      <c r="J384" s="4">
        <f t="shared" si="159"/>
        <v>1221816.8324535179</v>
      </c>
      <c r="K384" s="1">
        <f t="shared" si="160"/>
        <v>1658.78</v>
      </c>
      <c r="L384" s="5">
        <f t="shared" si="161"/>
        <v>0.10136986301369894</v>
      </c>
      <c r="M384" s="5">
        <f t="shared" si="162"/>
        <v>-0.60208971143544199</v>
      </c>
      <c r="N384" s="5">
        <f t="shared" si="163"/>
        <v>41.891816264847826</v>
      </c>
      <c r="O384" s="1">
        <f t="shared" si="164"/>
        <v>0</v>
      </c>
      <c r="P384" s="1">
        <f t="shared" si="165"/>
        <v>1658.78</v>
      </c>
      <c r="Q384" s="5">
        <f t="shared" si="166"/>
        <v>0.10136986301369894</v>
      </c>
      <c r="R384" s="5">
        <f t="shared" si="167"/>
        <v>-0.60208971143544199</v>
      </c>
      <c r="S384" s="5">
        <f t="shared" si="150"/>
        <v>41.891816264847826</v>
      </c>
      <c r="T384" s="5">
        <f t="shared" si="151"/>
        <v>-715.66700899455361</v>
      </c>
      <c r="U384" s="4">
        <f t="shared" si="152"/>
        <v>1221856.2653364942</v>
      </c>
      <c r="V384" s="4">
        <f t="shared" si="168"/>
        <v>59.151233447933841</v>
      </c>
      <c r="W384" s="4">
        <f t="shared" si="153"/>
        <v>1191875.6744888811</v>
      </c>
      <c r="X384" s="4">
        <f t="shared" si="157"/>
        <v>5557.0427751550451</v>
      </c>
      <c r="Y384" s="9">
        <f>SUM($X$6:X384)</f>
        <v>191875.67448888114</v>
      </c>
      <c r="Z384" s="16">
        <f t="shared" si="158"/>
        <v>0.19187567448888113</v>
      </c>
      <c r="AA384" s="16">
        <f t="shared" si="154"/>
        <v>0.28455984840179799</v>
      </c>
      <c r="AB384" s="16">
        <f t="shared" si="155"/>
        <v>4.6842750561267681E-3</v>
      </c>
      <c r="AC384" s="16">
        <f t="shared" si="156"/>
        <v>5.2515794569486518E-3</v>
      </c>
    </row>
    <row r="385" spans="1:29" x14ac:dyDescent="0.15">
      <c r="A385" s="8">
        <v>41464</v>
      </c>
      <c r="B385" s="4">
        <v>1652.32</v>
      </c>
      <c r="C385" s="1">
        <v>13.796200000000001</v>
      </c>
      <c r="D385" s="1">
        <v>2.12</v>
      </c>
      <c r="E385" s="1">
        <v>0.27510000000000001</v>
      </c>
      <c r="F385" s="4">
        <f t="shared" si="146"/>
        <v>0.137962</v>
      </c>
      <c r="G385" s="4">
        <f t="shared" si="147"/>
        <v>2.12E-2</v>
      </c>
      <c r="H385" s="4">
        <f t="shared" si="148"/>
        <v>2.751E-3</v>
      </c>
      <c r="I385" s="3">
        <f t="shared" si="149"/>
        <v>49.153898420498273</v>
      </c>
      <c r="J385" s="4">
        <f t="shared" si="159"/>
        <v>1221856.2653364942</v>
      </c>
      <c r="K385" s="1">
        <f t="shared" si="160"/>
        <v>1658.78</v>
      </c>
      <c r="L385" s="5">
        <f t="shared" si="161"/>
        <v>9.8630136986301672E-2</v>
      </c>
      <c r="M385" s="5">
        <f t="shared" si="162"/>
        <v>-0.54281458920777526</v>
      </c>
      <c r="N385" s="5">
        <f t="shared" si="163"/>
        <v>33.560012684710706</v>
      </c>
      <c r="O385" s="1">
        <f t="shared" si="164"/>
        <v>0</v>
      </c>
      <c r="P385" s="1">
        <f t="shared" si="165"/>
        <v>1658.78</v>
      </c>
      <c r="Q385" s="5">
        <f t="shared" si="166"/>
        <v>9.8630136986301672E-2</v>
      </c>
      <c r="R385" s="5">
        <f t="shared" si="167"/>
        <v>-0.54281458920777526</v>
      </c>
      <c r="S385" s="5">
        <f t="shared" si="150"/>
        <v>33.560012684710706</v>
      </c>
      <c r="T385" s="5">
        <f t="shared" si="151"/>
        <v>-715.66700899455361</v>
      </c>
      <c r="U385" s="4">
        <f t="shared" si="152"/>
        <v>1221915.4165699421</v>
      </c>
      <c r="V385" s="4">
        <f t="shared" si="168"/>
        <v>19.718032338621803</v>
      </c>
      <c r="W385" s="4">
        <f t="shared" si="153"/>
        <v>1197897.6226700561</v>
      </c>
      <c r="X385" s="4">
        <f t="shared" si="157"/>
        <v>6021.9481811749283</v>
      </c>
      <c r="Y385" s="9">
        <f>SUM($X$6:X385)</f>
        <v>197897.62267005607</v>
      </c>
      <c r="Z385" s="16">
        <f t="shared" si="158"/>
        <v>0.19789762267005606</v>
      </c>
      <c r="AA385" s="16">
        <f t="shared" si="154"/>
        <v>0.29384680437880756</v>
      </c>
      <c r="AB385" s="16">
        <f t="shared" si="155"/>
        <v>5.0524969257027203E-3</v>
      </c>
      <c r="AC385" s="16">
        <f t="shared" si="156"/>
        <v>7.2296794801457514E-3</v>
      </c>
    </row>
    <row r="386" spans="1:29" x14ac:dyDescent="0.15">
      <c r="A386" s="8">
        <v>41465</v>
      </c>
      <c r="B386" s="4">
        <v>1652.62</v>
      </c>
      <c r="C386" s="1">
        <v>13.800699999999999</v>
      </c>
      <c r="D386" s="1">
        <v>2.12</v>
      </c>
      <c r="E386" s="1">
        <v>0.27489999999999998</v>
      </c>
      <c r="F386" s="4">
        <f t="shared" si="146"/>
        <v>0.13800699999999999</v>
      </c>
      <c r="G386" s="4">
        <f t="shared" si="147"/>
        <v>2.12E-2</v>
      </c>
      <c r="H386" s="4">
        <f t="shared" si="148"/>
        <v>2.7489999999999997E-3</v>
      </c>
      <c r="I386" s="3">
        <f t="shared" si="149"/>
        <v>49.177996009967863</v>
      </c>
      <c r="J386" s="4">
        <f t="shared" si="159"/>
        <v>1221915.4165699421</v>
      </c>
      <c r="K386" s="1">
        <f t="shared" si="160"/>
        <v>1658.78</v>
      </c>
      <c r="L386" s="5">
        <f t="shared" si="161"/>
        <v>9.589041095890441E-2</v>
      </c>
      <c r="M386" s="5">
        <f t="shared" si="162"/>
        <v>-0.54153970870422219</v>
      </c>
      <c r="N386" s="5">
        <f t="shared" si="163"/>
        <v>32.965283177796749</v>
      </c>
      <c r="O386" s="1">
        <f t="shared" si="164"/>
        <v>0</v>
      </c>
      <c r="P386" s="1">
        <f t="shared" si="165"/>
        <v>1658.78</v>
      </c>
      <c r="Q386" s="5">
        <f t="shared" si="166"/>
        <v>9.589041095890441E-2</v>
      </c>
      <c r="R386" s="5">
        <f t="shared" si="167"/>
        <v>-0.54153970870422219</v>
      </c>
      <c r="S386" s="5">
        <f t="shared" si="150"/>
        <v>32.965283177796749</v>
      </c>
      <c r="T386" s="5">
        <f t="shared" si="151"/>
        <v>-715.66700899455361</v>
      </c>
      <c r="U386" s="4">
        <f t="shared" si="152"/>
        <v>1221935.1346022808</v>
      </c>
      <c r="V386" s="4">
        <f t="shared" si="168"/>
        <v>19.718350528239544</v>
      </c>
      <c r="W386" s="4">
        <f t="shared" si="153"/>
        <v>1198342.9689897685</v>
      </c>
      <c r="X386" s="4">
        <f t="shared" si="157"/>
        <v>445.34631971246563</v>
      </c>
      <c r="Y386" s="9">
        <f>SUM($X$6:X386)</f>
        <v>198342.96898976853</v>
      </c>
      <c r="Z386" s="16">
        <f t="shared" si="158"/>
        <v>0.19834296898976853</v>
      </c>
      <c r="AA386" s="16">
        <f t="shared" si="154"/>
        <v>0.29408171894820911</v>
      </c>
      <c r="AB386" s="16">
        <f t="shared" si="155"/>
        <v>3.7177327284431045E-4</v>
      </c>
      <c r="AC386" s="16">
        <f t="shared" si="156"/>
        <v>1.815628933862415E-4</v>
      </c>
    </row>
    <row r="387" spans="1:29" x14ac:dyDescent="0.15">
      <c r="A387" s="8">
        <v>41466</v>
      </c>
      <c r="B387" s="4">
        <v>1675.02</v>
      </c>
      <c r="C387" s="1">
        <v>13.575699999999999</v>
      </c>
      <c r="D387" s="1">
        <v>2.09</v>
      </c>
      <c r="E387" s="1">
        <v>0.27410000000000001</v>
      </c>
      <c r="F387" s="4">
        <f t="shared" si="146"/>
        <v>0.13575699999999999</v>
      </c>
      <c r="G387" s="4">
        <f t="shared" si="147"/>
        <v>2.0899999999999998E-2</v>
      </c>
      <c r="H387" s="4">
        <f t="shared" si="148"/>
        <v>2.7409999999999999E-3</v>
      </c>
      <c r="I387" s="3">
        <f t="shared" si="149"/>
        <v>49.036026875839582</v>
      </c>
      <c r="J387" s="4">
        <f t="shared" si="159"/>
        <v>1221935.1346022808</v>
      </c>
      <c r="K387" s="1">
        <f t="shared" si="160"/>
        <v>1658.78</v>
      </c>
      <c r="L387" s="5">
        <f t="shared" si="161"/>
        <v>9.3150684931507147E-2</v>
      </c>
      <c r="M387" s="5">
        <f t="shared" si="162"/>
        <v>-0.41406457325935631</v>
      </c>
      <c r="N387" s="5">
        <f t="shared" si="163"/>
        <v>21.336030103662885</v>
      </c>
      <c r="O387" s="1">
        <f t="shared" si="164"/>
        <v>0</v>
      </c>
      <c r="P387" s="1">
        <f t="shared" si="165"/>
        <v>1658.78</v>
      </c>
      <c r="Q387" s="5">
        <f t="shared" si="166"/>
        <v>9.3150684931507147E-2</v>
      </c>
      <c r="R387" s="5">
        <f t="shared" si="167"/>
        <v>-0.41406457325935631</v>
      </c>
      <c r="S387" s="5">
        <f t="shared" si="150"/>
        <v>21.336030103662885</v>
      </c>
      <c r="T387" s="5">
        <f t="shared" si="151"/>
        <v>-715.66700899455361</v>
      </c>
      <c r="U387" s="4">
        <f t="shared" si="152"/>
        <v>1221954.8529528091</v>
      </c>
      <c r="V387" s="4">
        <f t="shared" si="168"/>
        <v>19.718668722991904</v>
      </c>
      <c r="W387" s="4">
        <f t="shared" si="153"/>
        <v>1206685.3601047029</v>
      </c>
      <c r="X387" s="4">
        <f t="shared" si="157"/>
        <v>8342.3911149343476</v>
      </c>
      <c r="Y387" s="9">
        <f>SUM($X$6:X387)</f>
        <v>206685.36010470288</v>
      </c>
      <c r="Z387" s="16">
        <f t="shared" si="158"/>
        <v>0.20668536010470287</v>
      </c>
      <c r="AA387" s="16">
        <f t="shared" si="154"/>
        <v>0.31162200679686158</v>
      </c>
      <c r="AB387" s="16">
        <f t="shared" si="155"/>
        <v>6.9616055927354259E-3</v>
      </c>
      <c r="AC387" s="16">
        <f t="shared" si="156"/>
        <v>1.3554235093366953E-2</v>
      </c>
    </row>
    <row r="388" spans="1:29" x14ac:dyDescent="0.15">
      <c r="A388" s="8">
        <v>41467</v>
      </c>
      <c r="B388" s="4">
        <v>1680.19</v>
      </c>
      <c r="C388" s="1">
        <v>13.844799999999999</v>
      </c>
      <c r="D388" s="1">
        <v>2.09</v>
      </c>
      <c r="E388" s="1">
        <v>0.27350000000000002</v>
      </c>
      <c r="F388" s="4">
        <f t="shared" si="146"/>
        <v>0.13844799999999999</v>
      </c>
      <c r="G388" s="4">
        <f t="shared" si="147"/>
        <v>2.0899999999999998E-2</v>
      </c>
      <c r="H388" s="4">
        <f t="shared" si="148"/>
        <v>2.735E-3</v>
      </c>
      <c r="I388" s="3">
        <f t="shared" si="149"/>
        <v>50.084247857503279</v>
      </c>
      <c r="J388" s="4">
        <f t="shared" si="159"/>
        <v>1221954.8529528091</v>
      </c>
      <c r="K388" s="1">
        <f t="shared" si="160"/>
        <v>1658.78</v>
      </c>
      <c r="L388" s="5">
        <f t="shared" si="161"/>
        <v>9.0410958904109884E-2</v>
      </c>
      <c r="M388" s="5">
        <f t="shared" si="162"/>
        <v>-0.38539769287557246</v>
      </c>
      <c r="N388" s="5">
        <f t="shared" si="163"/>
        <v>19.363301310213782</v>
      </c>
      <c r="O388" s="1">
        <f t="shared" si="164"/>
        <v>0</v>
      </c>
      <c r="P388" s="1">
        <f t="shared" si="165"/>
        <v>1658.78</v>
      </c>
      <c r="Q388" s="5">
        <f t="shared" si="166"/>
        <v>9.0410958904109884E-2</v>
      </c>
      <c r="R388" s="5">
        <f t="shared" si="167"/>
        <v>-0.38539769287557246</v>
      </c>
      <c r="S388" s="5">
        <f t="shared" si="150"/>
        <v>19.363301310213782</v>
      </c>
      <c r="T388" s="5">
        <f t="shared" si="151"/>
        <v>-715.66700899455361</v>
      </c>
      <c r="U388" s="4">
        <f t="shared" si="152"/>
        <v>1221974.5716215321</v>
      </c>
      <c r="V388" s="4">
        <f t="shared" si="168"/>
        <v>19.718986922878969</v>
      </c>
      <c r="W388" s="4">
        <f t="shared" si="153"/>
        <v>1208116.8956885911</v>
      </c>
      <c r="X388" s="4">
        <f t="shared" si="157"/>
        <v>1431.5355838881806</v>
      </c>
      <c r="Y388" s="9">
        <f>SUM($X$6:X388)</f>
        <v>208116.89568859106</v>
      </c>
      <c r="Z388" s="16">
        <f t="shared" si="158"/>
        <v>0.20811689568859107</v>
      </c>
      <c r="AA388" s="16">
        <f t="shared" si="154"/>
        <v>0.31567036787621577</v>
      </c>
      <c r="AB388" s="16">
        <f t="shared" si="155"/>
        <v>1.1863370777648015E-3</v>
      </c>
      <c r="AC388" s="16">
        <f t="shared" si="156"/>
        <v>3.0865303100858933E-3</v>
      </c>
    </row>
    <row r="389" spans="1:29" x14ac:dyDescent="0.15">
      <c r="A389" s="8">
        <v>41470</v>
      </c>
      <c r="B389" s="4">
        <v>1682.5</v>
      </c>
      <c r="C389" s="1">
        <v>13.592499999999999</v>
      </c>
      <c r="D389" s="1">
        <v>2.09</v>
      </c>
      <c r="E389" s="1">
        <v>0.27350000000000002</v>
      </c>
      <c r="F389" s="4">
        <f t="shared" si="146"/>
        <v>0.13592499999999999</v>
      </c>
      <c r="G389" s="4">
        <f t="shared" si="147"/>
        <v>2.0899999999999998E-2</v>
      </c>
      <c r="H389" s="4">
        <f t="shared" si="148"/>
        <v>2.735E-3</v>
      </c>
      <c r="I389" s="3">
        <f t="shared" si="149"/>
        <v>49.312343850581108</v>
      </c>
      <c r="J389" s="4">
        <f t="shared" si="159"/>
        <v>1221974.5716215321</v>
      </c>
      <c r="K389" s="1">
        <f t="shared" si="160"/>
        <v>1658.78</v>
      </c>
      <c r="L389" s="5">
        <f t="shared" si="161"/>
        <v>8.2191780821918109E-2</v>
      </c>
      <c r="M389" s="5">
        <f t="shared" si="162"/>
        <v>-0.3642230618525803</v>
      </c>
      <c r="N389" s="5">
        <f t="shared" si="163"/>
        <v>16.709266879355681</v>
      </c>
      <c r="O389" s="1">
        <f t="shared" si="164"/>
        <v>0</v>
      </c>
      <c r="P389" s="1">
        <f t="shared" si="165"/>
        <v>1658.78</v>
      </c>
      <c r="Q389" s="5">
        <f t="shared" si="166"/>
        <v>8.2191780821918109E-2</v>
      </c>
      <c r="R389" s="5">
        <f t="shared" si="167"/>
        <v>-0.3642230618525803</v>
      </c>
      <c r="S389" s="5">
        <f t="shared" si="150"/>
        <v>16.709266879355681</v>
      </c>
      <c r="T389" s="5">
        <f t="shared" si="151"/>
        <v>-715.66700899455361</v>
      </c>
      <c r="U389" s="4">
        <f t="shared" si="152"/>
        <v>1221994.290608455</v>
      </c>
      <c r="V389" s="4">
        <f t="shared" si="168"/>
        <v>59.157915383702466</v>
      </c>
      <c r="W389" s="4">
        <f t="shared" si="153"/>
        <v>1210036.0195584148</v>
      </c>
      <c r="X389" s="4">
        <f t="shared" si="157"/>
        <v>1919.1238698237576</v>
      </c>
      <c r="Y389" s="9">
        <f>SUM($X$6:X389)</f>
        <v>210036.01955841482</v>
      </c>
      <c r="Z389" s="16">
        <f t="shared" si="158"/>
        <v>0.2100360195584148</v>
      </c>
      <c r="AA389" s="16">
        <f t="shared" si="154"/>
        <v>0.31747921006060803</v>
      </c>
      <c r="AB389" s="16">
        <f t="shared" si="155"/>
        <v>1.588524981872647E-3</v>
      </c>
      <c r="AC389" s="16">
        <f t="shared" si="156"/>
        <v>1.3748445116325806E-3</v>
      </c>
    </row>
    <row r="390" spans="1:29" x14ac:dyDescent="0.15">
      <c r="A390" s="8">
        <v>41471</v>
      </c>
      <c r="B390" s="4">
        <v>1676.26</v>
      </c>
      <c r="C390" s="1">
        <v>14.1456</v>
      </c>
      <c r="D390" s="1">
        <v>2.1</v>
      </c>
      <c r="E390" s="1">
        <v>0.27210000000000001</v>
      </c>
      <c r="F390" s="4">
        <f t="shared" si="146"/>
        <v>0.141456</v>
      </c>
      <c r="G390" s="4">
        <f t="shared" si="147"/>
        <v>2.1000000000000001E-2</v>
      </c>
      <c r="H390" s="4">
        <f t="shared" si="148"/>
        <v>2.7209999999999999E-3</v>
      </c>
      <c r="I390" s="3">
        <f t="shared" si="149"/>
        <v>50.990250050517396</v>
      </c>
      <c r="J390" s="4">
        <f t="shared" si="159"/>
        <v>1221994.290608455</v>
      </c>
      <c r="K390" s="1">
        <f t="shared" si="160"/>
        <v>1658.78</v>
      </c>
      <c r="L390" s="5">
        <f t="shared" si="161"/>
        <v>7.9452054794520846E-2</v>
      </c>
      <c r="M390" s="5">
        <f t="shared" si="162"/>
        <v>-0.40200781401009922</v>
      </c>
      <c r="N390" s="5">
        <f t="shared" si="163"/>
        <v>19.652724497138962</v>
      </c>
      <c r="O390" s="1">
        <f t="shared" si="164"/>
        <v>0</v>
      </c>
      <c r="P390" s="1">
        <f t="shared" si="165"/>
        <v>1658.78</v>
      </c>
      <c r="Q390" s="5">
        <f t="shared" si="166"/>
        <v>7.9452054794520846E-2</v>
      </c>
      <c r="R390" s="5">
        <f t="shared" si="167"/>
        <v>-0.40200781401009922</v>
      </c>
      <c r="S390" s="5">
        <f t="shared" si="150"/>
        <v>19.652724497138962</v>
      </c>
      <c r="T390" s="5">
        <f t="shared" si="151"/>
        <v>-715.66700899455361</v>
      </c>
      <c r="U390" s="4">
        <f t="shared" si="152"/>
        <v>1222053.4485238388</v>
      </c>
      <c r="V390" s="4">
        <f t="shared" si="168"/>
        <v>19.720259758370986</v>
      </c>
      <c r="W390" s="4">
        <f t="shared" si="153"/>
        <v>1207988.6419643774</v>
      </c>
      <c r="X390" s="4">
        <f t="shared" si="157"/>
        <v>-2047.3775940374471</v>
      </c>
      <c r="Y390" s="9">
        <f>SUM($X$6:X390)</f>
        <v>207988.64196437737</v>
      </c>
      <c r="Z390" s="16">
        <f t="shared" si="158"/>
        <v>0.20798864196437736</v>
      </c>
      <c r="AA390" s="16">
        <f t="shared" si="154"/>
        <v>0.31259298701705485</v>
      </c>
      <c r="AB390" s="16">
        <f t="shared" si="155"/>
        <v>-1.6919972306151745E-3</v>
      </c>
      <c r="AC390" s="16">
        <f t="shared" si="156"/>
        <v>-3.7087667161961419E-3</v>
      </c>
    </row>
    <row r="391" spans="1:29" x14ac:dyDescent="0.15">
      <c r="A391" s="8">
        <v>41472</v>
      </c>
      <c r="B391" s="4">
        <v>1680.91</v>
      </c>
      <c r="C391" s="1">
        <v>13.7247</v>
      </c>
      <c r="D391" s="1">
        <v>2.09</v>
      </c>
      <c r="E391" s="1">
        <v>0.27200000000000002</v>
      </c>
      <c r="F391" s="4">
        <f t="shared" ref="F391:F454" si="169">C391/100</f>
        <v>0.13724700000000001</v>
      </c>
      <c r="G391" s="4">
        <f t="shared" ref="G391:G454" si="170">D391/100</f>
        <v>2.0899999999999998E-2</v>
      </c>
      <c r="H391" s="4">
        <f t="shared" ref="H391:H454" si="171">E391/100</f>
        <v>2.7200000000000002E-3</v>
      </c>
      <c r="I391" s="3">
        <f t="shared" ref="I391:I454" si="172">BSM_Put(B391,B391,F391,H391,G391,$B$3,$F$3)</f>
        <v>49.709254167386298</v>
      </c>
      <c r="J391" s="4">
        <f t="shared" si="159"/>
        <v>1222053.4485238388</v>
      </c>
      <c r="K391" s="1">
        <f t="shared" si="160"/>
        <v>1658.78</v>
      </c>
      <c r="L391" s="5">
        <f t="shared" si="161"/>
        <v>7.6712328767123583E-2</v>
      </c>
      <c r="M391" s="5">
        <f t="shared" si="162"/>
        <v>-0.36974488246760612</v>
      </c>
      <c r="N391" s="5">
        <f t="shared" si="163"/>
        <v>16.628092784354426</v>
      </c>
      <c r="O391" s="1">
        <f t="shared" si="164"/>
        <v>0</v>
      </c>
      <c r="P391" s="1">
        <f t="shared" si="165"/>
        <v>1658.78</v>
      </c>
      <c r="Q391" s="5">
        <f t="shared" si="166"/>
        <v>7.6712328767123583E-2</v>
      </c>
      <c r="R391" s="5">
        <f t="shared" si="167"/>
        <v>-0.36974488246760612</v>
      </c>
      <c r="S391" s="5">
        <f t="shared" ref="S391:S454" si="173">BSM_Put(B391,P391,F391,H391,G391,Q391,$F$3)</f>
        <v>16.628092784354426</v>
      </c>
      <c r="T391" s="5">
        <f t="shared" si="151"/>
        <v>-715.66700899455361</v>
      </c>
      <c r="U391" s="4">
        <f t="shared" si="152"/>
        <v>1222073.1687835972</v>
      </c>
      <c r="V391" s="4">
        <f t="shared" si="168"/>
        <v>19.720577983932564</v>
      </c>
      <c r="W391" s="4">
        <f t="shared" si="153"/>
        <v>1210172.9913553344</v>
      </c>
      <c r="X391" s="4">
        <f t="shared" si="157"/>
        <v>2184.3493909570388</v>
      </c>
      <c r="Y391" s="9">
        <f>SUM($X$6:X391)</f>
        <v>210172.99135533441</v>
      </c>
      <c r="Z391" s="16">
        <f t="shared" si="158"/>
        <v>0.2101729913553344</v>
      </c>
      <c r="AA391" s="16">
        <f t="shared" si="154"/>
        <v>0.31623416284277961</v>
      </c>
      <c r="AB391" s="16">
        <f t="shared" si="155"/>
        <v>1.8082532526174642E-3</v>
      </c>
      <c r="AC391" s="16">
        <f t="shared" si="156"/>
        <v>2.7740326679632581E-3</v>
      </c>
    </row>
    <row r="392" spans="1:29" x14ac:dyDescent="0.15">
      <c r="A392" s="8">
        <v>41473</v>
      </c>
      <c r="B392" s="4">
        <v>1689.37</v>
      </c>
      <c r="C392" s="1">
        <v>13.5297</v>
      </c>
      <c r="D392" s="1">
        <v>2.08</v>
      </c>
      <c r="E392" s="1">
        <v>0.27210000000000001</v>
      </c>
      <c r="F392" s="4">
        <f t="shared" si="169"/>
        <v>0.135297</v>
      </c>
      <c r="G392" s="4">
        <f t="shared" si="170"/>
        <v>2.0799999999999999E-2</v>
      </c>
      <c r="H392" s="4">
        <f t="shared" si="171"/>
        <v>2.7209999999999999E-3</v>
      </c>
      <c r="I392" s="3">
        <f t="shared" si="172"/>
        <v>49.285254964118074</v>
      </c>
      <c r="J392" s="4">
        <f t="shared" si="159"/>
        <v>1222073.1687835972</v>
      </c>
      <c r="K392" s="1">
        <f t="shared" si="160"/>
        <v>1658.78</v>
      </c>
      <c r="L392" s="5">
        <f t="shared" si="161"/>
        <v>7.397260273972632E-2</v>
      </c>
      <c r="M392" s="5">
        <f t="shared" si="162"/>
        <v>-0.31561130514939001</v>
      </c>
      <c r="N392" s="5">
        <f t="shared" si="163"/>
        <v>12.94480380703275</v>
      </c>
      <c r="O392" s="1">
        <f t="shared" si="164"/>
        <v>0</v>
      </c>
      <c r="P392" s="1">
        <f t="shared" si="165"/>
        <v>1658.78</v>
      </c>
      <c r="Q392" s="5">
        <f t="shared" si="166"/>
        <v>7.397260273972632E-2</v>
      </c>
      <c r="R392" s="5">
        <f t="shared" si="167"/>
        <v>-0.31561130514939001</v>
      </c>
      <c r="S392" s="5">
        <f t="shared" si="173"/>
        <v>12.94480380703275</v>
      </c>
      <c r="T392" s="5">
        <f t="shared" ref="T392:T455" si="174">IF(O392,-(J392+IF(L392&lt;=0.00001, MAX(K392-B392,0),N392)*T391)/P392,T391)</f>
        <v>-715.66700899455361</v>
      </c>
      <c r="U392" s="4">
        <f t="shared" ref="U392:U455" si="175">IF(O392,(J392+IF(L392&lt;=0.00001, MAX(K392-B392,0),N392)*T391)-(S392*T392),U391)+V391</f>
        <v>1222092.8893615811</v>
      </c>
      <c r="V392" s="4">
        <f t="shared" si="168"/>
        <v>19.720896214629349</v>
      </c>
      <c r="W392" s="4">
        <f t="shared" ref="W392:W455" si="176">S392*T392+U392</f>
        <v>1212828.7203389807</v>
      </c>
      <c r="X392" s="4">
        <f t="shared" si="157"/>
        <v>2655.7289836462587</v>
      </c>
      <c r="Y392" s="9">
        <f>SUM($X$6:X392)</f>
        <v>212828.72033898067</v>
      </c>
      <c r="Z392" s="16">
        <f t="shared" si="158"/>
        <v>0.21282872033898068</v>
      </c>
      <c r="AA392" s="16">
        <f t="shared" ref="AA392:AA455" si="177">(B392-$B$6)/$B$6</f>
        <v>0.32285875369990447</v>
      </c>
      <c r="AB392" s="16">
        <f t="shared" ref="AB392:AB455" si="178">X392/W391</f>
        <v>2.1945035979293939E-3</v>
      </c>
      <c r="AC392" s="16">
        <f t="shared" ref="AC392:AC455" si="179">(B392-B391)/B391</f>
        <v>5.0329880838354277E-3</v>
      </c>
    </row>
    <row r="393" spans="1:29" x14ac:dyDescent="0.15">
      <c r="A393" s="8">
        <v>41474</v>
      </c>
      <c r="B393" s="4">
        <v>1692.09</v>
      </c>
      <c r="C393" s="1">
        <v>13.174200000000001</v>
      </c>
      <c r="D393" s="1">
        <v>2.08</v>
      </c>
      <c r="E393" s="1">
        <v>0.27060000000000001</v>
      </c>
      <c r="F393" s="4">
        <f t="shared" si="169"/>
        <v>0.131742</v>
      </c>
      <c r="G393" s="4">
        <f t="shared" si="170"/>
        <v>2.0799999999999999E-2</v>
      </c>
      <c r="H393" s="4">
        <f t="shared" si="171"/>
        <v>2.7060000000000001E-3</v>
      </c>
      <c r="I393" s="3">
        <f t="shared" si="172"/>
        <v>48.176673238570871</v>
      </c>
      <c r="J393" s="4">
        <f t="shared" si="159"/>
        <v>1222092.8893615811</v>
      </c>
      <c r="K393" s="1">
        <f t="shared" si="160"/>
        <v>1658.78</v>
      </c>
      <c r="L393" s="5">
        <f t="shared" si="161"/>
        <v>7.1232876712329057E-2</v>
      </c>
      <c r="M393" s="5">
        <f t="shared" si="162"/>
        <v>-0.2919702781730944</v>
      </c>
      <c r="N393" s="5">
        <f t="shared" si="163"/>
        <v>11.126657250339168</v>
      </c>
      <c r="O393" s="1">
        <f t="shared" si="164"/>
        <v>0</v>
      </c>
      <c r="P393" s="1">
        <f t="shared" si="165"/>
        <v>1658.78</v>
      </c>
      <c r="Q393" s="5">
        <f t="shared" si="166"/>
        <v>7.1232876712329057E-2</v>
      </c>
      <c r="R393" s="5">
        <f t="shared" si="167"/>
        <v>-0.2919702781730944</v>
      </c>
      <c r="S393" s="5">
        <f t="shared" si="173"/>
        <v>11.126657250339168</v>
      </c>
      <c r="T393" s="5">
        <f t="shared" si="174"/>
        <v>-715.66700899455361</v>
      </c>
      <c r="U393" s="4">
        <f t="shared" si="175"/>
        <v>1222112.6102577958</v>
      </c>
      <c r="V393" s="4">
        <f t="shared" si="168"/>
        <v>19.721214450461414</v>
      </c>
      <c r="W393" s="4">
        <f t="shared" si="176"/>
        <v>1214149.6287433379</v>
      </c>
      <c r="X393" s="4">
        <f t="shared" ref="X393:X456" si="180">W393-W392</f>
        <v>1320.9084043572657</v>
      </c>
      <c r="Y393" s="9">
        <f>SUM($X$6:X393)</f>
        <v>214149.62874333793</v>
      </c>
      <c r="Z393" s="16">
        <f t="shared" si="158"/>
        <v>0.21414962874333793</v>
      </c>
      <c r="AA393" s="16">
        <f t="shared" si="177"/>
        <v>0.32498864579581227</v>
      </c>
      <c r="AB393" s="16">
        <f t="shared" si="178"/>
        <v>1.0891137241440631E-3</v>
      </c>
      <c r="AC393" s="16">
        <f t="shared" si="179"/>
        <v>1.6100676583578656E-3</v>
      </c>
    </row>
    <row r="394" spans="1:29" x14ac:dyDescent="0.15">
      <c r="A394" s="8">
        <v>41477</v>
      </c>
      <c r="B394" s="4">
        <v>1695.53</v>
      </c>
      <c r="C394" s="1">
        <v>12.860799999999999</v>
      </c>
      <c r="D394" s="1">
        <v>2.08</v>
      </c>
      <c r="E394" s="1">
        <v>0.27060000000000001</v>
      </c>
      <c r="F394" s="4">
        <f t="shared" si="169"/>
        <v>0.128608</v>
      </c>
      <c r="G394" s="4">
        <f t="shared" si="170"/>
        <v>2.0799999999999999E-2</v>
      </c>
      <c r="H394" s="4">
        <f t="shared" si="171"/>
        <v>2.7060000000000001E-3</v>
      </c>
      <c r="I394" s="3">
        <f t="shared" si="172"/>
        <v>47.222313006761773</v>
      </c>
      <c r="J394" s="4">
        <f t="shared" si="159"/>
        <v>1222112.6102577958</v>
      </c>
      <c r="K394" s="1">
        <f t="shared" si="160"/>
        <v>1658.78</v>
      </c>
      <c r="L394" s="5">
        <f t="shared" si="161"/>
        <v>6.3013698630137283E-2</v>
      </c>
      <c r="M394" s="5">
        <f t="shared" si="162"/>
        <v>-0.25442652537496763</v>
      </c>
      <c r="N394" s="5">
        <f t="shared" si="163"/>
        <v>8.497152408676456</v>
      </c>
      <c r="O394" s="1">
        <f t="shared" si="164"/>
        <v>0</v>
      </c>
      <c r="P394" s="1">
        <f t="shared" si="165"/>
        <v>1658.78</v>
      </c>
      <c r="Q394" s="5">
        <f t="shared" si="166"/>
        <v>6.3013698630137283E-2</v>
      </c>
      <c r="R394" s="5">
        <f t="shared" si="167"/>
        <v>-0.25442652537496763</v>
      </c>
      <c r="S394" s="5">
        <f t="shared" si="173"/>
        <v>8.497152408676456</v>
      </c>
      <c r="T394" s="5">
        <f t="shared" si="174"/>
        <v>-715.66700899455361</v>
      </c>
      <c r="U394" s="4">
        <f t="shared" si="175"/>
        <v>1222132.3314722462</v>
      </c>
      <c r="V394" s="4">
        <f t="shared" si="168"/>
        <v>59.164598074286545</v>
      </c>
      <c r="W394" s="4">
        <f t="shared" si="176"/>
        <v>1216051.1998229579</v>
      </c>
      <c r="X394" s="4">
        <f t="shared" si="180"/>
        <v>1901.5710796199273</v>
      </c>
      <c r="Y394" s="9">
        <f>SUM($X$6:X394)</f>
        <v>216051.19982295786</v>
      </c>
      <c r="Z394" s="16">
        <f t="shared" si="158"/>
        <v>0.21605119982295787</v>
      </c>
      <c r="AA394" s="16">
        <f t="shared" si="177"/>
        <v>0.32768233285828391</v>
      </c>
      <c r="AB394" s="16">
        <f t="shared" si="178"/>
        <v>1.5661752345862679E-3</v>
      </c>
      <c r="AC394" s="16">
        <f t="shared" si="179"/>
        <v>2.0329887890124373E-3</v>
      </c>
    </row>
    <row r="395" spans="1:29" x14ac:dyDescent="0.15">
      <c r="A395" s="8">
        <v>41478</v>
      </c>
      <c r="B395" s="4">
        <v>1692.39</v>
      </c>
      <c r="C395" s="1">
        <v>12.7912</v>
      </c>
      <c r="D395" s="1">
        <v>2.08</v>
      </c>
      <c r="E395" s="1">
        <v>0.27179999999999999</v>
      </c>
      <c r="F395" s="4">
        <f t="shared" si="169"/>
        <v>0.127912</v>
      </c>
      <c r="G395" s="4">
        <f t="shared" si="170"/>
        <v>2.0799999999999999E-2</v>
      </c>
      <c r="H395" s="4">
        <f t="shared" si="171"/>
        <v>2.7179999999999999E-3</v>
      </c>
      <c r="I395" s="3">
        <f t="shared" si="172"/>
        <v>46.89887427975107</v>
      </c>
      <c r="J395" s="4">
        <f t="shared" si="159"/>
        <v>1222132.3314722462</v>
      </c>
      <c r="K395" s="1">
        <f t="shared" si="160"/>
        <v>1658.78</v>
      </c>
      <c r="L395" s="5">
        <f t="shared" si="161"/>
        <v>6.027397260274002E-2</v>
      </c>
      <c r="M395" s="5">
        <f t="shared" si="162"/>
        <v>-0.26737248440589206</v>
      </c>
      <c r="N395" s="5">
        <f t="shared" si="163"/>
        <v>8.8096946525775177</v>
      </c>
      <c r="O395" s="1">
        <f t="shared" si="164"/>
        <v>0</v>
      </c>
      <c r="P395" s="1">
        <f t="shared" si="165"/>
        <v>1658.78</v>
      </c>
      <c r="Q395" s="5">
        <f t="shared" si="166"/>
        <v>6.027397260274002E-2</v>
      </c>
      <c r="R395" s="5">
        <f t="shared" si="167"/>
        <v>-0.26737248440589206</v>
      </c>
      <c r="S395" s="5">
        <f t="shared" si="173"/>
        <v>8.8096946525775177</v>
      </c>
      <c r="T395" s="5">
        <f t="shared" si="174"/>
        <v>-715.66700899455361</v>
      </c>
      <c r="U395" s="4">
        <f t="shared" si="175"/>
        <v>1222191.4960703205</v>
      </c>
      <c r="V395" s="4">
        <f t="shared" si="168"/>
        <v>19.722487429737498</v>
      </c>
      <c r="W395" s="4">
        <f t="shared" si="176"/>
        <v>1215886.6882481549</v>
      </c>
      <c r="X395" s="4">
        <f t="shared" si="180"/>
        <v>-164.51157480292022</v>
      </c>
      <c r="Y395" s="9">
        <f>SUM($X$6:X395)</f>
        <v>215886.68824815494</v>
      </c>
      <c r="Z395" s="16">
        <f t="shared" si="158"/>
        <v>0.21588668824815493</v>
      </c>
      <c r="AA395" s="16">
        <f t="shared" si="177"/>
        <v>0.32522356036521399</v>
      </c>
      <c r="AB395" s="16">
        <f t="shared" si="178"/>
        <v>-1.3528342789092358E-4</v>
      </c>
      <c r="AC395" s="16">
        <f t="shared" si="179"/>
        <v>-1.8519283056034825E-3</v>
      </c>
    </row>
    <row r="396" spans="1:29" x14ac:dyDescent="0.15">
      <c r="A396" s="8">
        <v>41479</v>
      </c>
      <c r="B396" s="4">
        <v>1685.94</v>
      </c>
      <c r="C396" s="1">
        <v>13.2684</v>
      </c>
      <c r="D396" s="1">
        <v>2.09</v>
      </c>
      <c r="E396" s="1">
        <v>0.27</v>
      </c>
      <c r="F396" s="4">
        <f t="shared" si="169"/>
        <v>0.132684</v>
      </c>
      <c r="G396" s="4">
        <f t="shared" si="170"/>
        <v>2.0899999999999998E-2</v>
      </c>
      <c r="H396" s="4">
        <f t="shared" si="171"/>
        <v>2.7000000000000001E-3</v>
      </c>
      <c r="I396" s="3">
        <f t="shared" si="172"/>
        <v>48.33895258554405</v>
      </c>
      <c r="J396" s="4">
        <f t="shared" si="159"/>
        <v>1222191.4960703205</v>
      </c>
      <c r="K396" s="1">
        <f t="shared" si="160"/>
        <v>1658.78</v>
      </c>
      <c r="L396" s="5">
        <f t="shared" si="161"/>
        <v>5.7534246575342757E-2</v>
      </c>
      <c r="M396" s="5">
        <f t="shared" si="162"/>
        <v>-0.31052173517185333</v>
      </c>
      <c r="N396" s="5">
        <f t="shared" si="163"/>
        <v>10.89508540144382</v>
      </c>
      <c r="O396" s="1">
        <f t="shared" si="164"/>
        <v>0</v>
      </c>
      <c r="P396" s="1">
        <f t="shared" si="165"/>
        <v>1658.78</v>
      </c>
      <c r="Q396" s="5">
        <f t="shared" si="166"/>
        <v>5.7534246575342757E-2</v>
      </c>
      <c r="R396" s="5">
        <f t="shared" si="167"/>
        <v>-0.31052173517185333</v>
      </c>
      <c r="S396" s="5">
        <f t="shared" si="173"/>
        <v>10.89508540144382</v>
      </c>
      <c r="T396" s="5">
        <f t="shared" si="174"/>
        <v>-715.66700899455361</v>
      </c>
      <c r="U396" s="4">
        <f t="shared" si="175"/>
        <v>1222211.2185577501</v>
      </c>
      <c r="V396" s="4">
        <f t="shared" si="168"/>
        <v>19.722805691246979</v>
      </c>
      <c r="W396" s="4">
        <f t="shared" si="176"/>
        <v>1214413.9653757585</v>
      </c>
      <c r="X396" s="4">
        <f t="shared" si="180"/>
        <v>-1472.7228723964654</v>
      </c>
      <c r="Y396" s="9">
        <f>SUM($X$6:X396)</f>
        <v>214413.96537575847</v>
      </c>
      <c r="Z396" s="16">
        <f t="shared" si="158"/>
        <v>0.21441396537575846</v>
      </c>
      <c r="AA396" s="16">
        <f t="shared" si="177"/>
        <v>0.32017289712307967</v>
      </c>
      <c r="AB396" s="16">
        <f t="shared" si="178"/>
        <v>-1.2112336508251103E-3</v>
      </c>
      <c r="AC396" s="16">
        <f t="shared" si="179"/>
        <v>-3.8111782745112207E-3</v>
      </c>
    </row>
    <row r="397" spans="1:29" x14ac:dyDescent="0.15">
      <c r="A397" s="8">
        <v>41480</v>
      </c>
      <c r="B397" s="4">
        <v>1690.25</v>
      </c>
      <c r="C397" s="1">
        <v>13.011100000000001</v>
      </c>
      <c r="D397" s="1">
        <v>2.09</v>
      </c>
      <c r="E397" s="1">
        <v>0.2697</v>
      </c>
      <c r="F397" s="4">
        <f t="shared" si="169"/>
        <v>0.130111</v>
      </c>
      <c r="G397" s="4">
        <f t="shared" si="170"/>
        <v>2.0899999999999998E-2</v>
      </c>
      <c r="H397" s="4">
        <f t="shared" si="171"/>
        <v>2.6969999999999997E-3</v>
      </c>
      <c r="I397" s="3">
        <f t="shared" si="172"/>
        <v>47.601969732265552</v>
      </c>
      <c r="J397" s="4">
        <f t="shared" si="159"/>
        <v>1222211.2185577501</v>
      </c>
      <c r="K397" s="1">
        <f t="shared" si="160"/>
        <v>1658.78</v>
      </c>
      <c r="L397" s="5">
        <f t="shared" si="161"/>
        <v>5.4794520547945494E-2</v>
      </c>
      <c r="M397" s="5">
        <f t="shared" si="162"/>
        <v>-0.27408758565178148</v>
      </c>
      <c r="N397" s="5">
        <f t="shared" si="163"/>
        <v>8.8170259910564699</v>
      </c>
      <c r="O397" s="1">
        <f t="shared" si="164"/>
        <v>0</v>
      </c>
      <c r="P397" s="1">
        <f t="shared" si="165"/>
        <v>1658.78</v>
      </c>
      <c r="Q397" s="5">
        <f t="shared" si="166"/>
        <v>5.4794520547945494E-2</v>
      </c>
      <c r="R397" s="5">
        <f t="shared" si="167"/>
        <v>-0.27408758565178148</v>
      </c>
      <c r="S397" s="5">
        <f t="shared" si="173"/>
        <v>8.8170259910564699</v>
      </c>
      <c r="T397" s="5">
        <f t="shared" si="174"/>
        <v>-715.66700899455361</v>
      </c>
      <c r="U397" s="4">
        <f t="shared" si="175"/>
        <v>1222230.9413634413</v>
      </c>
      <c r="V397" s="4">
        <f t="shared" si="168"/>
        <v>19.723123957892241</v>
      </c>
      <c r="W397" s="4">
        <f t="shared" si="176"/>
        <v>1215920.8867441947</v>
      </c>
      <c r="X397" s="4">
        <f t="shared" si="180"/>
        <v>1506.9213684361894</v>
      </c>
      <c r="Y397" s="9">
        <f>SUM($X$6:X397)</f>
        <v>215920.88674419466</v>
      </c>
      <c r="Z397" s="16">
        <f t="shared" si="158"/>
        <v>0.21592088674419466</v>
      </c>
      <c r="AA397" s="16">
        <f t="shared" si="177"/>
        <v>0.32354783643681589</v>
      </c>
      <c r="AB397" s="16">
        <f t="shared" si="178"/>
        <v>1.2408630099785822E-3</v>
      </c>
      <c r="AC397" s="16">
        <f t="shared" si="179"/>
        <v>2.5564373583875735E-3</v>
      </c>
    </row>
    <row r="398" spans="1:29" x14ac:dyDescent="0.15">
      <c r="A398" s="8">
        <v>41481</v>
      </c>
      <c r="B398" s="4">
        <v>1691.65</v>
      </c>
      <c r="C398" s="1">
        <v>12.938800000000001</v>
      </c>
      <c r="D398" s="1">
        <v>2.09</v>
      </c>
      <c r="E398" s="1">
        <v>0.27089999999999997</v>
      </c>
      <c r="F398" s="4">
        <f t="shared" si="169"/>
        <v>0.129388</v>
      </c>
      <c r="G398" s="4">
        <f t="shared" si="170"/>
        <v>2.0899999999999998E-2</v>
      </c>
      <c r="H398" s="4">
        <f t="shared" si="171"/>
        <v>2.7089999999999996E-3</v>
      </c>
      <c r="I398" s="3">
        <f t="shared" si="172"/>
        <v>47.396468805844115</v>
      </c>
      <c r="J398" s="4">
        <f t="shared" si="159"/>
        <v>1222230.9413634413</v>
      </c>
      <c r="K398" s="1">
        <f t="shared" si="160"/>
        <v>1658.78</v>
      </c>
      <c r="L398" s="5">
        <f t="shared" si="161"/>
        <v>5.2054794520548231E-2</v>
      </c>
      <c r="M398" s="5">
        <f t="shared" si="162"/>
        <v>-0.25841409428768658</v>
      </c>
      <c r="N398" s="5">
        <f t="shared" si="163"/>
        <v>7.9021001812335321</v>
      </c>
      <c r="O398" s="1">
        <f t="shared" si="164"/>
        <v>0</v>
      </c>
      <c r="P398" s="1">
        <f t="shared" si="165"/>
        <v>1658.78</v>
      </c>
      <c r="Q398" s="5">
        <f t="shared" si="166"/>
        <v>5.2054794520548231E-2</v>
      </c>
      <c r="R398" s="5">
        <f t="shared" si="167"/>
        <v>-0.25841409428768658</v>
      </c>
      <c r="S398" s="5">
        <f t="shared" si="173"/>
        <v>7.9021001812335321</v>
      </c>
      <c r="T398" s="5">
        <f t="shared" si="174"/>
        <v>-715.66700899455361</v>
      </c>
      <c r="U398" s="4">
        <f t="shared" si="175"/>
        <v>1222250.6644873992</v>
      </c>
      <c r="V398" s="4">
        <f t="shared" si="168"/>
        <v>19.72344222967337</v>
      </c>
      <c r="W398" s="4">
        <f t="shared" si="176"/>
        <v>1216595.3920859206</v>
      </c>
      <c r="X398" s="4">
        <f t="shared" si="180"/>
        <v>674.50534172588959</v>
      </c>
      <c r="Y398" s="9">
        <f>SUM($X$6:X398)</f>
        <v>216595.39208592055</v>
      </c>
      <c r="Z398" s="16">
        <f t="shared" si="158"/>
        <v>0.21659539208592055</v>
      </c>
      <c r="AA398" s="16">
        <f t="shared" si="177"/>
        <v>0.32464410442735669</v>
      </c>
      <c r="AB398" s="16">
        <f t="shared" si="178"/>
        <v>5.5472798360424252E-4</v>
      </c>
      <c r="AC398" s="16">
        <f t="shared" si="179"/>
        <v>8.2827984026037031E-4</v>
      </c>
    </row>
    <row r="399" spans="1:29" x14ac:dyDescent="0.15">
      <c r="A399" s="8">
        <v>41484</v>
      </c>
      <c r="B399" s="4">
        <v>1685.33</v>
      </c>
      <c r="C399" s="1">
        <v>13.129799999999999</v>
      </c>
      <c r="D399" s="1">
        <v>2.1</v>
      </c>
      <c r="E399" s="1">
        <v>0.27189999999999998</v>
      </c>
      <c r="F399" s="4">
        <f t="shared" si="169"/>
        <v>0.131298</v>
      </c>
      <c r="G399" s="4">
        <f t="shared" si="170"/>
        <v>2.1000000000000001E-2</v>
      </c>
      <c r="H399" s="4">
        <f t="shared" si="171"/>
        <v>2.7189999999999996E-3</v>
      </c>
      <c r="I399" s="3">
        <f t="shared" si="172"/>
        <v>47.876075648936855</v>
      </c>
      <c r="J399" s="4">
        <f t="shared" si="159"/>
        <v>1222250.6644873992</v>
      </c>
      <c r="K399" s="1">
        <f t="shared" si="160"/>
        <v>1658.78</v>
      </c>
      <c r="L399" s="5">
        <f t="shared" si="161"/>
        <v>4.3835616438356449E-2</v>
      </c>
      <c r="M399" s="5">
        <f t="shared" si="162"/>
        <v>-0.28671696337238356</v>
      </c>
      <c r="N399" s="5">
        <f t="shared" si="163"/>
        <v>8.4178674349570546</v>
      </c>
      <c r="O399" s="1">
        <f t="shared" si="164"/>
        <v>0</v>
      </c>
      <c r="P399" s="1">
        <f t="shared" si="165"/>
        <v>1658.78</v>
      </c>
      <c r="Q399" s="5">
        <f t="shared" si="166"/>
        <v>4.3835616438356449E-2</v>
      </c>
      <c r="R399" s="5">
        <f t="shared" si="167"/>
        <v>-0.28671696337238356</v>
      </c>
      <c r="S399" s="5">
        <f t="shared" si="173"/>
        <v>8.4178674349570546</v>
      </c>
      <c r="T399" s="5">
        <f t="shared" si="174"/>
        <v>-715.66700899455361</v>
      </c>
      <c r="U399" s="4">
        <f t="shared" si="175"/>
        <v>1222270.3879296288</v>
      </c>
      <c r="V399" s="4">
        <f t="shared" si="168"/>
        <v>59.171281519771334</v>
      </c>
      <c r="W399" s="4">
        <f t="shared" si="176"/>
        <v>1216245.9979203404</v>
      </c>
      <c r="X399" s="4">
        <f t="shared" si="180"/>
        <v>-349.39416558016092</v>
      </c>
      <c r="Y399" s="9">
        <f>SUM($X$6:X399)</f>
        <v>216245.99792034039</v>
      </c>
      <c r="Z399" s="16">
        <f t="shared" si="158"/>
        <v>0.21624599792034038</v>
      </c>
      <c r="AA399" s="16">
        <f t="shared" si="177"/>
        <v>0.31969523749862966</v>
      </c>
      <c r="AB399" s="16">
        <f t="shared" si="178"/>
        <v>-2.8719011090540557E-4</v>
      </c>
      <c r="AC399" s="16">
        <f t="shared" si="179"/>
        <v>-3.7359973989892492E-3</v>
      </c>
    </row>
    <row r="400" spans="1:29" x14ac:dyDescent="0.15">
      <c r="A400" s="8">
        <v>41485</v>
      </c>
      <c r="B400" s="4">
        <v>1685.96</v>
      </c>
      <c r="C400" s="1">
        <v>13.016</v>
      </c>
      <c r="D400" s="1">
        <v>2.09</v>
      </c>
      <c r="E400" s="1">
        <v>0.27089999999999997</v>
      </c>
      <c r="F400" s="4">
        <f t="shared" si="169"/>
        <v>0.13016</v>
      </c>
      <c r="G400" s="4">
        <f t="shared" si="170"/>
        <v>2.0899999999999998E-2</v>
      </c>
      <c r="H400" s="4">
        <f t="shared" si="171"/>
        <v>2.7089999999999996E-3</v>
      </c>
      <c r="I400" s="3">
        <f t="shared" si="172"/>
        <v>47.494785347554156</v>
      </c>
      <c r="J400" s="4">
        <f t="shared" si="159"/>
        <v>1222270.3879296288</v>
      </c>
      <c r="K400" s="1">
        <f t="shared" si="160"/>
        <v>1658.78</v>
      </c>
      <c r="L400" s="5">
        <f t="shared" si="161"/>
        <v>4.1095890410959186E-2</v>
      </c>
      <c r="M400" s="5">
        <f t="shared" si="162"/>
        <v>-0.27374560494548222</v>
      </c>
      <c r="N400" s="5">
        <f t="shared" si="163"/>
        <v>7.5897165750418099</v>
      </c>
      <c r="O400" s="1">
        <f t="shared" si="164"/>
        <v>0</v>
      </c>
      <c r="P400" s="1">
        <f t="shared" si="165"/>
        <v>1658.78</v>
      </c>
      <c r="Q400" s="5">
        <f t="shared" si="166"/>
        <v>4.1095890410959186E-2</v>
      </c>
      <c r="R400" s="5">
        <f t="shared" si="167"/>
        <v>-0.27374560494548222</v>
      </c>
      <c r="S400" s="5">
        <f t="shared" si="173"/>
        <v>7.5897165750418099</v>
      </c>
      <c r="T400" s="5">
        <f t="shared" si="174"/>
        <v>-715.66700899455361</v>
      </c>
      <c r="U400" s="4">
        <f t="shared" si="175"/>
        <v>1222329.5592111486</v>
      </c>
      <c r="V400" s="4">
        <f t="shared" si="168"/>
        <v>19.724715352749765</v>
      </c>
      <c r="W400" s="4">
        <f t="shared" si="176"/>
        <v>1216897.8494507722</v>
      </c>
      <c r="X400" s="4">
        <f t="shared" si="180"/>
        <v>651.85153043176979</v>
      </c>
      <c r="Y400" s="9">
        <f>SUM($X$6:X400)</f>
        <v>216897.84945077216</v>
      </c>
      <c r="Z400" s="16">
        <f t="shared" si="158"/>
        <v>0.21689784945077217</v>
      </c>
      <c r="AA400" s="16">
        <f t="shared" si="177"/>
        <v>0.32018855809437308</v>
      </c>
      <c r="AB400" s="16">
        <f t="shared" si="178"/>
        <v>5.3595368991665423E-4</v>
      </c>
      <c r="AC400" s="16">
        <f t="shared" si="179"/>
        <v>3.7381403048667572E-4</v>
      </c>
    </row>
    <row r="401" spans="1:29" x14ac:dyDescent="0.15">
      <c r="A401" s="8">
        <v>41486</v>
      </c>
      <c r="B401" s="4">
        <v>1685.73</v>
      </c>
      <c r="C401" s="1">
        <v>12.7379</v>
      </c>
      <c r="D401" s="1">
        <v>2.09</v>
      </c>
      <c r="E401" s="1">
        <v>0.27139999999999997</v>
      </c>
      <c r="F401" s="4">
        <f t="shared" si="169"/>
        <v>0.12737899999999999</v>
      </c>
      <c r="G401" s="4">
        <f t="shared" si="170"/>
        <v>2.0899999999999998E-2</v>
      </c>
      <c r="H401" s="4">
        <f t="shared" si="171"/>
        <v>2.7139999999999998E-3</v>
      </c>
      <c r="I401" s="3">
        <f t="shared" si="172"/>
        <v>46.558865877873096</v>
      </c>
      <c r="J401" s="4">
        <f t="shared" si="159"/>
        <v>1222329.5592111486</v>
      </c>
      <c r="K401" s="1">
        <f t="shared" si="160"/>
        <v>1658.78</v>
      </c>
      <c r="L401" s="5">
        <f t="shared" si="161"/>
        <v>3.8356164383561923E-2</v>
      </c>
      <c r="M401" s="5">
        <f t="shared" si="162"/>
        <v>-0.26395947013004484</v>
      </c>
      <c r="N401" s="5">
        <f t="shared" si="163"/>
        <v>6.8285699051612863</v>
      </c>
      <c r="O401" s="1">
        <f t="shared" si="164"/>
        <v>0</v>
      </c>
      <c r="P401" s="1">
        <f t="shared" si="165"/>
        <v>1658.78</v>
      </c>
      <c r="Q401" s="5">
        <f t="shared" si="166"/>
        <v>3.8356164383561923E-2</v>
      </c>
      <c r="R401" s="5">
        <f t="shared" si="167"/>
        <v>-0.26395947013004484</v>
      </c>
      <c r="S401" s="5">
        <f t="shared" si="173"/>
        <v>6.8285699051612863</v>
      </c>
      <c r="T401" s="5">
        <f t="shared" si="174"/>
        <v>-715.66700899455361</v>
      </c>
      <c r="U401" s="4">
        <f t="shared" si="175"/>
        <v>1222349.2839265014</v>
      </c>
      <c r="V401" s="4">
        <f t="shared" si="168"/>
        <v>19.725033650211213</v>
      </c>
      <c r="W401" s="4">
        <f t="shared" si="176"/>
        <v>1217462.3017267643</v>
      </c>
      <c r="X401" s="4">
        <f t="shared" si="180"/>
        <v>564.45227599213831</v>
      </c>
      <c r="Y401" s="9">
        <f>SUM($X$6:X401)</f>
        <v>217462.3017267643</v>
      </c>
      <c r="Z401" s="16">
        <f t="shared" si="158"/>
        <v>0.21746230172676431</v>
      </c>
      <c r="AA401" s="16">
        <f t="shared" si="177"/>
        <v>0.32000845692449853</v>
      </c>
      <c r="AB401" s="16">
        <f t="shared" si="178"/>
        <v>4.6384524078738E-4</v>
      </c>
      <c r="AC401" s="16">
        <f t="shared" si="179"/>
        <v>-1.3642079290138449E-4</v>
      </c>
    </row>
    <row r="402" spans="1:29" x14ac:dyDescent="0.15">
      <c r="A402" s="8">
        <v>41487</v>
      </c>
      <c r="B402" s="4">
        <v>1706.87</v>
      </c>
      <c r="C402" s="1">
        <v>12.616899999999999</v>
      </c>
      <c r="D402" s="1">
        <v>2.0699999999999998</v>
      </c>
      <c r="E402" s="1">
        <v>0.27150000000000002</v>
      </c>
      <c r="F402" s="4">
        <f t="shared" si="169"/>
        <v>0.126169</v>
      </c>
      <c r="G402" s="4">
        <f t="shared" si="170"/>
        <v>2.07E-2</v>
      </c>
      <c r="H402" s="4">
        <f t="shared" si="171"/>
        <v>2.7150000000000004E-3</v>
      </c>
      <c r="I402" s="3">
        <f t="shared" si="172"/>
        <v>46.689881600422446</v>
      </c>
      <c r="J402" s="4">
        <f t="shared" si="159"/>
        <v>1222349.2839265014</v>
      </c>
      <c r="K402" s="1">
        <f t="shared" si="160"/>
        <v>1658.78</v>
      </c>
      <c r="L402" s="5">
        <f t="shared" si="161"/>
        <v>3.5616438356164661E-2</v>
      </c>
      <c r="M402" s="5">
        <f t="shared" si="162"/>
        <v>-0.1178739758975418</v>
      </c>
      <c r="N402" s="5">
        <f t="shared" si="163"/>
        <v>2.3724046170520587</v>
      </c>
      <c r="O402" s="1">
        <f t="shared" si="164"/>
        <v>0</v>
      </c>
      <c r="P402" s="1">
        <f t="shared" si="165"/>
        <v>1658.78</v>
      </c>
      <c r="Q402" s="5">
        <f t="shared" si="166"/>
        <v>3.5616438356164661E-2</v>
      </c>
      <c r="R402" s="5">
        <f t="shared" si="167"/>
        <v>-0.1178739758975418</v>
      </c>
      <c r="S402" s="5">
        <f t="shared" si="173"/>
        <v>2.3724046170520587</v>
      </c>
      <c r="T402" s="5">
        <f t="shared" si="174"/>
        <v>-715.66700899455361</v>
      </c>
      <c r="U402" s="4">
        <f t="shared" si="175"/>
        <v>1222369.0089601516</v>
      </c>
      <c r="V402" s="4">
        <f t="shared" si="168"/>
        <v>19.725351952809021</v>
      </c>
      <c r="W402" s="4">
        <f t="shared" si="176"/>
        <v>1220671.157243741</v>
      </c>
      <c r="X402" s="4">
        <f t="shared" si="180"/>
        <v>3208.8555169766769</v>
      </c>
      <c r="Y402" s="9">
        <f>SUM($X$6:X402)</f>
        <v>220671.15724374098</v>
      </c>
      <c r="Z402" s="16">
        <f t="shared" ref="Z402:Z465" si="181">Y402/$H$3</f>
        <v>0.22067115724374098</v>
      </c>
      <c r="AA402" s="16">
        <f t="shared" si="177"/>
        <v>0.33656210358166411</v>
      </c>
      <c r="AB402" s="16">
        <f t="shared" si="178"/>
        <v>2.6356918915891345E-3</v>
      </c>
      <c r="AC402" s="16">
        <f t="shared" si="179"/>
        <v>1.2540561062566289E-2</v>
      </c>
    </row>
    <row r="403" spans="1:29" x14ac:dyDescent="0.15">
      <c r="A403" s="8">
        <v>41488</v>
      </c>
      <c r="B403" s="4">
        <v>1709.67</v>
      </c>
      <c r="C403" s="1">
        <v>12.335599999999999</v>
      </c>
      <c r="D403" s="1">
        <v>2.0699999999999998</v>
      </c>
      <c r="E403" s="1">
        <v>0.27250000000000002</v>
      </c>
      <c r="F403" s="4">
        <f t="shared" si="169"/>
        <v>0.12335599999999999</v>
      </c>
      <c r="G403" s="4">
        <f t="shared" si="170"/>
        <v>2.07E-2</v>
      </c>
      <c r="H403" s="4">
        <f t="shared" si="171"/>
        <v>2.725E-3</v>
      </c>
      <c r="I403" s="3">
        <f t="shared" si="172"/>
        <v>45.811891499293488</v>
      </c>
      <c r="J403" s="4">
        <f t="shared" si="159"/>
        <v>1222369.0089601516</v>
      </c>
      <c r="K403" s="1">
        <f t="shared" si="160"/>
        <v>1658.78</v>
      </c>
      <c r="L403" s="5">
        <f t="shared" si="161"/>
        <v>3.2876712328767398E-2</v>
      </c>
      <c r="M403" s="5">
        <f t="shared" si="162"/>
        <v>-9.0748894110919714E-2</v>
      </c>
      <c r="N403" s="5">
        <f t="shared" si="163"/>
        <v>1.6264318621570604</v>
      </c>
      <c r="O403" s="1">
        <f t="shared" si="164"/>
        <v>0</v>
      </c>
      <c r="P403" s="1">
        <f t="shared" si="165"/>
        <v>1658.78</v>
      </c>
      <c r="Q403" s="5">
        <f t="shared" si="166"/>
        <v>3.2876712328767398E-2</v>
      </c>
      <c r="R403" s="5">
        <f t="shared" si="167"/>
        <v>-9.0748894110919714E-2</v>
      </c>
      <c r="S403" s="5">
        <f t="shared" si="173"/>
        <v>1.6264318621570604</v>
      </c>
      <c r="T403" s="5">
        <f t="shared" si="174"/>
        <v>-715.66700899455361</v>
      </c>
      <c r="U403" s="4">
        <f t="shared" si="175"/>
        <v>1222388.7343121043</v>
      </c>
      <c r="V403" s="4">
        <f t="shared" si="168"/>
        <v>19.725670260543268</v>
      </c>
      <c r="W403" s="4">
        <f t="shared" si="176"/>
        <v>1221224.750685981</v>
      </c>
      <c r="X403" s="4">
        <f t="shared" si="180"/>
        <v>553.59344224003144</v>
      </c>
      <c r="Y403" s="9">
        <f>SUM($X$6:X403)</f>
        <v>221224.75068598101</v>
      </c>
      <c r="Z403" s="16">
        <f t="shared" si="181"/>
        <v>0.22122475068598102</v>
      </c>
      <c r="AA403" s="16">
        <f t="shared" si="177"/>
        <v>0.33875463956274582</v>
      </c>
      <c r="AB403" s="16">
        <f t="shared" si="178"/>
        <v>4.5351562454382717E-4</v>
      </c>
      <c r="AC403" s="16">
        <f t="shared" si="179"/>
        <v>1.6404295581972745E-3</v>
      </c>
    </row>
    <row r="404" spans="1:29" x14ac:dyDescent="0.15">
      <c r="A404" s="8">
        <v>41491</v>
      </c>
      <c r="B404" s="4">
        <v>1707.14</v>
      </c>
      <c r="C404" s="1">
        <v>12.1243</v>
      </c>
      <c r="D404" s="1">
        <v>2.0699999999999998</v>
      </c>
      <c r="E404" s="1">
        <v>0.27129999999999999</v>
      </c>
      <c r="F404" s="4">
        <f t="shared" si="169"/>
        <v>0.121243</v>
      </c>
      <c r="G404" s="4">
        <f t="shared" si="170"/>
        <v>2.07E-2</v>
      </c>
      <c r="H404" s="4">
        <f t="shared" si="171"/>
        <v>2.7129999999999997E-3</v>
      </c>
      <c r="I404" s="3">
        <f t="shared" si="172"/>
        <v>45.03267387147455</v>
      </c>
      <c r="J404" s="4">
        <f t="shared" si="159"/>
        <v>1222388.7343121043</v>
      </c>
      <c r="K404" s="1">
        <f t="shared" si="160"/>
        <v>1658.78</v>
      </c>
      <c r="L404" s="5">
        <f t="shared" si="161"/>
        <v>2.4657534246575616E-2</v>
      </c>
      <c r="M404" s="5">
        <f t="shared" si="162"/>
        <v>-6.7338559321630104E-2</v>
      </c>
      <c r="N404" s="5">
        <f t="shared" si="163"/>
        <v>0.96870420065064577</v>
      </c>
      <c r="O404" s="1">
        <f t="shared" si="164"/>
        <v>0</v>
      </c>
      <c r="P404" s="1">
        <f t="shared" si="165"/>
        <v>1658.78</v>
      </c>
      <c r="Q404" s="5">
        <f t="shared" si="166"/>
        <v>2.4657534246575616E-2</v>
      </c>
      <c r="R404" s="5">
        <f t="shared" si="167"/>
        <v>-6.7338559321630104E-2</v>
      </c>
      <c r="S404" s="5">
        <f t="shared" si="173"/>
        <v>0.96870420065064577</v>
      </c>
      <c r="T404" s="5">
        <f t="shared" si="174"/>
        <v>-715.66700899455361</v>
      </c>
      <c r="U404" s="4">
        <f t="shared" si="175"/>
        <v>1222408.4599823649</v>
      </c>
      <c r="V404" s="4">
        <f t="shared" si="168"/>
        <v>59.177965720242156</v>
      </c>
      <c r="W404" s="4">
        <f t="shared" si="176"/>
        <v>1221715.1903444848</v>
      </c>
      <c r="X404" s="4">
        <f t="shared" si="180"/>
        <v>490.43965850374661</v>
      </c>
      <c r="Y404" s="9">
        <f>SUM($X$6:X404)</f>
        <v>221715.19034448476</v>
      </c>
      <c r="Z404" s="16">
        <f t="shared" si="181"/>
        <v>0.22171519034448475</v>
      </c>
      <c r="AA404" s="16">
        <f t="shared" si="177"/>
        <v>0.33677352669412569</v>
      </c>
      <c r="AB404" s="16">
        <f t="shared" si="178"/>
        <v>4.0159655970635954E-4</v>
      </c>
      <c r="AC404" s="16">
        <f t="shared" si="179"/>
        <v>-1.479817742605282E-3</v>
      </c>
    </row>
    <row r="405" spans="1:29" x14ac:dyDescent="0.15">
      <c r="A405" s="8">
        <v>41492</v>
      </c>
      <c r="B405" s="4">
        <v>1697.37</v>
      </c>
      <c r="C405" s="1">
        <v>12.7027</v>
      </c>
      <c r="D405" s="1">
        <v>2.08</v>
      </c>
      <c r="E405" s="1">
        <v>0.27229999999999999</v>
      </c>
      <c r="F405" s="4">
        <f t="shared" si="169"/>
        <v>0.127027</v>
      </c>
      <c r="G405" s="4">
        <f t="shared" si="170"/>
        <v>2.0799999999999999E-2</v>
      </c>
      <c r="H405" s="4">
        <f t="shared" si="171"/>
        <v>2.7229999999999997E-3</v>
      </c>
      <c r="I405" s="3">
        <f t="shared" si="172"/>
        <v>46.738279171483939</v>
      </c>
      <c r="J405" s="4">
        <f t="shared" si="159"/>
        <v>1222408.4599823649</v>
      </c>
      <c r="K405" s="1">
        <f t="shared" si="160"/>
        <v>1658.78</v>
      </c>
      <c r="L405" s="5">
        <f t="shared" si="161"/>
        <v>2.1917808219178356E-2</v>
      </c>
      <c r="M405" s="5">
        <f t="shared" si="162"/>
        <v>-0.11285289133123538</v>
      </c>
      <c r="N405" s="5">
        <f t="shared" si="163"/>
        <v>1.7632322850482054</v>
      </c>
      <c r="O405" s="1">
        <f t="shared" si="164"/>
        <v>0</v>
      </c>
      <c r="P405" s="1">
        <f t="shared" si="165"/>
        <v>1658.78</v>
      </c>
      <c r="Q405" s="5">
        <f t="shared" si="166"/>
        <v>2.1917808219178356E-2</v>
      </c>
      <c r="R405" s="5">
        <f t="shared" si="167"/>
        <v>-0.11285289133123538</v>
      </c>
      <c r="S405" s="5">
        <f t="shared" si="173"/>
        <v>1.7632322850482054</v>
      </c>
      <c r="T405" s="5">
        <f t="shared" si="174"/>
        <v>-715.66700899455361</v>
      </c>
      <c r="U405" s="4">
        <f t="shared" si="175"/>
        <v>1222467.6379480851</v>
      </c>
      <c r="V405" s="4">
        <f t="shared" si="168"/>
        <v>19.726943527436219</v>
      </c>
      <c r="W405" s="4">
        <f t="shared" si="176"/>
        <v>1221205.750772482</v>
      </c>
      <c r="X405" s="4">
        <f t="shared" si="180"/>
        <v>-509.43957200273871</v>
      </c>
      <c r="Y405" s="9">
        <f>SUM($X$6:X405)</f>
        <v>221205.75077248202</v>
      </c>
      <c r="Z405" s="16">
        <f t="shared" si="181"/>
        <v>0.22120575077248203</v>
      </c>
      <c r="AA405" s="16">
        <f t="shared" si="177"/>
        <v>0.32912314221728028</v>
      </c>
      <c r="AB405" s="16">
        <f t="shared" si="178"/>
        <v>-4.1698718001459325E-4</v>
      </c>
      <c r="AC405" s="16">
        <f t="shared" si="179"/>
        <v>-5.723022130581094E-3</v>
      </c>
    </row>
    <row r="406" spans="1:29" x14ac:dyDescent="0.15">
      <c r="A406" s="8">
        <v>41493</v>
      </c>
      <c r="B406" s="4">
        <v>1690.91</v>
      </c>
      <c r="C406" s="1">
        <v>12.8575</v>
      </c>
      <c r="D406" s="1">
        <v>2.09</v>
      </c>
      <c r="E406" s="1">
        <v>0.27210000000000001</v>
      </c>
      <c r="F406" s="4">
        <f t="shared" si="169"/>
        <v>0.12857499999999999</v>
      </c>
      <c r="G406" s="4">
        <f t="shared" si="170"/>
        <v>2.0899999999999998E-2</v>
      </c>
      <c r="H406" s="4">
        <f t="shared" si="171"/>
        <v>2.7209999999999999E-3</v>
      </c>
      <c r="I406" s="3">
        <f t="shared" si="172"/>
        <v>47.10078409460899</v>
      </c>
      <c r="J406" s="4">
        <f t="shared" si="159"/>
        <v>1222467.6379480851</v>
      </c>
      <c r="K406" s="1">
        <f t="shared" si="160"/>
        <v>1658.78</v>
      </c>
      <c r="L406" s="5">
        <f t="shared" si="161"/>
        <v>1.9178082191781097E-2</v>
      </c>
      <c r="M406" s="5">
        <f t="shared" si="162"/>
        <v>-0.14298374438052053</v>
      </c>
      <c r="N406" s="5">
        <f t="shared" si="163"/>
        <v>2.2220727322763349</v>
      </c>
      <c r="O406" s="1">
        <f t="shared" si="164"/>
        <v>0</v>
      </c>
      <c r="P406" s="1">
        <f t="shared" si="165"/>
        <v>1658.78</v>
      </c>
      <c r="Q406" s="5">
        <f t="shared" si="166"/>
        <v>1.9178082191781097E-2</v>
      </c>
      <c r="R406" s="5">
        <f t="shared" si="167"/>
        <v>-0.14298374438052053</v>
      </c>
      <c r="S406" s="5">
        <f t="shared" si="173"/>
        <v>2.2220727322763349</v>
      </c>
      <c r="T406" s="5">
        <f t="shared" si="174"/>
        <v>-715.66700899455361</v>
      </c>
      <c r="U406" s="4">
        <f t="shared" si="175"/>
        <v>1222487.3648916124</v>
      </c>
      <c r="V406" s="4">
        <f t="shared" si="168"/>
        <v>19.727261860853691</v>
      </c>
      <c r="W406" s="4">
        <f t="shared" si="176"/>
        <v>1220897.1007455359</v>
      </c>
      <c r="X406" s="4">
        <f t="shared" si="180"/>
        <v>-308.65002694609575</v>
      </c>
      <c r="Y406" s="9">
        <f>SUM($X$6:X406)</f>
        <v>220897.10074553592</v>
      </c>
      <c r="Z406" s="16">
        <f t="shared" si="181"/>
        <v>0.22089710074553592</v>
      </c>
      <c r="AA406" s="16">
        <f t="shared" si="177"/>
        <v>0.32406464848949945</v>
      </c>
      <c r="AB406" s="16">
        <f t="shared" si="178"/>
        <v>-2.5274203528017871E-4</v>
      </c>
      <c r="AC406" s="16">
        <f t="shared" si="179"/>
        <v>-3.8058879325072372E-3</v>
      </c>
    </row>
    <row r="407" spans="1:29" x14ac:dyDescent="0.15">
      <c r="A407" s="8">
        <v>41494</v>
      </c>
      <c r="B407" s="4">
        <v>1697.48</v>
      </c>
      <c r="C407" s="1">
        <v>12.7227</v>
      </c>
      <c r="D407" s="1">
        <v>2.08</v>
      </c>
      <c r="E407" s="1">
        <v>0.27060000000000001</v>
      </c>
      <c r="F407" s="4">
        <f t="shared" si="169"/>
        <v>0.12722700000000001</v>
      </c>
      <c r="G407" s="4">
        <f t="shared" si="170"/>
        <v>2.0799999999999999E-2</v>
      </c>
      <c r="H407" s="4">
        <f t="shared" si="171"/>
        <v>2.7060000000000001E-3</v>
      </c>
      <c r="I407" s="3">
        <f t="shared" si="172"/>
        <v>46.812422299218973</v>
      </c>
      <c r="J407" s="4">
        <f t="shared" si="159"/>
        <v>1222487.3648916124</v>
      </c>
      <c r="K407" s="1">
        <f t="shared" si="160"/>
        <v>1658.78</v>
      </c>
      <c r="L407" s="5">
        <f t="shared" si="161"/>
        <v>1.6438356164383838E-2</v>
      </c>
      <c r="M407" s="5">
        <f t="shared" si="162"/>
        <v>-8.0169466282837845E-2</v>
      </c>
      <c r="N407" s="5">
        <f t="shared" si="163"/>
        <v>1.0132403735375828</v>
      </c>
      <c r="O407" s="1">
        <f t="shared" si="164"/>
        <v>0</v>
      </c>
      <c r="P407" s="1">
        <f t="shared" si="165"/>
        <v>1658.78</v>
      </c>
      <c r="Q407" s="5">
        <f t="shared" si="166"/>
        <v>1.6438356164383838E-2</v>
      </c>
      <c r="R407" s="5">
        <f t="shared" si="167"/>
        <v>-8.0169466282837845E-2</v>
      </c>
      <c r="S407" s="5">
        <f t="shared" si="173"/>
        <v>1.0132403735375828</v>
      </c>
      <c r="T407" s="5">
        <f t="shared" si="174"/>
        <v>-715.66700899455361</v>
      </c>
      <c r="U407" s="4">
        <f t="shared" si="175"/>
        <v>1222507.0921534733</v>
      </c>
      <c r="V407" s="4">
        <f t="shared" si="168"/>
        <v>19.727580199408102</v>
      </c>
      <c r="W407" s="4">
        <f t="shared" si="176"/>
        <v>1221781.949445951</v>
      </c>
      <c r="X407" s="4">
        <f t="shared" si="180"/>
        <v>884.84870041511022</v>
      </c>
      <c r="Y407" s="9">
        <f>SUM($X$6:X407)</f>
        <v>221781.94944595103</v>
      </c>
      <c r="Z407" s="16">
        <f t="shared" si="181"/>
        <v>0.22178194944595103</v>
      </c>
      <c r="AA407" s="16">
        <f t="shared" si="177"/>
        <v>0.32920927755939433</v>
      </c>
      <c r="AB407" s="16">
        <f t="shared" si="178"/>
        <v>7.2475288857249385E-4</v>
      </c>
      <c r="AC407" s="16">
        <f t="shared" si="179"/>
        <v>3.8854817819990043E-3</v>
      </c>
    </row>
    <row r="408" spans="1:29" x14ac:dyDescent="0.15">
      <c r="A408" s="8">
        <v>41495</v>
      </c>
      <c r="B408" s="4">
        <v>1691.42</v>
      </c>
      <c r="C408" s="1">
        <v>12.9716</v>
      </c>
      <c r="D408" s="1">
        <v>2.09</v>
      </c>
      <c r="E408" s="1">
        <v>0.27060000000000001</v>
      </c>
      <c r="F408" s="4">
        <f t="shared" si="169"/>
        <v>0.129716</v>
      </c>
      <c r="G408" s="4">
        <f t="shared" si="170"/>
        <v>2.0899999999999998E-2</v>
      </c>
      <c r="H408" s="4">
        <f t="shared" si="171"/>
        <v>2.7060000000000001E-3</v>
      </c>
      <c r="I408" s="3">
        <f t="shared" si="172"/>
        <v>47.500567695808222</v>
      </c>
      <c r="J408" s="4">
        <f t="shared" si="159"/>
        <v>1222507.0921534733</v>
      </c>
      <c r="K408" s="1">
        <f t="shared" si="160"/>
        <v>1658.78</v>
      </c>
      <c r="L408" s="5">
        <f t="shared" si="161"/>
        <v>1.3698630136986578E-2</v>
      </c>
      <c r="M408" s="5">
        <f t="shared" si="162"/>
        <v>-0.10118573674384554</v>
      </c>
      <c r="N408" s="5">
        <f t="shared" si="163"/>
        <v>1.2410274213072161</v>
      </c>
      <c r="O408" s="1">
        <f t="shared" si="164"/>
        <v>0</v>
      </c>
      <c r="P408" s="1">
        <f t="shared" si="165"/>
        <v>1658.78</v>
      </c>
      <c r="Q408" s="5">
        <f t="shared" si="166"/>
        <v>1.3698630136986578E-2</v>
      </c>
      <c r="R408" s="5">
        <f t="shared" si="167"/>
        <v>-0.10118573674384554</v>
      </c>
      <c r="S408" s="5">
        <f t="shared" si="173"/>
        <v>1.2410274213072161</v>
      </c>
      <c r="T408" s="5">
        <f t="shared" si="174"/>
        <v>-715.66700899455361</v>
      </c>
      <c r="U408" s="4">
        <f t="shared" si="175"/>
        <v>1222526.8197336728</v>
      </c>
      <c r="V408" s="4">
        <f t="shared" si="168"/>
        <v>19.727898543099538</v>
      </c>
      <c r="W408" s="4">
        <f t="shared" si="176"/>
        <v>1221638.6573509856</v>
      </c>
      <c r="X408" s="4">
        <f t="shared" si="180"/>
        <v>-143.29209496546537</v>
      </c>
      <c r="Y408" s="9">
        <f>SUM($X$6:X408)</f>
        <v>221638.65735098557</v>
      </c>
      <c r="Z408" s="16">
        <f t="shared" si="181"/>
        <v>0.22163865735098556</v>
      </c>
      <c r="AA408" s="16">
        <f t="shared" si="177"/>
        <v>0.32446400325748215</v>
      </c>
      <c r="AB408" s="16">
        <f t="shared" si="178"/>
        <v>-1.1728123420913602E-4</v>
      </c>
      <c r="AC408" s="16">
        <f t="shared" si="179"/>
        <v>-3.5699978792091483E-3</v>
      </c>
    </row>
    <row r="409" spans="1:29" x14ac:dyDescent="0.15">
      <c r="A409" s="8">
        <v>41498</v>
      </c>
      <c r="B409" s="4">
        <v>1689.47</v>
      </c>
      <c r="C409" s="1">
        <v>13.349399999999999</v>
      </c>
      <c r="D409" s="1">
        <v>2.09</v>
      </c>
      <c r="E409" s="1">
        <v>0.27060000000000001</v>
      </c>
      <c r="F409" s="4">
        <f t="shared" si="169"/>
        <v>0.133494</v>
      </c>
      <c r="G409" s="4">
        <f t="shared" si="170"/>
        <v>2.0899999999999998E-2</v>
      </c>
      <c r="H409" s="4">
        <f t="shared" si="171"/>
        <v>2.7060000000000001E-3</v>
      </c>
      <c r="I409" s="3">
        <f t="shared" si="172"/>
        <v>48.70981224499328</v>
      </c>
      <c r="J409" s="4">
        <f t="shared" si="159"/>
        <v>1222526.8197336728</v>
      </c>
      <c r="K409" s="1">
        <f t="shared" si="160"/>
        <v>1658.78</v>
      </c>
      <c r="L409" s="5">
        <f t="shared" si="161"/>
        <v>5.4794520547947981E-3</v>
      </c>
      <c r="M409" s="5">
        <f t="shared" si="162"/>
        <v>-3.2149298100948236E-2</v>
      </c>
      <c r="N409" s="5">
        <f t="shared" si="163"/>
        <v>0.21061769598504573</v>
      </c>
      <c r="O409" s="1">
        <f t="shared" si="164"/>
        <v>1</v>
      </c>
      <c r="P409" s="1">
        <f t="shared" si="165"/>
        <v>1689.47</v>
      </c>
      <c r="Q409" s="5">
        <f t="shared" si="166"/>
        <v>0.24931506849315069</v>
      </c>
      <c r="R409" s="5">
        <f t="shared" si="167"/>
        <v>-0.51117962823304874</v>
      </c>
      <c r="S409" s="5">
        <f t="shared" si="173"/>
        <v>48.70981224499328</v>
      </c>
      <c r="T409" s="5">
        <f t="shared" si="174"/>
        <v>-723.52636483462027</v>
      </c>
      <c r="U409" s="4">
        <f t="shared" si="175"/>
        <v>1257638.6488810859</v>
      </c>
      <c r="V409" s="4">
        <f t="shared" si="168"/>
        <v>60.88349294720215</v>
      </c>
      <c r="W409" s="4">
        <f t="shared" si="176"/>
        <v>1222395.8154956889</v>
      </c>
      <c r="X409" s="4">
        <f t="shared" si="180"/>
        <v>757.15814470336773</v>
      </c>
      <c r="Y409" s="9">
        <f>SUM($X$6:X409)</f>
        <v>222395.81549568893</v>
      </c>
      <c r="Z409" s="16">
        <f t="shared" si="181"/>
        <v>0.22239581549568893</v>
      </c>
      <c r="AA409" s="16">
        <f t="shared" si="177"/>
        <v>0.32293705855637173</v>
      </c>
      <c r="AB409" s="16">
        <f t="shared" si="178"/>
        <v>6.1978895326151315E-4</v>
      </c>
      <c r="AC409" s="16">
        <f t="shared" si="179"/>
        <v>-1.1528774639060939E-3</v>
      </c>
    </row>
    <row r="410" spans="1:29" x14ac:dyDescent="0.15">
      <c r="A410" s="8">
        <v>41499</v>
      </c>
      <c r="B410" s="4">
        <v>1694.16</v>
      </c>
      <c r="C410" s="1">
        <v>12.9436</v>
      </c>
      <c r="D410" s="1">
        <v>2.09</v>
      </c>
      <c r="E410" s="1">
        <v>0.27010000000000001</v>
      </c>
      <c r="F410" s="4">
        <f t="shared" si="169"/>
        <v>0.129436</v>
      </c>
      <c r="G410" s="4">
        <f t="shared" si="170"/>
        <v>2.0899999999999998E-2</v>
      </c>
      <c r="H410" s="4">
        <f t="shared" si="171"/>
        <v>2.7010000000000003E-3</v>
      </c>
      <c r="I410" s="3">
        <f t="shared" si="172"/>
        <v>47.484722892570616</v>
      </c>
      <c r="J410" s="4">
        <f t="shared" si="159"/>
        <v>1257638.6488810859</v>
      </c>
      <c r="K410" s="1">
        <f t="shared" si="160"/>
        <v>1689.47</v>
      </c>
      <c r="L410" s="5">
        <f t="shared" si="161"/>
        <v>0.24657534246575344</v>
      </c>
      <c r="M410" s="5">
        <f t="shared" si="162"/>
        <v>-0.49526698510385331</v>
      </c>
      <c r="N410" s="5">
        <f t="shared" si="163"/>
        <v>44.708940145137632</v>
      </c>
      <c r="O410" s="1">
        <f t="shared" si="164"/>
        <v>0</v>
      </c>
      <c r="P410" s="1">
        <f t="shared" si="165"/>
        <v>1689.47</v>
      </c>
      <c r="Q410" s="5">
        <f t="shared" si="166"/>
        <v>0.24657534246575344</v>
      </c>
      <c r="R410" s="5">
        <f t="shared" si="167"/>
        <v>-0.49526698510385331</v>
      </c>
      <c r="S410" s="5">
        <f t="shared" si="173"/>
        <v>44.708940145137632</v>
      </c>
      <c r="T410" s="5">
        <f t="shared" si="174"/>
        <v>-723.52636483462027</v>
      </c>
      <c r="U410" s="4">
        <f t="shared" si="175"/>
        <v>1257699.532374033</v>
      </c>
      <c r="V410" s="4">
        <f t="shared" si="168"/>
        <v>20.295480125159052</v>
      </c>
      <c r="W410" s="4">
        <f t="shared" si="176"/>
        <v>1225351.4354352129</v>
      </c>
      <c r="X410" s="4">
        <f t="shared" si="180"/>
        <v>2955.6199395239819</v>
      </c>
      <c r="Y410" s="9">
        <f>SUM($X$6:X410)</f>
        <v>225351.43543521292</v>
      </c>
      <c r="Z410" s="16">
        <f t="shared" si="181"/>
        <v>0.22535143543521291</v>
      </c>
      <c r="AA410" s="16">
        <f t="shared" si="177"/>
        <v>0.32660955632468336</v>
      </c>
      <c r="AB410" s="16">
        <f t="shared" si="178"/>
        <v>2.4178910808243075E-3</v>
      </c>
      <c r="AC410" s="16">
        <f t="shared" si="179"/>
        <v>2.7760185146821514E-3</v>
      </c>
    </row>
    <row r="411" spans="1:29" x14ac:dyDescent="0.15">
      <c r="A411" s="8">
        <v>41500</v>
      </c>
      <c r="B411" s="4">
        <v>1685.39</v>
      </c>
      <c r="C411" s="1">
        <v>13.191000000000001</v>
      </c>
      <c r="D411" s="1">
        <v>2.1</v>
      </c>
      <c r="E411" s="1">
        <v>0.26889999999999997</v>
      </c>
      <c r="F411" s="4">
        <f t="shared" si="169"/>
        <v>0.13191</v>
      </c>
      <c r="G411" s="4">
        <f t="shared" si="170"/>
        <v>2.1000000000000001E-2</v>
      </c>
      <c r="H411" s="4">
        <f t="shared" si="171"/>
        <v>2.6889999999999996E-3</v>
      </c>
      <c r="I411" s="3">
        <f t="shared" si="172"/>
        <v>48.088846558604359</v>
      </c>
      <c r="J411" s="4">
        <f t="shared" si="159"/>
        <v>1257699.532374033</v>
      </c>
      <c r="K411" s="1">
        <f t="shared" si="160"/>
        <v>1689.47</v>
      </c>
      <c r="L411" s="5">
        <f t="shared" si="161"/>
        <v>0.24383561643835619</v>
      </c>
      <c r="M411" s="5">
        <f t="shared" si="162"/>
        <v>-0.52643329970907116</v>
      </c>
      <c r="N411" s="5">
        <f t="shared" si="163"/>
        <v>49.749360968518722</v>
      </c>
      <c r="O411" s="1">
        <f t="shared" si="164"/>
        <v>0</v>
      </c>
      <c r="P411" s="1">
        <f t="shared" si="165"/>
        <v>1689.47</v>
      </c>
      <c r="Q411" s="5">
        <f t="shared" si="166"/>
        <v>0.24383561643835619</v>
      </c>
      <c r="R411" s="5">
        <f t="shared" si="167"/>
        <v>-0.52643329970907116</v>
      </c>
      <c r="S411" s="5">
        <f t="shared" si="173"/>
        <v>49.749360968518722</v>
      </c>
      <c r="T411" s="5">
        <f t="shared" si="174"/>
        <v>-723.52636483462027</v>
      </c>
      <c r="U411" s="4">
        <f t="shared" si="175"/>
        <v>1257719.8278541581</v>
      </c>
      <c r="V411" s="4">
        <f t="shared" si="168"/>
        <v>20.295807633043808</v>
      </c>
      <c r="W411" s="4">
        <f t="shared" si="176"/>
        <v>1221724.8535597604</v>
      </c>
      <c r="X411" s="4">
        <f t="shared" si="180"/>
        <v>-3626.581875452539</v>
      </c>
      <c r="Y411" s="9">
        <f>SUM($X$6:X411)</f>
        <v>221724.85355976038</v>
      </c>
      <c r="Z411" s="16">
        <f t="shared" si="181"/>
        <v>0.22172485355976038</v>
      </c>
      <c r="AA411" s="16">
        <f t="shared" si="177"/>
        <v>0.3197422204125101</v>
      </c>
      <c r="AB411" s="16">
        <f t="shared" si="178"/>
        <v>-2.9596259249204467E-3</v>
      </c>
      <c r="AC411" s="16">
        <f t="shared" si="179"/>
        <v>-5.1766066959437014E-3</v>
      </c>
    </row>
    <row r="412" spans="1:29" x14ac:dyDescent="0.15">
      <c r="A412" s="8">
        <v>41501</v>
      </c>
      <c r="B412" s="4">
        <v>1661.32</v>
      </c>
      <c r="C412" s="1">
        <v>14.2151</v>
      </c>
      <c r="D412" s="1">
        <v>2.13</v>
      </c>
      <c r="E412" s="1">
        <v>0.26900000000000002</v>
      </c>
      <c r="F412" s="4">
        <f t="shared" si="169"/>
        <v>0.142151</v>
      </c>
      <c r="G412" s="4">
        <f t="shared" si="170"/>
        <v>2.1299999999999999E-2</v>
      </c>
      <c r="H412" s="4">
        <f t="shared" si="171"/>
        <v>2.6900000000000001E-3</v>
      </c>
      <c r="I412" s="3">
        <f t="shared" si="172"/>
        <v>50.834664195956258</v>
      </c>
      <c r="J412" s="4">
        <f t="shared" ref="J412:J475" si="182">U411</f>
        <v>1257719.8278541581</v>
      </c>
      <c r="K412" s="1">
        <f t="shared" ref="K412:K475" si="183">P411</f>
        <v>1689.47</v>
      </c>
      <c r="L412" s="5">
        <f t="shared" ref="L412:L475" si="184">Q411-(A412-A411)/365</f>
        <v>0.24109589041095894</v>
      </c>
      <c r="M412" s="5">
        <f t="shared" ref="M412:M475" si="185">BSM_Put(B412,K412,F412,H412,G412,L412,$G$3)</f>
        <v>-0.60335620927503852</v>
      </c>
      <c r="N412" s="5">
        <f t="shared" ref="N412:N475" si="186">BSM_Put(B412,K412,F412,H412,G412,L412,$F$3)</f>
        <v>66.436952184502246</v>
      </c>
      <c r="O412" s="1">
        <f t="shared" ref="O412:O475" si="187">IF(OR(M412&gt;-0.05,L412&lt;=0.00001),1,0)</f>
        <v>0</v>
      </c>
      <c r="P412" s="1">
        <f t="shared" ref="P412:P475" si="188">IF(O412,B412,K412)</f>
        <v>1689.47</v>
      </c>
      <c r="Q412" s="5">
        <f t="shared" ref="Q412:Q475" si="189">IF(O412,$B$3,L412)</f>
        <v>0.24109589041095894</v>
      </c>
      <c r="R412" s="5">
        <f t="shared" ref="R412:R475" si="190">IF(O412,BSM_Put(B412,P412,F412,H412,G412,Q412,$G$3),M412)</f>
        <v>-0.60335620927503852</v>
      </c>
      <c r="S412" s="5">
        <f t="shared" si="173"/>
        <v>66.436952184502246</v>
      </c>
      <c r="T412" s="5">
        <f t="shared" si="174"/>
        <v>-723.52636483462027</v>
      </c>
      <c r="U412" s="4">
        <f t="shared" si="175"/>
        <v>1257740.1236617912</v>
      </c>
      <c r="V412" s="4">
        <f t="shared" ref="V412:V475" si="191">U412*$H$6*(A412-A411)/365</f>
        <v>20.296135146213562</v>
      </c>
      <c r="W412" s="4">
        <f t="shared" si="176"/>
        <v>1209671.2371570468</v>
      </c>
      <c r="X412" s="4">
        <f t="shared" si="180"/>
        <v>-12053.616402713582</v>
      </c>
      <c r="Y412" s="9">
        <f>SUM($X$6:X412)</f>
        <v>209671.23715704679</v>
      </c>
      <c r="Z412" s="16">
        <f t="shared" si="181"/>
        <v>0.2096712371570468</v>
      </c>
      <c r="AA412" s="16">
        <f t="shared" si="177"/>
        <v>0.30089424146085542</v>
      </c>
      <c r="AB412" s="16">
        <f t="shared" si="178"/>
        <v>-9.8660646606253087E-3</v>
      </c>
      <c r="AC412" s="16">
        <f t="shared" si="179"/>
        <v>-1.4281560944351256E-2</v>
      </c>
    </row>
    <row r="413" spans="1:29" x14ac:dyDescent="0.15">
      <c r="A413" s="8">
        <v>41502</v>
      </c>
      <c r="B413" s="4">
        <v>1655.83</v>
      </c>
      <c r="C413" s="1">
        <v>13.9434</v>
      </c>
      <c r="D413" s="1">
        <v>2.14</v>
      </c>
      <c r="E413" s="1">
        <v>0.27</v>
      </c>
      <c r="F413" s="4">
        <f t="shared" si="169"/>
        <v>0.139434</v>
      </c>
      <c r="G413" s="4">
        <f t="shared" si="170"/>
        <v>2.1400000000000002E-2</v>
      </c>
      <c r="H413" s="4">
        <f t="shared" si="171"/>
        <v>2.7000000000000001E-3</v>
      </c>
      <c r="I413" s="3">
        <f t="shared" si="172"/>
        <v>49.794503936556467</v>
      </c>
      <c r="J413" s="4">
        <f t="shared" si="182"/>
        <v>1257740.1236617912</v>
      </c>
      <c r="K413" s="1">
        <f t="shared" si="183"/>
        <v>1689.47</v>
      </c>
      <c r="L413" s="5">
        <f t="shared" si="184"/>
        <v>0.23835616438356169</v>
      </c>
      <c r="M413" s="5">
        <f t="shared" si="185"/>
        <v>-0.62492841261384746</v>
      </c>
      <c r="N413" s="5">
        <f t="shared" si="186"/>
        <v>68.692970874729042</v>
      </c>
      <c r="O413" s="1">
        <f t="shared" si="187"/>
        <v>0</v>
      </c>
      <c r="P413" s="1">
        <f t="shared" si="188"/>
        <v>1689.47</v>
      </c>
      <c r="Q413" s="5">
        <f t="shared" si="189"/>
        <v>0.23835616438356169</v>
      </c>
      <c r="R413" s="5">
        <f t="shared" si="190"/>
        <v>-0.62492841261384746</v>
      </c>
      <c r="S413" s="5">
        <f t="shared" si="173"/>
        <v>68.692970874729042</v>
      </c>
      <c r="T413" s="5">
        <f t="shared" si="174"/>
        <v>-723.52636483462027</v>
      </c>
      <c r="U413" s="4">
        <f t="shared" si="175"/>
        <v>1257760.4197969374</v>
      </c>
      <c r="V413" s="4">
        <f t="shared" si="191"/>
        <v>20.296462664668383</v>
      </c>
      <c r="W413" s="4">
        <f t="shared" si="176"/>
        <v>1208059.2442902543</v>
      </c>
      <c r="X413" s="4">
        <f t="shared" si="180"/>
        <v>-1611.9928667924833</v>
      </c>
      <c r="Y413" s="9">
        <f>SUM($X$6:X413)</f>
        <v>208059.24429025431</v>
      </c>
      <c r="Z413" s="16">
        <f t="shared" si="181"/>
        <v>0.20805924429025432</v>
      </c>
      <c r="AA413" s="16">
        <f t="shared" si="177"/>
        <v>0.29659530484080621</v>
      </c>
      <c r="AB413" s="16">
        <f t="shared" si="178"/>
        <v>-1.3325875802263161E-3</v>
      </c>
      <c r="AC413" s="16">
        <f t="shared" si="179"/>
        <v>-3.3046011605229633E-3</v>
      </c>
    </row>
    <row r="414" spans="1:29" x14ac:dyDescent="0.15">
      <c r="A414" s="8">
        <v>41505</v>
      </c>
      <c r="B414" s="4">
        <v>1646.06</v>
      </c>
      <c r="C414" s="1">
        <v>14.269399999999999</v>
      </c>
      <c r="D414" s="1">
        <v>2.15</v>
      </c>
      <c r="E414" s="1">
        <v>0.26889999999999997</v>
      </c>
      <c r="F414" s="4">
        <f t="shared" si="169"/>
        <v>0.14269399999999999</v>
      </c>
      <c r="G414" s="4">
        <f t="shared" si="170"/>
        <v>2.1499999999999998E-2</v>
      </c>
      <c r="H414" s="4">
        <f t="shared" si="171"/>
        <v>2.6889999999999996E-3</v>
      </c>
      <c r="I414" s="3">
        <f t="shared" si="172"/>
        <v>50.586761996281545</v>
      </c>
      <c r="J414" s="4">
        <f t="shared" si="182"/>
        <v>1257760.4197969374</v>
      </c>
      <c r="K414" s="1">
        <f t="shared" si="183"/>
        <v>1689.47</v>
      </c>
      <c r="L414" s="5">
        <f t="shared" si="184"/>
        <v>0.23013698630136992</v>
      </c>
      <c r="M414" s="5">
        <f t="shared" si="185"/>
        <v>-0.65557889168777195</v>
      </c>
      <c r="N414" s="5">
        <f t="shared" si="186"/>
        <v>75.0480265568048</v>
      </c>
      <c r="O414" s="1">
        <f t="shared" si="187"/>
        <v>0</v>
      </c>
      <c r="P414" s="1">
        <f t="shared" si="188"/>
        <v>1689.47</v>
      </c>
      <c r="Q414" s="5">
        <f t="shared" si="189"/>
        <v>0.23013698630136992</v>
      </c>
      <c r="R414" s="5">
        <f t="shared" si="190"/>
        <v>-0.65557889168777195</v>
      </c>
      <c r="S414" s="5">
        <f t="shared" si="173"/>
        <v>75.0480265568048</v>
      </c>
      <c r="T414" s="5">
        <f t="shared" si="174"/>
        <v>-723.52636483462027</v>
      </c>
      <c r="U414" s="4">
        <f t="shared" si="175"/>
        <v>1257780.716259602</v>
      </c>
      <c r="V414" s="4">
        <f t="shared" si="191"/>
        <v>60.890370565225112</v>
      </c>
      <c r="W414" s="4">
        <f t="shared" si="176"/>
        <v>1203481.490416945</v>
      </c>
      <c r="X414" s="4">
        <f t="shared" si="180"/>
        <v>-4577.7538733093534</v>
      </c>
      <c r="Y414" s="9">
        <f>SUM($X$6:X414)</f>
        <v>203481.49041694496</v>
      </c>
      <c r="Z414" s="16">
        <f t="shared" si="181"/>
        <v>0.20348149041694497</v>
      </c>
      <c r="AA414" s="16">
        <f t="shared" si="177"/>
        <v>0.28894492036396097</v>
      </c>
      <c r="AB414" s="16">
        <f t="shared" si="178"/>
        <v>-3.7893455101192697E-3</v>
      </c>
      <c r="AC414" s="16">
        <f t="shared" si="179"/>
        <v>-5.9003641678191492E-3</v>
      </c>
    </row>
    <row r="415" spans="1:29" x14ac:dyDescent="0.15">
      <c r="A415" s="8">
        <v>41506</v>
      </c>
      <c r="B415" s="4">
        <v>1652.35</v>
      </c>
      <c r="C415" s="1">
        <v>13.926500000000001</v>
      </c>
      <c r="D415" s="1">
        <v>2.14</v>
      </c>
      <c r="E415" s="1">
        <v>0.26790000000000003</v>
      </c>
      <c r="F415" s="4">
        <f t="shared" si="169"/>
        <v>0.139265</v>
      </c>
      <c r="G415" s="4">
        <f t="shared" si="170"/>
        <v>2.1400000000000002E-2</v>
      </c>
      <c r="H415" s="4">
        <f t="shared" si="171"/>
        <v>2.6790000000000004E-3</v>
      </c>
      <c r="I415" s="3">
        <f t="shared" si="172"/>
        <v>49.639225187417573</v>
      </c>
      <c r="J415" s="4">
        <f t="shared" si="182"/>
        <v>1257780.716259602</v>
      </c>
      <c r="K415" s="1">
        <f t="shared" si="183"/>
        <v>1689.47</v>
      </c>
      <c r="L415" s="5">
        <f t="shared" si="184"/>
        <v>0.22739726027397267</v>
      </c>
      <c r="M415" s="5">
        <f t="shared" si="185"/>
        <v>-0.63948544824672005</v>
      </c>
      <c r="N415" s="5">
        <f t="shared" si="186"/>
        <v>69.656968330237106</v>
      </c>
      <c r="O415" s="1">
        <f t="shared" si="187"/>
        <v>0</v>
      </c>
      <c r="P415" s="1">
        <f t="shared" si="188"/>
        <v>1689.47</v>
      </c>
      <c r="Q415" s="5">
        <f t="shared" si="189"/>
        <v>0.22739726027397267</v>
      </c>
      <c r="R415" s="5">
        <f t="shared" si="190"/>
        <v>-0.63948544824672005</v>
      </c>
      <c r="S415" s="5">
        <f t="shared" si="173"/>
        <v>69.656968330237106</v>
      </c>
      <c r="T415" s="5">
        <f t="shared" si="174"/>
        <v>-723.52636483462027</v>
      </c>
      <c r="U415" s="4">
        <f t="shared" si="175"/>
        <v>1257841.6066301672</v>
      </c>
      <c r="V415" s="4">
        <f t="shared" si="191"/>
        <v>20.297772775484066</v>
      </c>
      <c r="W415" s="4">
        <f t="shared" si="176"/>
        <v>1207442.9535487904</v>
      </c>
      <c r="X415" s="4">
        <f t="shared" si="180"/>
        <v>3961.4631318454631</v>
      </c>
      <c r="Y415" s="9">
        <f>SUM($X$6:X415)</f>
        <v>207442.95354879042</v>
      </c>
      <c r="Z415" s="16">
        <f t="shared" si="181"/>
        <v>0.20744295354879042</v>
      </c>
      <c r="AA415" s="16">
        <f t="shared" si="177"/>
        <v>0.2938702958357477</v>
      </c>
      <c r="AB415" s="16">
        <f t="shared" si="178"/>
        <v>3.2916693471313949E-3</v>
      </c>
      <c r="AC415" s="16">
        <f t="shared" si="179"/>
        <v>3.8212458841111281E-3</v>
      </c>
    </row>
    <row r="416" spans="1:29" x14ac:dyDescent="0.15">
      <c r="A416" s="8">
        <v>41507</v>
      </c>
      <c r="B416" s="4">
        <v>1642.8</v>
      </c>
      <c r="C416" s="1">
        <v>14.230399999999999</v>
      </c>
      <c r="D416" s="1">
        <v>2.15</v>
      </c>
      <c r="E416" s="1">
        <v>0.26779999999999998</v>
      </c>
      <c r="F416" s="4">
        <f t="shared" si="169"/>
        <v>0.14230399999999999</v>
      </c>
      <c r="G416" s="4">
        <f t="shared" si="170"/>
        <v>2.1499999999999998E-2</v>
      </c>
      <c r="H416" s="4">
        <f t="shared" si="171"/>
        <v>2.6779999999999998E-3</v>
      </c>
      <c r="I416" s="3">
        <f t="shared" si="172"/>
        <v>50.362125127117032</v>
      </c>
      <c r="J416" s="4">
        <f t="shared" si="182"/>
        <v>1257841.6066301672</v>
      </c>
      <c r="K416" s="1">
        <f t="shared" si="183"/>
        <v>1689.47</v>
      </c>
      <c r="L416" s="5">
        <f t="shared" si="184"/>
        <v>0.22465753424657542</v>
      </c>
      <c r="M416" s="5">
        <f t="shared" si="185"/>
        <v>-0.66834487848643431</v>
      </c>
      <c r="N416" s="5">
        <f t="shared" si="186"/>
        <v>76.49896105579792</v>
      </c>
      <c r="O416" s="1">
        <f t="shared" si="187"/>
        <v>0</v>
      </c>
      <c r="P416" s="1">
        <f t="shared" si="188"/>
        <v>1689.47</v>
      </c>
      <c r="Q416" s="5">
        <f t="shared" si="189"/>
        <v>0.22465753424657542</v>
      </c>
      <c r="R416" s="5">
        <f t="shared" si="190"/>
        <v>-0.66834487848643431</v>
      </c>
      <c r="S416" s="5">
        <f t="shared" si="173"/>
        <v>76.49896105579792</v>
      </c>
      <c r="T416" s="5">
        <f t="shared" si="174"/>
        <v>-723.52636483462027</v>
      </c>
      <c r="U416" s="4">
        <f t="shared" si="175"/>
        <v>1257861.9044029426</v>
      </c>
      <c r="V416" s="4">
        <f t="shared" si="191"/>
        <v>20.298100320365293</v>
      </c>
      <c r="W416" s="4">
        <f t="shared" si="176"/>
        <v>1202512.8891966159</v>
      </c>
      <c r="X416" s="4">
        <f t="shared" si="180"/>
        <v>-4930.0643521745224</v>
      </c>
      <c r="Y416" s="9">
        <f>SUM($X$6:X416)</f>
        <v>202512.8891966159</v>
      </c>
      <c r="Z416" s="16">
        <f t="shared" si="181"/>
        <v>0.20251288919661589</v>
      </c>
      <c r="AA416" s="16">
        <f t="shared" si="177"/>
        <v>0.28639218204313033</v>
      </c>
      <c r="AB416" s="16">
        <f t="shared" si="178"/>
        <v>-4.0830619265983465E-3</v>
      </c>
      <c r="AC416" s="16">
        <f t="shared" si="179"/>
        <v>-5.7796471691832574E-3</v>
      </c>
    </row>
    <row r="417" spans="1:29" x14ac:dyDescent="0.15">
      <c r="A417" s="8">
        <v>41508</v>
      </c>
      <c r="B417" s="4">
        <v>1656.96</v>
      </c>
      <c r="C417" s="1">
        <v>13.938800000000001</v>
      </c>
      <c r="D417" s="1">
        <v>2.14</v>
      </c>
      <c r="E417" s="1">
        <v>0.26790000000000003</v>
      </c>
      <c r="F417" s="4">
        <f t="shared" si="169"/>
        <v>0.13938800000000001</v>
      </c>
      <c r="G417" s="4">
        <f t="shared" si="170"/>
        <v>2.1400000000000002E-2</v>
      </c>
      <c r="H417" s="4">
        <f t="shared" si="171"/>
        <v>2.6790000000000004E-3</v>
      </c>
      <c r="I417" s="3">
        <f t="shared" si="172"/>
        <v>49.818077536035538</v>
      </c>
      <c r="J417" s="4">
        <f t="shared" si="182"/>
        <v>1257861.9044029426</v>
      </c>
      <c r="K417" s="1">
        <f t="shared" si="183"/>
        <v>1689.47</v>
      </c>
      <c r="L417" s="5">
        <f t="shared" si="184"/>
        <v>0.22191780821917817</v>
      </c>
      <c r="M417" s="5">
        <f t="shared" si="185"/>
        <v>-0.62494421770938569</v>
      </c>
      <c r="N417" s="5">
        <f t="shared" si="186"/>
        <v>66.173705292908537</v>
      </c>
      <c r="O417" s="1">
        <f t="shared" si="187"/>
        <v>0</v>
      </c>
      <c r="P417" s="1">
        <f t="shared" si="188"/>
        <v>1689.47</v>
      </c>
      <c r="Q417" s="5">
        <f t="shared" si="189"/>
        <v>0.22191780821917817</v>
      </c>
      <c r="R417" s="5">
        <f t="shared" si="190"/>
        <v>-0.62494421770938569</v>
      </c>
      <c r="S417" s="5">
        <f t="shared" si="173"/>
        <v>66.173705292908537</v>
      </c>
      <c r="T417" s="5">
        <f t="shared" si="174"/>
        <v>-723.52636483462027</v>
      </c>
      <c r="U417" s="4">
        <f t="shared" si="175"/>
        <v>1257882.202503263</v>
      </c>
      <c r="V417" s="4">
        <f t="shared" si="191"/>
        <v>20.298427870532105</v>
      </c>
      <c r="W417" s="4">
        <f t="shared" si="176"/>
        <v>1210003.7820650474</v>
      </c>
      <c r="X417" s="4">
        <f t="shared" si="180"/>
        <v>7490.8928684315179</v>
      </c>
      <c r="Y417" s="9">
        <f>SUM($X$6:X417)</f>
        <v>210003.78206504742</v>
      </c>
      <c r="Z417" s="16">
        <f t="shared" si="181"/>
        <v>0.21000378206504741</v>
      </c>
      <c r="AA417" s="16">
        <f t="shared" si="177"/>
        <v>0.29748014971888564</v>
      </c>
      <c r="AB417" s="16">
        <f t="shared" si="178"/>
        <v>6.2293659683232928E-3</v>
      </c>
      <c r="AC417" s="16">
        <f t="shared" si="179"/>
        <v>8.6194302410519119E-3</v>
      </c>
    </row>
    <row r="418" spans="1:29" x14ac:dyDescent="0.15">
      <c r="A418" s="8">
        <v>41509</v>
      </c>
      <c r="B418" s="4">
        <v>1663.5</v>
      </c>
      <c r="C418" s="1">
        <v>13.6205</v>
      </c>
      <c r="D418" s="1">
        <v>2.13</v>
      </c>
      <c r="E418" s="1">
        <v>0.26790000000000003</v>
      </c>
      <c r="F418" s="4">
        <f t="shared" si="169"/>
        <v>0.13620499999999999</v>
      </c>
      <c r="G418" s="4">
        <f t="shared" si="170"/>
        <v>2.1299999999999999E-2</v>
      </c>
      <c r="H418" s="4">
        <f t="shared" si="171"/>
        <v>2.6790000000000004E-3</v>
      </c>
      <c r="I418" s="3">
        <f t="shared" si="172"/>
        <v>48.944978411417615</v>
      </c>
      <c r="J418" s="4">
        <f t="shared" si="182"/>
        <v>1257882.202503263</v>
      </c>
      <c r="K418" s="1">
        <f t="shared" si="183"/>
        <v>1689.47</v>
      </c>
      <c r="L418" s="5">
        <f t="shared" si="184"/>
        <v>0.21917808219178092</v>
      </c>
      <c r="M418" s="5">
        <f t="shared" si="185"/>
        <v>-0.60552972369515567</v>
      </c>
      <c r="N418" s="5">
        <f t="shared" si="186"/>
        <v>60.880064479369537</v>
      </c>
      <c r="O418" s="1">
        <f t="shared" si="187"/>
        <v>0</v>
      </c>
      <c r="P418" s="1">
        <f t="shared" si="188"/>
        <v>1689.47</v>
      </c>
      <c r="Q418" s="5">
        <f t="shared" si="189"/>
        <v>0.21917808219178092</v>
      </c>
      <c r="R418" s="5">
        <f t="shared" si="190"/>
        <v>-0.60552972369515567</v>
      </c>
      <c r="S418" s="5">
        <f t="shared" si="173"/>
        <v>60.880064479369537</v>
      </c>
      <c r="T418" s="5">
        <f t="shared" si="174"/>
        <v>-723.52636483462027</v>
      </c>
      <c r="U418" s="4">
        <f t="shared" si="175"/>
        <v>1257902.5009311335</v>
      </c>
      <c r="V418" s="4">
        <f t="shared" si="191"/>
        <v>20.298755425984591</v>
      </c>
      <c r="W418" s="4">
        <f t="shared" si="176"/>
        <v>1213854.169187478</v>
      </c>
      <c r="X418" s="4">
        <f t="shared" si="180"/>
        <v>3850.3871224306058</v>
      </c>
      <c r="Y418" s="9">
        <f>SUM($X$6:X418)</f>
        <v>213854.16918747802</v>
      </c>
      <c r="Z418" s="16">
        <f t="shared" si="181"/>
        <v>0.21385416918747802</v>
      </c>
      <c r="AA418" s="16">
        <f t="shared" si="177"/>
        <v>0.30260128733184039</v>
      </c>
      <c r="AB418" s="16">
        <f t="shared" si="178"/>
        <v>3.18212817141725E-3</v>
      </c>
      <c r="AC418" s="16">
        <f t="shared" si="179"/>
        <v>3.946987253765911E-3</v>
      </c>
    </row>
    <row r="419" spans="1:29" x14ac:dyDescent="0.15">
      <c r="A419" s="8">
        <v>41512</v>
      </c>
      <c r="B419" s="4">
        <v>1656.78</v>
      </c>
      <c r="C419" s="1">
        <v>14.026999999999999</v>
      </c>
      <c r="D419" s="1">
        <v>2.14</v>
      </c>
      <c r="E419" s="1">
        <v>0.26790000000000003</v>
      </c>
      <c r="F419" s="4">
        <f t="shared" si="169"/>
        <v>0.14027000000000001</v>
      </c>
      <c r="G419" s="4">
        <f t="shared" si="170"/>
        <v>2.1400000000000002E-2</v>
      </c>
      <c r="H419" s="4">
        <f t="shared" si="171"/>
        <v>2.6790000000000004E-3</v>
      </c>
      <c r="I419" s="3">
        <f t="shared" si="172"/>
        <v>50.102052715120955</v>
      </c>
      <c r="J419" s="4">
        <f t="shared" si="182"/>
        <v>1257902.5009311335</v>
      </c>
      <c r="K419" s="1">
        <f t="shared" si="183"/>
        <v>1689.47</v>
      </c>
      <c r="L419" s="5">
        <f t="shared" si="184"/>
        <v>0.21095890410958915</v>
      </c>
      <c r="M419" s="5">
        <f t="shared" si="185"/>
        <v>-0.62735350754816921</v>
      </c>
      <c r="N419" s="5">
        <f t="shared" si="186"/>
        <v>65.304755514775891</v>
      </c>
      <c r="O419" s="1">
        <f t="shared" si="187"/>
        <v>0</v>
      </c>
      <c r="P419" s="1">
        <f t="shared" si="188"/>
        <v>1689.47</v>
      </c>
      <c r="Q419" s="5">
        <f t="shared" si="189"/>
        <v>0.21095890410958915</v>
      </c>
      <c r="R419" s="5">
        <f t="shared" si="190"/>
        <v>-0.62735350754816921</v>
      </c>
      <c r="S419" s="5">
        <f t="shared" si="173"/>
        <v>65.304755514775891</v>
      </c>
      <c r="T419" s="5">
        <f t="shared" si="174"/>
        <v>-723.52636483462027</v>
      </c>
      <c r="U419" s="4">
        <f t="shared" si="175"/>
        <v>1257922.7996865595</v>
      </c>
      <c r="V419" s="4">
        <f t="shared" si="191"/>
        <v>60.897248960168511</v>
      </c>
      <c r="W419" s="4">
        <f t="shared" si="176"/>
        <v>1210673.0873225401</v>
      </c>
      <c r="X419" s="4">
        <f t="shared" si="180"/>
        <v>-3181.0818649379071</v>
      </c>
      <c r="Y419" s="9">
        <f>SUM($X$6:X419)</f>
        <v>210673.08732254012</v>
      </c>
      <c r="Z419" s="16">
        <f t="shared" si="181"/>
        <v>0.21067308732254011</v>
      </c>
      <c r="AA419" s="16">
        <f t="shared" si="177"/>
        <v>0.29733920097724464</v>
      </c>
      <c r="AB419" s="16">
        <f t="shared" si="178"/>
        <v>-2.6206458285407048E-3</v>
      </c>
      <c r="AC419" s="16">
        <f t="shared" si="179"/>
        <v>-4.0396753832281501E-3</v>
      </c>
    </row>
    <row r="420" spans="1:29" x14ac:dyDescent="0.15">
      <c r="A420" s="8">
        <v>41513</v>
      </c>
      <c r="B420" s="4">
        <v>1630.48</v>
      </c>
      <c r="C420" s="1">
        <v>15.451599999999999</v>
      </c>
      <c r="D420" s="1">
        <v>2.17</v>
      </c>
      <c r="E420" s="1">
        <v>0.26519999999999999</v>
      </c>
      <c r="F420" s="4">
        <f t="shared" si="169"/>
        <v>0.15451599999999999</v>
      </c>
      <c r="G420" s="4">
        <f t="shared" si="170"/>
        <v>2.1700000000000001E-2</v>
      </c>
      <c r="H420" s="4">
        <f t="shared" si="171"/>
        <v>2.6519999999999998E-3</v>
      </c>
      <c r="I420" s="3">
        <f t="shared" si="172"/>
        <v>53.975031487912311</v>
      </c>
      <c r="J420" s="4">
        <f t="shared" si="182"/>
        <v>1257922.7996865595</v>
      </c>
      <c r="K420" s="1">
        <f t="shared" si="183"/>
        <v>1689.47</v>
      </c>
      <c r="L420" s="5">
        <f t="shared" si="184"/>
        <v>0.2082191780821919</v>
      </c>
      <c r="M420" s="5">
        <f t="shared" si="185"/>
        <v>-0.6970744839801073</v>
      </c>
      <c r="N420" s="5">
        <f t="shared" si="186"/>
        <v>86.390471736380277</v>
      </c>
      <c r="O420" s="1">
        <f t="shared" si="187"/>
        <v>0</v>
      </c>
      <c r="P420" s="1">
        <f t="shared" si="188"/>
        <v>1689.47</v>
      </c>
      <c r="Q420" s="5">
        <f t="shared" si="189"/>
        <v>0.2082191780821919</v>
      </c>
      <c r="R420" s="5">
        <f t="shared" si="190"/>
        <v>-0.6970744839801073</v>
      </c>
      <c r="S420" s="5">
        <f t="shared" si="173"/>
        <v>86.390471736380277</v>
      </c>
      <c r="T420" s="5">
        <f t="shared" si="174"/>
        <v>-723.52636483462027</v>
      </c>
      <c r="U420" s="4">
        <f t="shared" si="175"/>
        <v>1257983.6969355196</v>
      </c>
      <c r="V420" s="4">
        <f t="shared" si="191"/>
        <v>20.300065684795094</v>
      </c>
      <c r="W420" s="4">
        <f t="shared" si="176"/>
        <v>1195477.9129637484</v>
      </c>
      <c r="X420" s="4">
        <f t="shared" si="180"/>
        <v>-15195.174358791672</v>
      </c>
      <c r="Y420" s="9">
        <f>SUM($X$6:X420)</f>
        <v>195477.91296374844</v>
      </c>
      <c r="Z420" s="16">
        <f t="shared" si="181"/>
        <v>0.19547791296374845</v>
      </c>
      <c r="AA420" s="16">
        <f t="shared" si="177"/>
        <v>0.27674502372637155</v>
      </c>
      <c r="AB420" s="16">
        <f t="shared" si="178"/>
        <v>-1.2551013579063285E-2</v>
      </c>
      <c r="AC420" s="16">
        <f t="shared" si="179"/>
        <v>-1.5874165550042826E-2</v>
      </c>
    </row>
    <row r="421" spans="1:29" x14ac:dyDescent="0.15">
      <c r="A421" s="8">
        <v>41514</v>
      </c>
      <c r="B421" s="4">
        <v>1634.96</v>
      </c>
      <c r="C421" s="1">
        <v>15.1074</v>
      </c>
      <c r="D421" s="1">
        <v>2.17</v>
      </c>
      <c r="E421" s="1">
        <v>0.26640000000000003</v>
      </c>
      <c r="F421" s="4">
        <f t="shared" si="169"/>
        <v>0.15107400000000001</v>
      </c>
      <c r="G421" s="4">
        <f t="shared" si="170"/>
        <v>2.1700000000000001E-2</v>
      </c>
      <c r="H421" s="4">
        <f t="shared" si="171"/>
        <v>2.6640000000000001E-3</v>
      </c>
      <c r="I421" s="3">
        <f t="shared" si="172"/>
        <v>53.006077183230644</v>
      </c>
      <c r="J421" s="4">
        <f t="shared" si="182"/>
        <v>1257983.6969355196</v>
      </c>
      <c r="K421" s="1">
        <f t="shared" si="183"/>
        <v>1689.47</v>
      </c>
      <c r="L421" s="5">
        <f t="shared" si="184"/>
        <v>0.20547945205479465</v>
      </c>
      <c r="M421" s="5">
        <f t="shared" si="185"/>
        <v>-0.68901219052686324</v>
      </c>
      <c r="N421" s="5">
        <f t="shared" si="186"/>
        <v>82.072750811595043</v>
      </c>
      <c r="O421" s="1">
        <f t="shared" si="187"/>
        <v>0</v>
      </c>
      <c r="P421" s="1">
        <f t="shared" si="188"/>
        <v>1689.47</v>
      </c>
      <c r="Q421" s="5">
        <f t="shared" si="189"/>
        <v>0.20547945205479465</v>
      </c>
      <c r="R421" s="5">
        <f t="shared" si="190"/>
        <v>-0.68901219052686324</v>
      </c>
      <c r="S421" s="5">
        <f t="shared" si="173"/>
        <v>82.072750811595043</v>
      </c>
      <c r="T421" s="5">
        <f t="shared" si="174"/>
        <v>-723.52636483462027</v>
      </c>
      <c r="U421" s="4">
        <f t="shared" si="175"/>
        <v>1258003.9970012044</v>
      </c>
      <c r="V421" s="4">
        <f t="shared" si="191"/>
        <v>20.300393266676966</v>
      </c>
      <c r="W421" s="4">
        <f t="shared" si="176"/>
        <v>1198622.1979545134</v>
      </c>
      <c r="X421" s="4">
        <f t="shared" si="180"/>
        <v>3144.2849907649215</v>
      </c>
      <c r="Y421" s="9">
        <f>SUM($X$6:X421)</f>
        <v>198622.19795451337</v>
      </c>
      <c r="Z421" s="16">
        <f t="shared" si="181"/>
        <v>0.19862219795451336</v>
      </c>
      <c r="AA421" s="16">
        <f t="shared" si="177"/>
        <v>0.28025308129610205</v>
      </c>
      <c r="AB421" s="16">
        <f t="shared" si="178"/>
        <v>2.6301489610709924E-3</v>
      </c>
      <c r="AC421" s="16">
        <f t="shared" si="179"/>
        <v>2.7476571316422268E-3</v>
      </c>
    </row>
    <row r="422" spans="1:29" x14ac:dyDescent="0.15">
      <c r="A422" s="8">
        <v>41515</v>
      </c>
      <c r="B422" s="4">
        <v>1638.17</v>
      </c>
      <c r="C422" s="1">
        <v>15.656000000000001</v>
      </c>
      <c r="D422" s="1">
        <v>2.16</v>
      </c>
      <c r="E422" s="1">
        <v>0.2641</v>
      </c>
      <c r="F422" s="4">
        <f t="shared" si="169"/>
        <v>0.15656</v>
      </c>
      <c r="G422" s="4">
        <f t="shared" si="170"/>
        <v>2.1600000000000001E-2</v>
      </c>
      <c r="H422" s="4">
        <f t="shared" si="171"/>
        <v>2.6410000000000001E-3</v>
      </c>
      <c r="I422" s="3">
        <f t="shared" si="172"/>
        <v>54.874596144292234</v>
      </c>
      <c r="J422" s="4">
        <f t="shared" si="182"/>
        <v>1258003.9970012044</v>
      </c>
      <c r="K422" s="1">
        <f t="shared" si="183"/>
        <v>1689.47</v>
      </c>
      <c r="L422" s="5">
        <f t="shared" si="184"/>
        <v>0.2027397260273974</v>
      </c>
      <c r="M422" s="5">
        <f t="shared" si="185"/>
        <v>-0.67310102987392118</v>
      </c>
      <c r="N422" s="5">
        <f t="shared" si="186"/>
        <v>80.97821164844045</v>
      </c>
      <c r="O422" s="1">
        <f t="shared" si="187"/>
        <v>0</v>
      </c>
      <c r="P422" s="1">
        <f t="shared" si="188"/>
        <v>1689.47</v>
      </c>
      <c r="Q422" s="5">
        <f t="shared" si="189"/>
        <v>0.2027397260273974</v>
      </c>
      <c r="R422" s="5">
        <f t="shared" si="190"/>
        <v>-0.67310102987392118</v>
      </c>
      <c r="S422" s="5">
        <f t="shared" si="173"/>
        <v>80.97821164844045</v>
      </c>
      <c r="T422" s="5">
        <f t="shared" si="174"/>
        <v>-723.52636483462027</v>
      </c>
      <c r="U422" s="4">
        <f t="shared" si="175"/>
        <v>1258024.297394471</v>
      </c>
      <c r="V422" s="4">
        <f t="shared" si="191"/>
        <v>20.300720853845025</v>
      </c>
      <c r="W422" s="4">
        <f t="shared" si="176"/>
        <v>1199434.4262896664</v>
      </c>
      <c r="X422" s="4">
        <f t="shared" si="180"/>
        <v>812.22833515307866</v>
      </c>
      <c r="Y422" s="9">
        <f>SUM($X$6:X422)</f>
        <v>199434.42628966644</v>
      </c>
      <c r="Z422" s="16">
        <f t="shared" si="181"/>
        <v>0.19943442628966646</v>
      </c>
      <c r="AA422" s="16">
        <f t="shared" si="177"/>
        <v>0.28276666718869914</v>
      </c>
      <c r="AB422" s="16">
        <f t="shared" si="178"/>
        <v>6.7763498501794144E-4</v>
      </c>
      <c r="AC422" s="16">
        <f t="shared" si="179"/>
        <v>1.9633507853403362E-3</v>
      </c>
    </row>
    <row r="423" spans="1:29" x14ac:dyDescent="0.15">
      <c r="A423" s="8">
        <v>41516</v>
      </c>
      <c r="B423" s="4">
        <v>1632.97</v>
      </c>
      <c r="C423" s="1">
        <v>15.7463</v>
      </c>
      <c r="D423" s="1">
        <v>2.17</v>
      </c>
      <c r="E423" s="1">
        <v>0.26240000000000002</v>
      </c>
      <c r="F423" s="4">
        <f t="shared" si="169"/>
        <v>0.15746299999999999</v>
      </c>
      <c r="G423" s="4">
        <f t="shared" si="170"/>
        <v>2.1700000000000001E-2</v>
      </c>
      <c r="H423" s="4">
        <f t="shared" si="171"/>
        <v>2.624E-3</v>
      </c>
      <c r="I423" s="3">
        <f t="shared" si="172"/>
        <v>55.016816378179627</v>
      </c>
      <c r="J423" s="4">
        <f t="shared" si="182"/>
        <v>1258024.297394471</v>
      </c>
      <c r="K423" s="1">
        <f t="shared" si="183"/>
        <v>1689.47</v>
      </c>
      <c r="L423" s="5">
        <f t="shared" si="184"/>
        <v>0.20000000000000015</v>
      </c>
      <c r="M423" s="5">
        <f t="shared" si="185"/>
        <v>-0.6891664176783201</v>
      </c>
      <c r="N423" s="5">
        <f t="shared" si="186"/>
        <v>84.446392063477319</v>
      </c>
      <c r="O423" s="1">
        <f t="shared" si="187"/>
        <v>0</v>
      </c>
      <c r="P423" s="1">
        <f t="shared" si="188"/>
        <v>1689.47</v>
      </c>
      <c r="Q423" s="5">
        <f t="shared" si="189"/>
        <v>0.20000000000000015</v>
      </c>
      <c r="R423" s="5">
        <f t="shared" si="190"/>
        <v>-0.6891664176783201</v>
      </c>
      <c r="S423" s="5">
        <f t="shared" si="173"/>
        <v>84.446392063477319</v>
      </c>
      <c r="T423" s="5">
        <f t="shared" si="174"/>
        <v>-723.52636483462027</v>
      </c>
      <c r="U423" s="4">
        <f t="shared" si="175"/>
        <v>1258044.5981153247</v>
      </c>
      <c r="V423" s="4">
        <f t="shared" si="191"/>
        <v>20.301048446299347</v>
      </c>
      <c r="W423" s="4">
        <f t="shared" si="176"/>
        <v>1196945.4070422379</v>
      </c>
      <c r="X423" s="4">
        <f t="shared" si="180"/>
        <v>-2489.0192474285141</v>
      </c>
      <c r="Y423" s="9">
        <f>SUM($X$6:X423)</f>
        <v>196945.40704223793</v>
      </c>
      <c r="Z423" s="16">
        <f t="shared" si="181"/>
        <v>0.19694540704223792</v>
      </c>
      <c r="AA423" s="16">
        <f t="shared" si="177"/>
        <v>0.27869481465240481</v>
      </c>
      <c r="AB423" s="16">
        <f t="shared" si="178"/>
        <v>-2.0751607531626823E-3</v>
      </c>
      <c r="AC423" s="16">
        <f t="shared" si="179"/>
        <v>-3.1742737322744559E-3</v>
      </c>
    </row>
    <row r="424" spans="1:29" x14ac:dyDescent="0.15">
      <c r="A424" s="8">
        <v>41520</v>
      </c>
      <c r="B424" s="4">
        <v>1639.77</v>
      </c>
      <c r="C424" s="1">
        <v>15.5654</v>
      </c>
      <c r="D424" s="1">
        <v>2.14</v>
      </c>
      <c r="E424" s="1">
        <v>0.26240000000000002</v>
      </c>
      <c r="F424" s="4">
        <f t="shared" si="169"/>
        <v>0.15565400000000001</v>
      </c>
      <c r="G424" s="4">
        <f t="shared" si="170"/>
        <v>2.1400000000000002E-2</v>
      </c>
      <c r="H424" s="4">
        <f t="shared" si="171"/>
        <v>2.624E-3</v>
      </c>
      <c r="I424" s="3">
        <f t="shared" si="172"/>
        <v>54.596297607047156</v>
      </c>
      <c r="J424" s="4">
        <f t="shared" si="182"/>
        <v>1258044.5981153247</v>
      </c>
      <c r="K424" s="1">
        <f t="shared" si="183"/>
        <v>1689.47</v>
      </c>
      <c r="L424" s="5">
        <f t="shared" si="184"/>
        <v>0.1890410958904111</v>
      </c>
      <c r="M424" s="5">
        <f t="shared" si="185"/>
        <v>-0.6744391592586676</v>
      </c>
      <c r="N424" s="5">
        <f t="shared" si="186"/>
        <v>77.926896952636866</v>
      </c>
      <c r="O424" s="1">
        <f t="shared" si="187"/>
        <v>0</v>
      </c>
      <c r="P424" s="1">
        <f t="shared" si="188"/>
        <v>1689.47</v>
      </c>
      <c r="Q424" s="5">
        <f t="shared" si="189"/>
        <v>0.1890410958904111</v>
      </c>
      <c r="R424" s="5">
        <f t="shared" si="190"/>
        <v>-0.6744391592586676</v>
      </c>
      <c r="S424" s="5">
        <f t="shared" si="173"/>
        <v>77.926896952636866</v>
      </c>
      <c r="T424" s="5">
        <f t="shared" si="174"/>
        <v>-723.52636483462027</v>
      </c>
      <c r="U424" s="4">
        <f t="shared" si="175"/>
        <v>1258064.899163771</v>
      </c>
      <c r="V424" s="4">
        <f t="shared" si="191"/>
        <v>81.205504176160105</v>
      </c>
      <c r="W424" s="4">
        <f t="shared" si="176"/>
        <v>1201682.7346887875</v>
      </c>
      <c r="X424" s="4">
        <f t="shared" si="180"/>
        <v>4737.3276465495583</v>
      </c>
      <c r="Y424" s="9">
        <f>SUM($X$6:X424)</f>
        <v>201682.73468878749</v>
      </c>
      <c r="Z424" s="16">
        <f t="shared" si="181"/>
        <v>0.2016827346887875</v>
      </c>
      <c r="AA424" s="16">
        <f t="shared" si="177"/>
        <v>0.28401954489217424</v>
      </c>
      <c r="AB424" s="16">
        <f t="shared" si="178"/>
        <v>3.9578477169279844E-3</v>
      </c>
      <c r="AC424" s="16">
        <f t="shared" si="179"/>
        <v>4.1641916263005169E-3</v>
      </c>
    </row>
    <row r="425" spans="1:29" x14ac:dyDescent="0.15">
      <c r="A425" s="8">
        <v>41521</v>
      </c>
      <c r="B425" s="4">
        <v>1653.08</v>
      </c>
      <c r="C425" s="1">
        <v>15.135999999999999</v>
      </c>
      <c r="D425" s="1">
        <v>2.13</v>
      </c>
      <c r="E425" s="1">
        <v>0.26190000000000002</v>
      </c>
      <c r="F425" s="4">
        <f t="shared" si="169"/>
        <v>0.15135999999999999</v>
      </c>
      <c r="G425" s="4">
        <f t="shared" si="170"/>
        <v>2.1299999999999999E-2</v>
      </c>
      <c r="H425" s="4">
        <f t="shared" si="171"/>
        <v>2.6190000000000002E-3</v>
      </c>
      <c r="I425" s="3">
        <f t="shared" si="172"/>
        <v>53.613595017485856</v>
      </c>
      <c r="J425" s="4">
        <f t="shared" si="182"/>
        <v>1258064.899163771</v>
      </c>
      <c r="K425" s="1">
        <f t="shared" si="183"/>
        <v>1689.47</v>
      </c>
      <c r="L425" s="5">
        <f t="shared" si="184"/>
        <v>0.18630136986301385</v>
      </c>
      <c r="M425" s="5">
        <f t="shared" si="185"/>
        <v>-0.63576665378393293</v>
      </c>
      <c r="N425" s="5">
        <f t="shared" si="186"/>
        <v>67.717153951331653</v>
      </c>
      <c r="O425" s="1">
        <f t="shared" si="187"/>
        <v>0</v>
      </c>
      <c r="P425" s="1">
        <f t="shared" si="188"/>
        <v>1689.47</v>
      </c>
      <c r="Q425" s="5">
        <f t="shared" si="189"/>
        <v>0.18630136986301385</v>
      </c>
      <c r="R425" s="5">
        <f t="shared" si="190"/>
        <v>-0.63576665378393293</v>
      </c>
      <c r="S425" s="5">
        <f t="shared" si="173"/>
        <v>67.717153951331653</v>
      </c>
      <c r="T425" s="5">
        <f t="shared" si="174"/>
        <v>-723.52636483462027</v>
      </c>
      <c r="U425" s="4">
        <f t="shared" si="175"/>
        <v>1258146.1046679472</v>
      </c>
      <c r="V425" s="4">
        <f t="shared" si="191"/>
        <v>20.302686456148514</v>
      </c>
      <c r="W425" s="4">
        <f t="shared" si="176"/>
        <v>1209150.9584325938</v>
      </c>
      <c r="X425" s="4">
        <f t="shared" si="180"/>
        <v>7468.2237438063603</v>
      </c>
      <c r="Y425" s="9">
        <f>SUM($X$6:X425)</f>
        <v>209150.95843259385</v>
      </c>
      <c r="Z425" s="16">
        <f t="shared" si="181"/>
        <v>0.20915095843259385</v>
      </c>
      <c r="AA425" s="16">
        <f t="shared" si="177"/>
        <v>0.29444192128795826</v>
      </c>
      <c r="AB425" s="16">
        <f t="shared" si="178"/>
        <v>6.2148048966855513E-3</v>
      </c>
      <c r="AC425" s="16">
        <f t="shared" si="179"/>
        <v>8.1169920171731066E-3</v>
      </c>
    </row>
    <row r="426" spans="1:29" x14ac:dyDescent="0.15">
      <c r="A426" s="8">
        <v>41522</v>
      </c>
      <c r="B426" s="4">
        <v>1655.08</v>
      </c>
      <c r="C426" s="1">
        <v>14.859299999999999</v>
      </c>
      <c r="D426" s="1">
        <v>2.12</v>
      </c>
      <c r="E426" s="1">
        <v>0.26100000000000001</v>
      </c>
      <c r="F426" s="4">
        <f t="shared" si="169"/>
        <v>0.148593</v>
      </c>
      <c r="G426" s="4">
        <f t="shared" si="170"/>
        <v>2.12E-2</v>
      </c>
      <c r="H426" s="4">
        <f t="shared" si="171"/>
        <v>2.6099999999999999E-3</v>
      </c>
      <c r="I426" s="3">
        <f t="shared" si="172"/>
        <v>52.752385045946781</v>
      </c>
      <c r="J426" s="4">
        <f t="shared" si="182"/>
        <v>1258146.1046679472</v>
      </c>
      <c r="K426" s="1">
        <f t="shared" si="183"/>
        <v>1689.47</v>
      </c>
      <c r="L426" s="5">
        <f t="shared" si="184"/>
        <v>0.1835616438356166</v>
      </c>
      <c r="M426" s="5">
        <f t="shared" si="185"/>
        <v>-0.63241363367466175</v>
      </c>
      <c r="N426" s="5">
        <f t="shared" si="186"/>
        <v>65.347097990857151</v>
      </c>
      <c r="O426" s="1">
        <f t="shared" si="187"/>
        <v>0</v>
      </c>
      <c r="P426" s="1">
        <f t="shared" si="188"/>
        <v>1689.47</v>
      </c>
      <c r="Q426" s="5">
        <f t="shared" si="189"/>
        <v>0.1835616438356166</v>
      </c>
      <c r="R426" s="5">
        <f t="shared" si="190"/>
        <v>-0.63241363367466175</v>
      </c>
      <c r="S426" s="5">
        <f t="shared" si="173"/>
        <v>65.347097990857151</v>
      </c>
      <c r="T426" s="5">
        <f t="shared" si="174"/>
        <v>-723.52636483462027</v>
      </c>
      <c r="U426" s="4">
        <f t="shared" si="175"/>
        <v>1258166.4073544033</v>
      </c>
      <c r="V426" s="4">
        <f t="shared" si="191"/>
        <v>20.303014080321738</v>
      </c>
      <c r="W426" s="4">
        <f t="shared" si="176"/>
        <v>1210886.0590925866</v>
      </c>
      <c r="X426" s="4">
        <f t="shared" si="180"/>
        <v>1735.1006599927787</v>
      </c>
      <c r="Y426" s="9">
        <f>SUM($X$6:X426)</f>
        <v>210886.05909258663</v>
      </c>
      <c r="Z426" s="16">
        <f t="shared" si="181"/>
        <v>0.21088605909258662</v>
      </c>
      <c r="AA426" s="16">
        <f t="shared" si="177"/>
        <v>0.29600801841730223</v>
      </c>
      <c r="AB426" s="16">
        <f t="shared" si="178"/>
        <v>1.4349743908254155E-3</v>
      </c>
      <c r="AC426" s="16">
        <f t="shared" si="179"/>
        <v>1.2098628015583034E-3</v>
      </c>
    </row>
    <row r="427" spans="1:29" x14ac:dyDescent="0.15">
      <c r="A427" s="8">
        <v>41523</v>
      </c>
      <c r="B427" s="4">
        <v>1655.17</v>
      </c>
      <c r="C427" s="1">
        <v>14.6778</v>
      </c>
      <c r="D427" s="1">
        <v>2.12</v>
      </c>
      <c r="E427" s="1">
        <v>0.25919999999999999</v>
      </c>
      <c r="F427" s="4">
        <f t="shared" si="169"/>
        <v>0.14677799999999999</v>
      </c>
      <c r="G427" s="4">
        <f t="shared" si="170"/>
        <v>2.12E-2</v>
      </c>
      <c r="H427" s="4">
        <f t="shared" si="171"/>
        <v>2.5919999999999997E-3</v>
      </c>
      <c r="I427" s="3">
        <f t="shared" si="172"/>
        <v>52.16419951484535</v>
      </c>
      <c r="J427" s="4">
        <f t="shared" si="182"/>
        <v>1258166.4073544033</v>
      </c>
      <c r="K427" s="1">
        <f t="shared" si="183"/>
        <v>1689.47</v>
      </c>
      <c r="L427" s="5">
        <f t="shared" si="184"/>
        <v>0.18082191780821935</v>
      </c>
      <c r="M427" s="5">
        <f t="shared" si="185"/>
        <v>-0.6348908328292584</v>
      </c>
      <c r="N427" s="5">
        <f t="shared" si="186"/>
        <v>64.467690139279981</v>
      </c>
      <c r="O427" s="1">
        <f t="shared" si="187"/>
        <v>0</v>
      </c>
      <c r="P427" s="1">
        <f t="shared" si="188"/>
        <v>1689.47</v>
      </c>
      <c r="Q427" s="5">
        <f t="shared" si="189"/>
        <v>0.18082191780821935</v>
      </c>
      <c r="R427" s="5">
        <f t="shared" si="190"/>
        <v>-0.6348908328292584</v>
      </c>
      <c r="S427" s="5">
        <f t="shared" si="173"/>
        <v>64.467690139279981</v>
      </c>
      <c r="T427" s="5">
        <f t="shared" si="174"/>
        <v>-723.52636483462027</v>
      </c>
      <c r="U427" s="4">
        <f t="shared" si="175"/>
        <v>1258186.7103684836</v>
      </c>
      <c r="V427" s="4">
        <f t="shared" si="191"/>
        <v>20.303341709781829</v>
      </c>
      <c r="W427" s="4">
        <f t="shared" si="176"/>
        <v>1211542.6368727256</v>
      </c>
      <c r="X427" s="4">
        <f t="shared" si="180"/>
        <v>656.57778013893403</v>
      </c>
      <c r="Y427" s="9">
        <f>SUM($X$6:X427)</f>
        <v>211542.63687272556</v>
      </c>
      <c r="Z427" s="16">
        <f t="shared" si="181"/>
        <v>0.21154263687272556</v>
      </c>
      <c r="AA427" s="16">
        <f t="shared" si="177"/>
        <v>0.29607849278812282</v>
      </c>
      <c r="AB427" s="16">
        <f t="shared" si="178"/>
        <v>5.4222920084732009E-4</v>
      </c>
      <c r="AC427" s="16">
        <f t="shared" si="179"/>
        <v>5.43780361071039E-5</v>
      </c>
    </row>
    <row r="428" spans="1:29" x14ac:dyDescent="0.15">
      <c r="A428" s="8">
        <v>41526</v>
      </c>
      <c r="B428" s="4">
        <v>1671.71</v>
      </c>
      <c r="C428" s="1">
        <v>14.350899999999999</v>
      </c>
      <c r="D428" s="1">
        <v>2.1</v>
      </c>
      <c r="E428" s="1">
        <v>0.25869999999999999</v>
      </c>
      <c r="F428" s="4">
        <f t="shared" si="169"/>
        <v>0.143509</v>
      </c>
      <c r="G428" s="4">
        <f t="shared" si="170"/>
        <v>2.1000000000000001E-2</v>
      </c>
      <c r="H428" s="4">
        <f t="shared" si="171"/>
        <v>2.5869999999999999E-3</v>
      </c>
      <c r="I428" s="3">
        <f t="shared" si="172"/>
        <v>51.56176934544915</v>
      </c>
      <c r="J428" s="4">
        <f t="shared" si="182"/>
        <v>1258186.7103684836</v>
      </c>
      <c r="K428" s="1">
        <f t="shared" si="183"/>
        <v>1689.47</v>
      </c>
      <c r="L428" s="5">
        <f t="shared" si="184"/>
        <v>0.17260273972602758</v>
      </c>
      <c r="M428" s="5">
        <f t="shared" si="185"/>
        <v>-0.57745327591606577</v>
      </c>
      <c r="N428" s="5">
        <f t="shared" si="186"/>
        <v>52.469117151079722</v>
      </c>
      <c r="O428" s="1">
        <f t="shared" si="187"/>
        <v>0</v>
      </c>
      <c r="P428" s="1">
        <f t="shared" si="188"/>
        <v>1689.47</v>
      </c>
      <c r="Q428" s="5">
        <f t="shared" si="189"/>
        <v>0.17260273972602758</v>
      </c>
      <c r="R428" s="5">
        <f t="shared" si="190"/>
        <v>-0.57745327591606577</v>
      </c>
      <c r="S428" s="5">
        <f t="shared" si="173"/>
        <v>52.469117151079722</v>
      </c>
      <c r="T428" s="5">
        <f t="shared" si="174"/>
        <v>-723.52636483462027</v>
      </c>
      <c r="U428" s="4">
        <f t="shared" si="175"/>
        <v>1258207.0137101933</v>
      </c>
      <c r="V428" s="4">
        <f t="shared" si="191"/>
        <v>60.911008033586612</v>
      </c>
      <c r="W428" s="4">
        <f t="shared" si="176"/>
        <v>1220244.2241117908</v>
      </c>
      <c r="X428" s="4">
        <f t="shared" si="180"/>
        <v>8701.5872390652075</v>
      </c>
      <c r="Y428" s="9">
        <f>SUM($X$6:X428)</f>
        <v>220244.22411179077</v>
      </c>
      <c r="Z428" s="16">
        <f t="shared" si="181"/>
        <v>0.22024422411179076</v>
      </c>
      <c r="AA428" s="16">
        <f t="shared" si="177"/>
        <v>0.30903011604779734</v>
      </c>
      <c r="AB428" s="16">
        <f t="shared" si="178"/>
        <v>7.1822377308371384E-3</v>
      </c>
      <c r="AC428" s="16">
        <f t="shared" si="179"/>
        <v>9.9929312396913692E-3</v>
      </c>
    </row>
    <row r="429" spans="1:29" x14ac:dyDescent="0.15">
      <c r="A429" s="8">
        <v>41527</v>
      </c>
      <c r="B429" s="4">
        <v>1683.99</v>
      </c>
      <c r="C429" s="1">
        <v>13.8028</v>
      </c>
      <c r="D429" s="1">
        <v>2.09</v>
      </c>
      <c r="E429" s="1">
        <v>0.25869999999999999</v>
      </c>
      <c r="F429" s="4">
        <f t="shared" si="169"/>
        <v>0.13802799999999998</v>
      </c>
      <c r="G429" s="4">
        <f t="shared" si="170"/>
        <v>2.0899999999999998E-2</v>
      </c>
      <c r="H429" s="4">
        <f t="shared" si="171"/>
        <v>2.5869999999999999E-3</v>
      </c>
      <c r="I429" s="3">
        <f t="shared" si="172"/>
        <v>50.090964922260149</v>
      </c>
      <c r="J429" s="4">
        <f t="shared" si="182"/>
        <v>1258207.0137101933</v>
      </c>
      <c r="K429" s="1">
        <f t="shared" si="183"/>
        <v>1689.47</v>
      </c>
      <c r="L429" s="5">
        <f t="shared" si="184"/>
        <v>0.16986301369863033</v>
      </c>
      <c r="M429" s="5">
        <f t="shared" si="185"/>
        <v>-0.53132327691606918</v>
      </c>
      <c r="N429" s="5">
        <f t="shared" si="186"/>
        <v>43.789890036247002</v>
      </c>
      <c r="O429" s="1">
        <f t="shared" si="187"/>
        <v>0</v>
      </c>
      <c r="P429" s="1">
        <f t="shared" si="188"/>
        <v>1689.47</v>
      </c>
      <c r="Q429" s="5">
        <f t="shared" si="189"/>
        <v>0.16986301369863033</v>
      </c>
      <c r="R429" s="5">
        <f t="shared" si="190"/>
        <v>-0.53132327691606918</v>
      </c>
      <c r="S429" s="5">
        <f t="shared" si="173"/>
        <v>43.789890036247002</v>
      </c>
      <c r="T429" s="5">
        <f t="shared" si="174"/>
        <v>-723.52636483462027</v>
      </c>
      <c r="U429" s="4">
        <f t="shared" si="175"/>
        <v>1258267.924718227</v>
      </c>
      <c r="V429" s="4">
        <f t="shared" si="191"/>
        <v>20.304652264631113</v>
      </c>
      <c r="W429" s="4">
        <f t="shared" si="176"/>
        <v>1226584.7847637935</v>
      </c>
      <c r="X429" s="4">
        <f t="shared" si="180"/>
        <v>6340.5606520026922</v>
      </c>
      <c r="Y429" s="9">
        <f>SUM($X$6:X429)</f>
        <v>226584.78476379346</v>
      </c>
      <c r="Z429" s="16">
        <f t="shared" si="181"/>
        <v>0.22658478476379346</v>
      </c>
      <c r="AA429" s="16">
        <f t="shared" si="177"/>
        <v>0.31864595242196925</v>
      </c>
      <c r="AB429" s="16">
        <f t="shared" si="178"/>
        <v>5.1961406796397274E-3</v>
      </c>
      <c r="AC429" s="16">
        <f t="shared" si="179"/>
        <v>7.3457716948513632E-3</v>
      </c>
    </row>
    <row r="430" spans="1:29" x14ac:dyDescent="0.15">
      <c r="A430" s="8">
        <v>41528</v>
      </c>
      <c r="B430" s="4">
        <v>1689.13</v>
      </c>
      <c r="C430" s="1">
        <v>13.3139</v>
      </c>
      <c r="D430" s="1">
        <v>2.08</v>
      </c>
      <c r="E430" s="1">
        <v>0.25719999999999998</v>
      </c>
      <c r="F430" s="4">
        <f t="shared" si="169"/>
        <v>0.13313900000000001</v>
      </c>
      <c r="G430" s="4">
        <f t="shared" si="170"/>
        <v>2.0799999999999999E-2</v>
      </c>
      <c r="H430" s="4">
        <f t="shared" si="171"/>
        <v>2.5719999999999996E-3</v>
      </c>
      <c r="I430" s="3">
        <f t="shared" si="172"/>
        <v>48.590199737876901</v>
      </c>
      <c r="J430" s="4">
        <f t="shared" si="182"/>
        <v>1258267.924718227</v>
      </c>
      <c r="K430" s="1">
        <f t="shared" si="183"/>
        <v>1689.47</v>
      </c>
      <c r="L430" s="5">
        <f t="shared" si="184"/>
        <v>0.16712328767123308</v>
      </c>
      <c r="M430" s="5">
        <f t="shared" si="185"/>
        <v>-0.51116475876943845</v>
      </c>
      <c r="N430" s="5">
        <f t="shared" si="186"/>
        <v>39.407766900223464</v>
      </c>
      <c r="O430" s="1">
        <f t="shared" si="187"/>
        <v>0</v>
      </c>
      <c r="P430" s="1">
        <f t="shared" si="188"/>
        <v>1689.47</v>
      </c>
      <c r="Q430" s="5">
        <f t="shared" si="189"/>
        <v>0.16712328767123308</v>
      </c>
      <c r="R430" s="5">
        <f t="shared" si="190"/>
        <v>-0.51116475876943845</v>
      </c>
      <c r="S430" s="5">
        <f t="shared" si="173"/>
        <v>39.407766900223464</v>
      </c>
      <c r="T430" s="5">
        <f t="shared" si="174"/>
        <v>-723.52636483462027</v>
      </c>
      <c r="U430" s="4">
        <f t="shared" si="175"/>
        <v>1258288.2293704916</v>
      </c>
      <c r="V430" s="4">
        <f t="shared" si="191"/>
        <v>20.304979920526559</v>
      </c>
      <c r="W430" s="4">
        <f t="shared" si="176"/>
        <v>1229775.6710389229</v>
      </c>
      <c r="X430" s="4">
        <f t="shared" si="180"/>
        <v>3190.8862751293927</v>
      </c>
      <c r="Y430" s="9">
        <f>SUM($X$6:X430)</f>
        <v>229775.67103892285</v>
      </c>
      <c r="Z430" s="16">
        <f t="shared" si="181"/>
        <v>0.22977567103892285</v>
      </c>
      <c r="AA430" s="16">
        <f t="shared" si="177"/>
        <v>0.32267082204438335</v>
      </c>
      <c r="AB430" s="16">
        <f t="shared" si="178"/>
        <v>2.601439635290984E-3</v>
      </c>
      <c r="AC430" s="16">
        <f t="shared" si="179"/>
        <v>3.0522746572129882E-3</v>
      </c>
    </row>
    <row r="431" spans="1:29" x14ac:dyDescent="0.15">
      <c r="A431" s="8">
        <v>41529</v>
      </c>
      <c r="B431" s="4">
        <v>1683.42</v>
      </c>
      <c r="C431" s="1">
        <v>13.5657</v>
      </c>
      <c r="D431" s="1">
        <v>2.09</v>
      </c>
      <c r="E431" s="1">
        <v>0.25719999999999998</v>
      </c>
      <c r="F431" s="4">
        <f t="shared" si="169"/>
        <v>0.135657</v>
      </c>
      <c r="G431" s="4">
        <f t="shared" si="170"/>
        <v>2.0899999999999998E-2</v>
      </c>
      <c r="H431" s="4">
        <f t="shared" si="171"/>
        <v>2.5719999999999996E-3</v>
      </c>
      <c r="I431" s="3">
        <f t="shared" si="172"/>
        <v>49.286888027425881</v>
      </c>
      <c r="J431" s="4">
        <f t="shared" si="182"/>
        <v>1258288.2293704916</v>
      </c>
      <c r="K431" s="1">
        <f t="shared" si="183"/>
        <v>1689.47</v>
      </c>
      <c r="L431" s="5">
        <f t="shared" si="184"/>
        <v>0.16438356164383583</v>
      </c>
      <c r="M431" s="5">
        <f t="shared" si="185"/>
        <v>-0.53500901487899466</v>
      </c>
      <c r="N431" s="5">
        <f t="shared" si="186"/>
        <v>42.748856546322656</v>
      </c>
      <c r="O431" s="1">
        <f t="shared" si="187"/>
        <v>0</v>
      </c>
      <c r="P431" s="1">
        <f t="shared" si="188"/>
        <v>1689.47</v>
      </c>
      <c r="Q431" s="5">
        <f t="shared" si="189"/>
        <v>0.16438356164383583</v>
      </c>
      <c r="R431" s="5">
        <f t="shared" si="190"/>
        <v>-0.53500901487899466</v>
      </c>
      <c r="S431" s="5">
        <f t="shared" si="173"/>
        <v>42.748856546322656</v>
      </c>
      <c r="T431" s="5">
        <f t="shared" si="174"/>
        <v>-723.52636483462027</v>
      </c>
      <c r="U431" s="4">
        <f t="shared" si="175"/>
        <v>1258308.5343504122</v>
      </c>
      <c r="V431" s="4">
        <f t="shared" si="191"/>
        <v>20.305307581709389</v>
      </c>
      <c r="W431" s="4">
        <f t="shared" si="176"/>
        <v>1227378.6095726148</v>
      </c>
      <c r="X431" s="4">
        <f t="shared" si="180"/>
        <v>-2397.0614663080778</v>
      </c>
      <c r="Y431" s="9">
        <f>SUM($X$6:X431)</f>
        <v>227378.60957261478</v>
      </c>
      <c r="Z431" s="16">
        <f t="shared" si="181"/>
        <v>0.22737860957261477</v>
      </c>
      <c r="AA431" s="16">
        <f t="shared" si="177"/>
        <v>0.31819961474010627</v>
      </c>
      <c r="AB431" s="16">
        <f t="shared" si="178"/>
        <v>-1.9491859554214663E-3</v>
      </c>
      <c r="AC431" s="16">
        <f t="shared" si="179"/>
        <v>-3.3804384505633292E-3</v>
      </c>
    </row>
    <row r="432" spans="1:29" x14ac:dyDescent="0.15">
      <c r="A432" s="8">
        <v>41530</v>
      </c>
      <c r="B432" s="4">
        <v>1687.99</v>
      </c>
      <c r="C432" s="1">
        <v>13.527900000000001</v>
      </c>
      <c r="D432" s="1">
        <v>2.08</v>
      </c>
      <c r="E432" s="1">
        <v>0.25669999999999998</v>
      </c>
      <c r="F432" s="4">
        <f t="shared" si="169"/>
        <v>0.13527900000000001</v>
      </c>
      <c r="G432" s="4">
        <f t="shared" si="170"/>
        <v>2.0799999999999999E-2</v>
      </c>
      <c r="H432" s="4">
        <f t="shared" si="171"/>
        <v>2.5669999999999998E-3</v>
      </c>
      <c r="I432" s="3">
        <f t="shared" si="172"/>
        <v>49.273960567001247</v>
      </c>
      <c r="J432" s="4">
        <f t="shared" si="182"/>
        <v>1258308.5343504122</v>
      </c>
      <c r="K432" s="1">
        <f t="shared" si="183"/>
        <v>1689.47</v>
      </c>
      <c r="L432" s="5">
        <f t="shared" si="184"/>
        <v>0.16164383561643858</v>
      </c>
      <c r="M432" s="5">
        <f t="shared" si="185"/>
        <v>-0.51545616274495565</v>
      </c>
      <c r="N432" s="5">
        <f t="shared" si="186"/>
        <v>39.881285511294578</v>
      </c>
      <c r="O432" s="1">
        <f t="shared" si="187"/>
        <v>0</v>
      </c>
      <c r="P432" s="1">
        <f t="shared" si="188"/>
        <v>1689.47</v>
      </c>
      <c r="Q432" s="5">
        <f t="shared" si="189"/>
        <v>0.16164383561643858</v>
      </c>
      <c r="R432" s="5">
        <f t="shared" si="190"/>
        <v>-0.51545616274495565</v>
      </c>
      <c r="S432" s="5">
        <f t="shared" si="173"/>
        <v>39.881285511294578</v>
      </c>
      <c r="T432" s="5">
        <f t="shared" si="174"/>
        <v>-723.52636483462027</v>
      </c>
      <c r="U432" s="4">
        <f t="shared" si="175"/>
        <v>1258328.839657994</v>
      </c>
      <c r="V432" s="4">
        <f t="shared" si="191"/>
        <v>20.305635248179684</v>
      </c>
      <c r="W432" s="4">
        <f t="shared" si="176"/>
        <v>1229473.6781270753</v>
      </c>
      <c r="X432" s="4">
        <f t="shared" si="180"/>
        <v>2095.0685544605367</v>
      </c>
      <c r="Y432" s="9">
        <f>SUM($X$6:X432)</f>
        <v>229473.67812707531</v>
      </c>
      <c r="Z432" s="16">
        <f t="shared" si="181"/>
        <v>0.22947367812707531</v>
      </c>
      <c r="AA432" s="16">
        <f t="shared" si="177"/>
        <v>0.32177814668065718</v>
      </c>
      <c r="AB432" s="16">
        <f t="shared" si="178"/>
        <v>1.7069456304033685E-3</v>
      </c>
      <c r="AC432" s="16">
        <f t="shared" si="179"/>
        <v>2.7147117178125102E-3</v>
      </c>
    </row>
    <row r="433" spans="1:29" x14ac:dyDescent="0.15">
      <c r="A433" s="8">
        <v>41533</v>
      </c>
      <c r="B433" s="4">
        <v>1697.6</v>
      </c>
      <c r="C433" s="1">
        <v>13.334899999999999</v>
      </c>
      <c r="D433" s="1">
        <v>2.0699999999999998</v>
      </c>
      <c r="E433" s="1">
        <v>0.25459999999999999</v>
      </c>
      <c r="F433" s="4">
        <f t="shared" si="169"/>
        <v>0.133349</v>
      </c>
      <c r="G433" s="4">
        <f t="shared" si="170"/>
        <v>2.07E-2</v>
      </c>
      <c r="H433" s="4">
        <f t="shared" si="171"/>
        <v>2.5460000000000001E-3</v>
      </c>
      <c r="I433" s="3">
        <f t="shared" si="172"/>
        <v>48.888758928566354</v>
      </c>
      <c r="J433" s="4">
        <f t="shared" si="182"/>
        <v>1258328.839657994</v>
      </c>
      <c r="K433" s="1">
        <f t="shared" si="183"/>
        <v>1689.47</v>
      </c>
      <c r="L433" s="5">
        <f t="shared" si="184"/>
        <v>0.15342465753424681</v>
      </c>
      <c r="M433" s="5">
        <f t="shared" si="185"/>
        <v>-0.47270258877556259</v>
      </c>
      <c r="N433" s="5">
        <f t="shared" si="186"/>
        <v>33.544944540036454</v>
      </c>
      <c r="O433" s="1">
        <f t="shared" si="187"/>
        <v>0</v>
      </c>
      <c r="P433" s="1">
        <f t="shared" si="188"/>
        <v>1689.47</v>
      </c>
      <c r="Q433" s="5">
        <f t="shared" si="189"/>
        <v>0.15342465753424681</v>
      </c>
      <c r="R433" s="5">
        <f t="shared" si="190"/>
        <v>-0.47270258877556259</v>
      </c>
      <c r="S433" s="5">
        <f t="shared" si="173"/>
        <v>33.544944540036454</v>
      </c>
      <c r="T433" s="5">
        <f t="shared" si="174"/>
        <v>-723.52636483462027</v>
      </c>
      <c r="U433" s="4">
        <f t="shared" si="175"/>
        <v>1258349.1452932421</v>
      </c>
      <c r="V433" s="4">
        <f t="shared" si="191"/>
        <v>60.917888759812563</v>
      </c>
      <c r="W433" s="4">
        <f t="shared" si="176"/>
        <v>1234078.4935116107</v>
      </c>
      <c r="X433" s="4">
        <f t="shared" si="180"/>
        <v>4604.8153845353518</v>
      </c>
      <c r="Y433" s="9">
        <f>SUM($X$6:X433)</f>
        <v>234078.49351161066</v>
      </c>
      <c r="Z433" s="16">
        <f t="shared" si="181"/>
        <v>0.23407849351161067</v>
      </c>
      <c r="AA433" s="16">
        <f t="shared" si="177"/>
        <v>0.32930324338715483</v>
      </c>
      <c r="AB433" s="16">
        <f t="shared" si="178"/>
        <v>3.7453549973921522E-3</v>
      </c>
      <c r="AC433" s="16">
        <f t="shared" si="179"/>
        <v>5.6931616893464414E-3</v>
      </c>
    </row>
    <row r="434" spans="1:29" x14ac:dyDescent="0.15">
      <c r="A434" s="8">
        <v>41534</v>
      </c>
      <c r="B434" s="4">
        <v>1704.76</v>
      </c>
      <c r="C434" s="1">
        <v>13.454800000000001</v>
      </c>
      <c r="D434" s="1">
        <v>2.06</v>
      </c>
      <c r="E434" s="1">
        <v>0.25469999999999998</v>
      </c>
      <c r="F434" s="4">
        <f t="shared" si="169"/>
        <v>0.134548</v>
      </c>
      <c r="G434" s="4">
        <f t="shared" si="170"/>
        <v>2.06E-2</v>
      </c>
      <c r="H434" s="4">
        <f t="shared" si="171"/>
        <v>2.5469999999999998E-3</v>
      </c>
      <c r="I434" s="3">
        <f t="shared" si="172"/>
        <v>49.477848421396807</v>
      </c>
      <c r="J434" s="4">
        <f t="shared" si="182"/>
        <v>1258349.1452932421</v>
      </c>
      <c r="K434" s="1">
        <f t="shared" si="183"/>
        <v>1689.47</v>
      </c>
      <c r="L434" s="5">
        <f t="shared" si="184"/>
        <v>0.15068493150684956</v>
      </c>
      <c r="M434" s="5">
        <f t="shared" si="185"/>
        <v>-0.44038263568808222</v>
      </c>
      <c r="N434" s="5">
        <f t="shared" si="186"/>
        <v>30.224077521314385</v>
      </c>
      <c r="O434" s="1">
        <f t="shared" si="187"/>
        <v>0</v>
      </c>
      <c r="P434" s="1">
        <f t="shared" si="188"/>
        <v>1689.47</v>
      </c>
      <c r="Q434" s="5">
        <f t="shared" si="189"/>
        <v>0.15068493150684956</v>
      </c>
      <c r="R434" s="5">
        <f t="shared" si="190"/>
        <v>-0.44038263568808222</v>
      </c>
      <c r="S434" s="5">
        <f t="shared" si="173"/>
        <v>30.224077521314385</v>
      </c>
      <c r="T434" s="5">
        <f t="shared" si="174"/>
        <v>-723.52636483462027</v>
      </c>
      <c r="U434" s="4">
        <f t="shared" si="175"/>
        <v>1258410.0631820019</v>
      </c>
      <c r="V434" s="4">
        <f t="shared" si="191"/>
        <v>20.306945951073946</v>
      </c>
      <c r="W434" s="4">
        <f t="shared" si="176"/>
        <v>1236542.1462425257</v>
      </c>
      <c r="X434" s="4">
        <f t="shared" si="180"/>
        <v>2463.6527309149969</v>
      </c>
      <c r="Y434" s="9">
        <f>SUM($X$6:X434)</f>
        <v>236542.14624252566</v>
      </c>
      <c r="Z434" s="16">
        <f t="shared" si="181"/>
        <v>0.23654214624252567</v>
      </c>
      <c r="AA434" s="16">
        <f t="shared" si="177"/>
        <v>0.33490987111020631</v>
      </c>
      <c r="AB434" s="16">
        <f t="shared" si="178"/>
        <v>1.9963501056602913E-3</v>
      </c>
      <c r="AC434" s="16">
        <f t="shared" si="179"/>
        <v>4.2177191328935451E-3</v>
      </c>
    </row>
    <row r="435" spans="1:29" x14ac:dyDescent="0.15">
      <c r="A435" s="8">
        <v>41535</v>
      </c>
      <c r="B435" s="4">
        <v>1725.52</v>
      </c>
      <c r="C435" s="1">
        <v>13.014099999999999</v>
      </c>
      <c r="D435" s="1">
        <v>2.04</v>
      </c>
      <c r="E435" s="1">
        <v>0.25530000000000003</v>
      </c>
      <c r="F435" s="4">
        <f t="shared" si="169"/>
        <v>0.13014099999999998</v>
      </c>
      <c r="G435" s="4">
        <f t="shared" si="170"/>
        <v>2.0400000000000001E-2</v>
      </c>
      <c r="H435" s="4">
        <f t="shared" si="171"/>
        <v>2.5530000000000001E-3</v>
      </c>
      <c r="I435" s="3">
        <f t="shared" si="172"/>
        <v>48.52885164038625</v>
      </c>
      <c r="J435" s="4">
        <f t="shared" si="182"/>
        <v>1258410.0631820019</v>
      </c>
      <c r="K435" s="1">
        <f t="shared" si="183"/>
        <v>1689.47</v>
      </c>
      <c r="L435" s="5">
        <f t="shared" si="184"/>
        <v>0.14794520547945231</v>
      </c>
      <c r="M435" s="5">
        <f t="shared" si="185"/>
        <v>-0.3457189228210501</v>
      </c>
      <c r="N435" s="5">
        <f t="shared" si="186"/>
        <v>20.583780733634615</v>
      </c>
      <c r="O435" s="1">
        <f t="shared" si="187"/>
        <v>0</v>
      </c>
      <c r="P435" s="1">
        <f t="shared" si="188"/>
        <v>1689.47</v>
      </c>
      <c r="Q435" s="5">
        <f t="shared" si="189"/>
        <v>0.14794520547945231</v>
      </c>
      <c r="R435" s="5">
        <f t="shared" si="190"/>
        <v>-0.3457189228210501</v>
      </c>
      <c r="S435" s="5">
        <f t="shared" si="173"/>
        <v>20.583780733634615</v>
      </c>
      <c r="T435" s="5">
        <f t="shared" si="174"/>
        <v>-723.52636483462027</v>
      </c>
      <c r="U435" s="4">
        <f t="shared" si="175"/>
        <v>1258430.3701279531</v>
      </c>
      <c r="V435" s="4">
        <f t="shared" si="191"/>
        <v>20.307273643982583</v>
      </c>
      <c r="W435" s="4">
        <f t="shared" si="176"/>
        <v>1243537.4620791937</v>
      </c>
      <c r="X435" s="4">
        <f t="shared" si="180"/>
        <v>6995.3158366680145</v>
      </c>
      <c r="Y435" s="9">
        <f>SUM($X$6:X435)</f>
        <v>243537.46207919368</v>
      </c>
      <c r="Z435" s="16">
        <f t="shared" si="181"/>
        <v>0.24353746207919369</v>
      </c>
      <c r="AA435" s="16">
        <f t="shared" si="177"/>
        <v>0.35116595931279665</v>
      </c>
      <c r="AB435" s="16">
        <f t="shared" si="178"/>
        <v>5.6571592467953031E-3</v>
      </c>
      <c r="AC435" s="16">
        <f t="shared" si="179"/>
        <v>1.2177667237617019E-2</v>
      </c>
    </row>
    <row r="436" spans="1:29" x14ac:dyDescent="0.15">
      <c r="A436" s="8">
        <v>41536</v>
      </c>
      <c r="B436" s="4">
        <v>1722.34</v>
      </c>
      <c r="C436" s="1">
        <v>13.025600000000001</v>
      </c>
      <c r="D436" s="1">
        <v>2.04</v>
      </c>
      <c r="E436" s="1">
        <v>0.253</v>
      </c>
      <c r="F436" s="4">
        <f t="shared" si="169"/>
        <v>0.13025600000000001</v>
      </c>
      <c r="G436" s="4">
        <f t="shared" si="170"/>
        <v>2.0400000000000001E-2</v>
      </c>
      <c r="H436" s="4">
        <f t="shared" si="171"/>
        <v>2.5300000000000001E-3</v>
      </c>
      <c r="I436" s="3">
        <f t="shared" si="172"/>
        <v>48.483978089777679</v>
      </c>
      <c r="J436" s="4">
        <f t="shared" si="182"/>
        <v>1258430.3701279531</v>
      </c>
      <c r="K436" s="1">
        <f t="shared" si="183"/>
        <v>1689.47</v>
      </c>
      <c r="L436" s="5">
        <f t="shared" si="184"/>
        <v>0.14520547945205506</v>
      </c>
      <c r="M436" s="5">
        <f t="shared" si="185"/>
        <v>-0.35808024645617387</v>
      </c>
      <c r="N436" s="5">
        <f t="shared" si="186"/>
        <v>21.405951589177317</v>
      </c>
      <c r="O436" s="1">
        <f t="shared" si="187"/>
        <v>0</v>
      </c>
      <c r="P436" s="1">
        <f t="shared" si="188"/>
        <v>1689.47</v>
      </c>
      <c r="Q436" s="5">
        <f t="shared" si="189"/>
        <v>0.14520547945205506</v>
      </c>
      <c r="R436" s="5">
        <f t="shared" si="190"/>
        <v>-0.35808024645617387</v>
      </c>
      <c r="S436" s="5">
        <f t="shared" si="173"/>
        <v>21.405951589177317</v>
      </c>
      <c r="T436" s="5">
        <f t="shared" si="174"/>
        <v>-723.52636483462027</v>
      </c>
      <c r="U436" s="4">
        <f t="shared" si="175"/>
        <v>1258450.6774015971</v>
      </c>
      <c r="V436" s="4">
        <f t="shared" si="191"/>
        <v>20.307601342179193</v>
      </c>
      <c r="W436" s="4">
        <f t="shared" si="176"/>
        <v>1242962.9070624539</v>
      </c>
      <c r="X436" s="4">
        <f t="shared" si="180"/>
        <v>-574.55501673975959</v>
      </c>
      <c r="Y436" s="9">
        <f>SUM($X$6:X436)</f>
        <v>242962.90706245392</v>
      </c>
      <c r="Z436" s="16">
        <f t="shared" si="181"/>
        <v>0.24296290706245391</v>
      </c>
      <c r="AA436" s="16">
        <f t="shared" si="177"/>
        <v>0.3486758648771397</v>
      </c>
      <c r="AB436" s="16">
        <f t="shared" si="178"/>
        <v>-4.6203273665684671E-4</v>
      </c>
      <c r="AC436" s="16">
        <f t="shared" si="179"/>
        <v>-1.8429227131531733E-3</v>
      </c>
    </row>
    <row r="437" spans="1:29" x14ac:dyDescent="0.15">
      <c r="A437" s="8">
        <v>41537</v>
      </c>
      <c r="B437" s="4">
        <v>1709.91</v>
      </c>
      <c r="C437" s="1">
        <v>13.3078</v>
      </c>
      <c r="D437" s="1">
        <v>2.06</v>
      </c>
      <c r="E437" s="1">
        <v>0.25240000000000001</v>
      </c>
      <c r="F437" s="4">
        <f t="shared" si="169"/>
        <v>0.133078</v>
      </c>
      <c r="G437" s="4">
        <f t="shared" si="170"/>
        <v>2.06E-2</v>
      </c>
      <c r="H437" s="4">
        <f t="shared" si="171"/>
        <v>2.5240000000000002E-3</v>
      </c>
      <c r="I437" s="3">
        <f t="shared" si="172"/>
        <v>49.134767421653713</v>
      </c>
      <c r="J437" s="4">
        <f t="shared" si="182"/>
        <v>1258450.6774015971</v>
      </c>
      <c r="K437" s="1">
        <f t="shared" si="183"/>
        <v>1689.47</v>
      </c>
      <c r="L437" s="5">
        <f t="shared" si="184"/>
        <v>0.14246575342465781</v>
      </c>
      <c r="M437" s="5">
        <f t="shared" si="185"/>
        <v>-0.41434301068427309</v>
      </c>
      <c r="N437" s="5">
        <f t="shared" si="186"/>
        <v>26.581505449999689</v>
      </c>
      <c r="O437" s="1">
        <f t="shared" si="187"/>
        <v>0</v>
      </c>
      <c r="P437" s="1">
        <f t="shared" si="188"/>
        <v>1689.47</v>
      </c>
      <c r="Q437" s="5">
        <f t="shared" si="189"/>
        <v>0.14246575342465781</v>
      </c>
      <c r="R437" s="5">
        <f t="shared" si="190"/>
        <v>-0.41434301068427309</v>
      </c>
      <c r="S437" s="5">
        <f t="shared" si="173"/>
        <v>26.581505449999689</v>
      </c>
      <c r="T437" s="5">
        <f t="shared" si="174"/>
        <v>-723.52636483462027</v>
      </c>
      <c r="U437" s="4">
        <f t="shared" si="175"/>
        <v>1258470.9850029394</v>
      </c>
      <c r="V437" s="4">
        <f t="shared" si="191"/>
        <v>20.307929045663869</v>
      </c>
      <c r="W437" s="4">
        <f t="shared" si="176"/>
        <v>1239238.5649928695</v>
      </c>
      <c r="X437" s="4">
        <f t="shared" si="180"/>
        <v>-3724.3420695844106</v>
      </c>
      <c r="Y437" s="9">
        <f>SUM($X$6:X437)</f>
        <v>239238.56499286951</v>
      </c>
      <c r="Z437" s="16">
        <f t="shared" si="181"/>
        <v>0.2392385649928695</v>
      </c>
      <c r="AA437" s="16">
        <f t="shared" si="177"/>
        <v>0.3389425712182671</v>
      </c>
      <c r="AB437" s="16">
        <f t="shared" si="178"/>
        <v>-2.9963420858521864E-3</v>
      </c>
      <c r="AC437" s="16">
        <f t="shared" si="179"/>
        <v>-7.2169258102348184E-3</v>
      </c>
    </row>
    <row r="438" spans="1:29" x14ac:dyDescent="0.15">
      <c r="A438" s="8">
        <v>41540</v>
      </c>
      <c r="B438" s="4">
        <v>1701.84</v>
      </c>
      <c r="C438" s="1">
        <v>13.764699999999999</v>
      </c>
      <c r="D438" s="1">
        <v>2.06</v>
      </c>
      <c r="E438" s="1">
        <v>0.25330000000000003</v>
      </c>
      <c r="F438" s="4">
        <f t="shared" si="169"/>
        <v>0.13764699999999999</v>
      </c>
      <c r="G438" s="4">
        <f t="shared" si="170"/>
        <v>2.06E-2</v>
      </c>
      <c r="H438" s="4">
        <f t="shared" si="171"/>
        <v>2.5330000000000001E-3</v>
      </c>
      <c r="I438" s="3">
        <f t="shared" si="172"/>
        <v>50.440948023237148</v>
      </c>
      <c r="J438" s="4">
        <f t="shared" si="182"/>
        <v>1258470.9850029394</v>
      </c>
      <c r="K438" s="1">
        <f t="shared" si="183"/>
        <v>1689.47</v>
      </c>
      <c r="L438" s="5">
        <f t="shared" si="184"/>
        <v>0.13424657534246603</v>
      </c>
      <c r="M438" s="5">
        <f t="shared" si="185"/>
        <v>-0.45029199298360473</v>
      </c>
      <c r="N438" s="5">
        <f t="shared" si="186"/>
        <v>30.096313573677342</v>
      </c>
      <c r="O438" s="1">
        <f t="shared" si="187"/>
        <v>0</v>
      </c>
      <c r="P438" s="1">
        <f t="shared" si="188"/>
        <v>1689.47</v>
      </c>
      <c r="Q438" s="5">
        <f t="shared" si="189"/>
        <v>0.13424657534246603</v>
      </c>
      <c r="R438" s="5">
        <f t="shared" si="190"/>
        <v>-0.45029199298360473</v>
      </c>
      <c r="S438" s="5">
        <f t="shared" si="173"/>
        <v>30.096313573677342</v>
      </c>
      <c r="T438" s="5">
        <f t="shared" si="174"/>
        <v>-723.52636483462027</v>
      </c>
      <c r="U438" s="4">
        <f t="shared" si="175"/>
        <v>1258491.2929319851</v>
      </c>
      <c r="V438" s="4">
        <f t="shared" si="191"/>
        <v>60.924770263310066</v>
      </c>
      <c r="W438" s="4">
        <f t="shared" si="176"/>
        <v>1236715.8165770995</v>
      </c>
      <c r="X438" s="4">
        <f t="shared" si="180"/>
        <v>-2522.7484157700092</v>
      </c>
      <c r="Y438" s="9">
        <f>SUM($X$6:X438)</f>
        <v>236715.8165770995</v>
      </c>
      <c r="Z438" s="16">
        <f t="shared" si="181"/>
        <v>0.2367158165770995</v>
      </c>
      <c r="AA438" s="16">
        <f t="shared" si="177"/>
        <v>0.33262336930136405</v>
      </c>
      <c r="AB438" s="16">
        <f t="shared" si="178"/>
        <v>-2.0357245868833375E-3</v>
      </c>
      <c r="AC438" s="16">
        <f t="shared" si="179"/>
        <v>-4.719546642805857E-3</v>
      </c>
    </row>
    <row r="439" spans="1:29" x14ac:dyDescent="0.15">
      <c r="A439" s="8">
        <v>41541</v>
      </c>
      <c r="B439" s="4">
        <v>1697.42</v>
      </c>
      <c r="C439" s="1">
        <v>13.529400000000001</v>
      </c>
      <c r="D439" s="1">
        <v>2.0699999999999998</v>
      </c>
      <c r="E439" s="1">
        <v>0.25290000000000001</v>
      </c>
      <c r="F439" s="4">
        <f t="shared" si="169"/>
        <v>0.135294</v>
      </c>
      <c r="G439" s="4">
        <f t="shared" si="170"/>
        <v>2.07E-2</v>
      </c>
      <c r="H439" s="4">
        <f t="shared" si="171"/>
        <v>2.529E-3</v>
      </c>
      <c r="I439" s="3">
        <f t="shared" si="172"/>
        <v>49.541344005016825</v>
      </c>
      <c r="J439" s="4">
        <f t="shared" si="182"/>
        <v>1258491.2929319851</v>
      </c>
      <c r="K439" s="1">
        <f t="shared" si="183"/>
        <v>1689.47</v>
      </c>
      <c r="L439" s="5">
        <f t="shared" si="184"/>
        <v>0.13150684931506879</v>
      </c>
      <c r="M439" s="5">
        <f t="shared" si="185"/>
        <v>-0.47021363160082824</v>
      </c>
      <c r="N439" s="5">
        <f t="shared" si="186"/>
        <v>31.180052662520282</v>
      </c>
      <c r="O439" s="1">
        <f t="shared" si="187"/>
        <v>0</v>
      </c>
      <c r="P439" s="1">
        <f t="shared" si="188"/>
        <v>1689.47</v>
      </c>
      <c r="Q439" s="5">
        <f t="shared" si="189"/>
        <v>0.13150684931506879</v>
      </c>
      <c r="R439" s="5">
        <f t="shared" si="190"/>
        <v>-0.47021363160082824</v>
      </c>
      <c r="S439" s="5">
        <f t="shared" si="173"/>
        <v>31.180052662520282</v>
      </c>
      <c r="T439" s="5">
        <f t="shared" si="174"/>
        <v>-723.52636483462027</v>
      </c>
      <c r="U439" s="4">
        <f t="shared" si="175"/>
        <v>1258552.2177022484</v>
      </c>
      <c r="V439" s="4">
        <f t="shared" si="191"/>
        <v>20.309239896619843</v>
      </c>
      <c r="W439" s="4">
        <f t="shared" si="176"/>
        <v>1235992.627543983</v>
      </c>
      <c r="X439" s="4">
        <f t="shared" si="180"/>
        <v>-723.18903311644681</v>
      </c>
      <c r="Y439" s="9">
        <f>SUM($X$6:X439)</f>
        <v>235992.62754398305</v>
      </c>
      <c r="Z439" s="16">
        <f t="shared" si="181"/>
        <v>0.23599262754398306</v>
      </c>
      <c r="AA439" s="16">
        <f t="shared" si="177"/>
        <v>0.32916229464551405</v>
      </c>
      <c r="AB439" s="16">
        <f t="shared" si="178"/>
        <v>-5.8476573471668029E-4</v>
      </c>
      <c r="AC439" s="16">
        <f t="shared" si="179"/>
        <v>-2.597188924928222E-3</v>
      </c>
    </row>
    <row r="440" spans="1:29" x14ac:dyDescent="0.15">
      <c r="A440" s="8">
        <v>41542</v>
      </c>
      <c r="B440" s="4">
        <v>1692.77</v>
      </c>
      <c r="C440" s="1">
        <v>13.4602</v>
      </c>
      <c r="D440" s="1">
        <v>2.0699999999999998</v>
      </c>
      <c r="E440" s="1">
        <v>0.25040000000000001</v>
      </c>
      <c r="F440" s="4">
        <f t="shared" si="169"/>
        <v>0.134602</v>
      </c>
      <c r="G440" s="4">
        <f t="shared" si="170"/>
        <v>2.07E-2</v>
      </c>
      <c r="H440" s="4">
        <f t="shared" si="171"/>
        <v>2.5040000000000001E-3</v>
      </c>
      <c r="I440" s="3">
        <f t="shared" si="172"/>
        <v>49.179316490972738</v>
      </c>
      <c r="J440" s="4">
        <f t="shared" si="182"/>
        <v>1258552.2177022484</v>
      </c>
      <c r="K440" s="1">
        <f t="shared" si="183"/>
        <v>1689.47</v>
      </c>
      <c r="L440" s="5">
        <f t="shared" si="184"/>
        <v>0.12876712328767154</v>
      </c>
      <c r="M440" s="5">
        <f t="shared" si="185"/>
        <v>-0.49228680381787582</v>
      </c>
      <c r="N440" s="5">
        <f t="shared" si="186"/>
        <v>32.866495680559346</v>
      </c>
      <c r="O440" s="1">
        <f t="shared" si="187"/>
        <v>0</v>
      </c>
      <c r="P440" s="1">
        <f t="shared" si="188"/>
        <v>1689.47</v>
      </c>
      <c r="Q440" s="5">
        <f t="shared" si="189"/>
        <v>0.12876712328767154</v>
      </c>
      <c r="R440" s="5">
        <f t="shared" si="190"/>
        <v>-0.49228680381787582</v>
      </c>
      <c r="S440" s="5">
        <f t="shared" si="173"/>
        <v>32.866495680559346</v>
      </c>
      <c r="T440" s="5">
        <f t="shared" si="174"/>
        <v>-723.52636483462027</v>
      </c>
      <c r="U440" s="4">
        <f t="shared" si="175"/>
        <v>1258572.5269421451</v>
      </c>
      <c r="V440" s="4">
        <f t="shared" si="191"/>
        <v>20.309567626545846</v>
      </c>
      <c r="W440" s="4">
        <f t="shared" si="176"/>
        <v>1234792.7507975372</v>
      </c>
      <c r="X440" s="4">
        <f t="shared" si="180"/>
        <v>-1199.8767464458942</v>
      </c>
      <c r="Y440" s="9">
        <f>SUM($X$6:X440)</f>
        <v>234792.75079753716</v>
      </c>
      <c r="Z440" s="16">
        <f t="shared" si="181"/>
        <v>0.23479275079753714</v>
      </c>
      <c r="AA440" s="16">
        <f t="shared" si="177"/>
        <v>0.32552111881978923</v>
      </c>
      <c r="AB440" s="16">
        <f t="shared" si="178"/>
        <v>-9.7077985718259992E-4</v>
      </c>
      <c r="AC440" s="16">
        <f t="shared" si="179"/>
        <v>-2.739451638368872E-3</v>
      </c>
    </row>
    <row r="441" spans="1:29" x14ac:dyDescent="0.15">
      <c r="A441" s="8">
        <v>41543</v>
      </c>
      <c r="B441" s="4">
        <v>1698.67</v>
      </c>
      <c r="C441" s="1">
        <v>13.4422</v>
      </c>
      <c r="D441" s="1">
        <v>2.06</v>
      </c>
      <c r="E441" s="1">
        <v>0.25359999999999999</v>
      </c>
      <c r="F441" s="4">
        <f t="shared" si="169"/>
        <v>0.13442199999999999</v>
      </c>
      <c r="G441" s="4">
        <f t="shared" si="170"/>
        <v>2.06E-2</v>
      </c>
      <c r="H441" s="4">
        <f t="shared" si="171"/>
        <v>2.5360000000000001E-3</v>
      </c>
      <c r="I441" s="3">
        <f t="shared" si="172"/>
        <v>49.261217975484414</v>
      </c>
      <c r="J441" s="4">
        <f t="shared" si="182"/>
        <v>1258572.5269421451</v>
      </c>
      <c r="K441" s="1">
        <f t="shared" si="183"/>
        <v>1689.47</v>
      </c>
      <c r="L441" s="5">
        <f t="shared" si="184"/>
        <v>0.12602739726027429</v>
      </c>
      <c r="M441" s="5">
        <f t="shared" si="185"/>
        <v>-0.46295719519800649</v>
      </c>
      <c r="N441" s="5">
        <f t="shared" si="186"/>
        <v>29.603476674806007</v>
      </c>
      <c r="O441" s="1">
        <f t="shared" si="187"/>
        <v>0</v>
      </c>
      <c r="P441" s="1">
        <f t="shared" si="188"/>
        <v>1689.47</v>
      </c>
      <c r="Q441" s="5">
        <f t="shared" si="189"/>
        <v>0.12602739726027429</v>
      </c>
      <c r="R441" s="5">
        <f t="shared" si="190"/>
        <v>-0.46295719519800649</v>
      </c>
      <c r="S441" s="5">
        <f t="shared" si="173"/>
        <v>29.603476674806007</v>
      </c>
      <c r="T441" s="5">
        <f t="shared" si="174"/>
        <v>-723.52636483462027</v>
      </c>
      <c r="U441" s="4">
        <f t="shared" si="175"/>
        <v>1258592.8365097716</v>
      </c>
      <c r="V441" s="4">
        <f t="shared" si="191"/>
        <v>20.309895361760425</v>
      </c>
      <c r="W441" s="4">
        <f t="shared" si="176"/>
        <v>1237173.9406447827</v>
      </c>
      <c r="X441" s="4">
        <f t="shared" si="180"/>
        <v>2381.1898472455796</v>
      </c>
      <c r="Y441" s="9">
        <f>SUM($X$6:X441)</f>
        <v>237173.94064478274</v>
      </c>
      <c r="Z441" s="16">
        <f t="shared" si="181"/>
        <v>0.23717394064478273</v>
      </c>
      <c r="AA441" s="16">
        <f t="shared" si="177"/>
        <v>0.33014110535135399</v>
      </c>
      <c r="AB441" s="16">
        <f t="shared" si="178"/>
        <v>1.9284125580649862E-3</v>
      </c>
      <c r="AC441" s="16">
        <f t="shared" si="179"/>
        <v>3.4854114853170195E-3</v>
      </c>
    </row>
    <row r="442" spans="1:29" x14ac:dyDescent="0.15">
      <c r="A442" s="8">
        <v>41544</v>
      </c>
      <c r="B442" s="4">
        <v>1691.75</v>
      </c>
      <c r="C442" s="1">
        <v>13.8207</v>
      </c>
      <c r="D442" s="1">
        <v>2.0699999999999998</v>
      </c>
      <c r="E442" s="1">
        <v>0.25380000000000003</v>
      </c>
      <c r="F442" s="4">
        <f t="shared" si="169"/>
        <v>0.138207</v>
      </c>
      <c r="G442" s="4">
        <f t="shared" si="170"/>
        <v>2.07E-2</v>
      </c>
      <c r="H442" s="4">
        <f t="shared" si="171"/>
        <v>2.5380000000000003E-3</v>
      </c>
      <c r="I442" s="3">
        <f t="shared" si="172"/>
        <v>50.349909826548519</v>
      </c>
      <c r="J442" s="4">
        <f t="shared" si="182"/>
        <v>1258592.8365097716</v>
      </c>
      <c r="K442" s="1">
        <f t="shared" si="183"/>
        <v>1689.47</v>
      </c>
      <c r="L442" s="5">
        <f t="shared" si="184"/>
        <v>0.12328767123287702</v>
      </c>
      <c r="M442" s="5">
        <f t="shared" si="185"/>
        <v>-0.49637267624508596</v>
      </c>
      <c r="N442" s="5">
        <f t="shared" si="186"/>
        <v>33.436927581003474</v>
      </c>
      <c r="O442" s="1">
        <f t="shared" si="187"/>
        <v>0</v>
      </c>
      <c r="P442" s="1">
        <f t="shared" si="188"/>
        <v>1689.47</v>
      </c>
      <c r="Q442" s="5">
        <f t="shared" si="189"/>
        <v>0.12328767123287702</v>
      </c>
      <c r="R442" s="5">
        <f t="shared" si="190"/>
        <v>-0.49637267624508596</v>
      </c>
      <c r="S442" s="5">
        <f t="shared" si="173"/>
        <v>33.436927581003474</v>
      </c>
      <c r="T442" s="5">
        <f t="shared" si="174"/>
        <v>-723.52636483462027</v>
      </c>
      <c r="U442" s="4">
        <f t="shared" si="175"/>
        <v>1258613.1464051334</v>
      </c>
      <c r="V442" s="4">
        <f t="shared" si="191"/>
        <v>20.310223102263659</v>
      </c>
      <c r="W442" s="4">
        <f t="shared" si="176"/>
        <v>1234420.6477412116</v>
      </c>
      <c r="X442" s="4">
        <f t="shared" si="180"/>
        <v>-2753.2929035711568</v>
      </c>
      <c r="Y442" s="9">
        <f>SUM($X$6:X442)</f>
        <v>234420.64774121158</v>
      </c>
      <c r="Z442" s="16">
        <f t="shared" si="181"/>
        <v>0.23442064774121157</v>
      </c>
      <c r="AA442" s="16">
        <f t="shared" si="177"/>
        <v>0.32472240928382384</v>
      </c>
      <c r="AB442" s="16">
        <f t="shared" si="178"/>
        <v>-2.2254695262464166E-3</v>
      </c>
      <c r="AC442" s="16">
        <f t="shared" si="179"/>
        <v>-4.0737753654329989E-3</v>
      </c>
    </row>
    <row r="443" spans="1:29" x14ac:dyDescent="0.15">
      <c r="A443" s="8">
        <v>41547</v>
      </c>
      <c r="B443" s="4">
        <v>1681.55</v>
      </c>
      <c r="C443" s="1">
        <v>14.532299999999999</v>
      </c>
      <c r="D443" s="1">
        <v>2.09</v>
      </c>
      <c r="E443" s="1">
        <v>0.25440000000000002</v>
      </c>
      <c r="F443" s="4">
        <f t="shared" si="169"/>
        <v>0.14532299999999998</v>
      </c>
      <c r="G443" s="4">
        <f t="shared" si="170"/>
        <v>2.0899999999999998E-2</v>
      </c>
      <c r="H443" s="4">
        <f t="shared" si="171"/>
        <v>2.5440000000000003E-3</v>
      </c>
      <c r="I443" s="3">
        <f t="shared" si="172"/>
        <v>52.457908912366008</v>
      </c>
      <c r="J443" s="4">
        <f t="shared" si="182"/>
        <v>1258613.1464051334</v>
      </c>
      <c r="K443" s="1">
        <f t="shared" si="183"/>
        <v>1689.47</v>
      </c>
      <c r="L443" s="5">
        <f t="shared" si="184"/>
        <v>0.11506849315068525</v>
      </c>
      <c r="M443" s="5">
        <f t="shared" si="185"/>
        <v>-0.54388074788202601</v>
      </c>
      <c r="N443" s="5">
        <f t="shared" si="186"/>
        <v>39.147513259924281</v>
      </c>
      <c r="O443" s="1">
        <f t="shared" si="187"/>
        <v>0</v>
      </c>
      <c r="P443" s="1">
        <f t="shared" si="188"/>
        <v>1689.47</v>
      </c>
      <c r="Q443" s="5">
        <f t="shared" si="189"/>
        <v>0.11506849315068525</v>
      </c>
      <c r="R443" s="5">
        <f t="shared" si="190"/>
        <v>-0.54388074788202601</v>
      </c>
      <c r="S443" s="5">
        <f t="shared" si="173"/>
        <v>39.147513259924281</v>
      </c>
      <c r="T443" s="5">
        <f t="shared" si="174"/>
        <v>-723.52636483462027</v>
      </c>
      <c r="U443" s="4">
        <f t="shared" si="175"/>
        <v>1258633.4566282358</v>
      </c>
      <c r="V443" s="4">
        <f t="shared" si="191"/>
        <v>60.931652544166916</v>
      </c>
      <c r="W443" s="4">
        <f t="shared" si="176"/>
        <v>1230309.1986669677</v>
      </c>
      <c r="X443" s="4">
        <f t="shared" si="180"/>
        <v>-4111.4490742438938</v>
      </c>
      <c r="Y443" s="9">
        <f>SUM($X$6:X443)</f>
        <v>230309.19866696768</v>
      </c>
      <c r="Z443" s="16">
        <f t="shared" si="181"/>
        <v>0.2303091986669677</v>
      </c>
      <c r="AA443" s="16">
        <f t="shared" si="177"/>
        <v>0.31673531392416959</v>
      </c>
      <c r="AB443" s="16">
        <f t="shared" si="178"/>
        <v>-3.3306710170209605E-3</v>
      </c>
      <c r="AC443" s="16">
        <f t="shared" si="179"/>
        <v>-6.0292596423821756E-3</v>
      </c>
    </row>
    <row r="444" spans="1:29" x14ac:dyDescent="0.15">
      <c r="A444" s="8">
        <v>41548</v>
      </c>
      <c r="B444" s="4">
        <v>1695</v>
      </c>
      <c r="C444" s="1">
        <v>14.0433</v>
      </c>
      <c r="D444" s="1">
        <v>2.08</v>
      </c>
      <c r="E444" s="1">
        <v>0.25130000000000002</v>
      </c>
      <c r="F444" s="4">
        <f t="shared" si="169"/>
        <v>0.140433</v>
      </c>
      <c r="G444" s="4">
        <f t="shared" si="170"/>
        <v>2.0799999999999999E-2</v>
      </c>
      <c r="H444" s="4">
        <f t="shared" si="171"/>
        <v>2.513E-3</v>
      </c>
      <c r="I444" s="3">
        <f t="shared" si="172"/>
        <v>51.22122906451019</v>
      </c>
      <c r="J444" s="4">
        <f t="shared" si="182"/>
        <v>1258633.4566282358</v>
      </c>
      <c r="K444" s="1">
        <f t="shared" si="183"/>
        <v>1689.47</v>
      </c>
      <c r="L444" s="5">
        <f t="shared" si="184"/>
        <v>0.11232876712328799</v>
      </c>
      <c r="M444" s="5">
        <f t="shared" si="185"/>
        <v>-0.47921100141524109</v>
      </c>
      <c r="N444" s="5">
        <f t="shared" si="186"/>
        <v>30.715393418402027</v>
      </c>
      <c r="O444" s="1">
        <f t="shared" si="187"/>
        <v>0</v>
      </c>
      <c r="P444" s="1">
        <f t="shared" si="188"/>
        <v>1689.47</v>
      </c>
      <c r="Q444" s="5">
        <f t="shared" si="189"/>
        <v>0.11232876712328799</v>
      </c>
      <c r="R444" s="5">
        <f t="shared" si="190"/>
        <v>-0.47921100141524109</v>
      </c>
      <c r="S444" s="5">
        <f t="shared" si="173"/>
        <v>30.715393418402027</v>
      </c>
      <c r="T444" s="5">
        <f t="shared" si="174"/>
        <v>-723.52636483462027</v>
      </c>
      <c r="U444" s="4">
        <f t="shared" si="175"/>
        <v>1258694.3882807798</v>
      </c>
      <c r="V444" s="4">
        <f t="shared" si="191"/>
        <v>20.311534101298061</v>
      </c>
      <c r="W444" s="4">
        <f t="shared" si="176"/>
        <v>1236470.9913362982</v>
      </c>
      <c r="X444" s="4">
        <f t="shared" si="180"/>
        <v>6161.7926693304908</v>
      </c>
      <c r="Y444" s="9">
        <f>SUM($X$6:X444)</f>
        <v>236470.99133629818</v>
      </c>
      <c r="Z444" s="16">
        <f t="shared" si="181"/>
        <v>0.23647099133629818</v>
      </c>
      <c r="AA444" s="16">
        <f t="shared" si="177"/>
        <v>0.32726731711900775</v>
      </c>
      <c r="AB444" s="16">
        <f t="shared" si="178"/>
        <v>5.0083285372545007E-3</v>
      </c>
      <c r="AC444" s="16">
        <f t="shared" si="179"/>
        <v>7.9985727453837502E-3</v>
      </c>
    </row>
    <row r="445" spans="1:29" x14ac:dyDescent="0.15">
      <c r="A445" s="8">
        <v>41549</v>
      </c>
      <c r="B445" s="4">
        <v>1693.87</v>
      </c>
      <c r="C445" s="1">
        <v>14.3949</v>
      </c>
      <c r="D445" s="1">
        <v>2.09</v>
      </c>
      <c r="E445" s="1">
        <v>0.24970000000000001</v>
      </c>
      <c r="F445" s="4">
        <f t="shared" si="169"/>
        <v>0.14394899999999999</v>
      </c>
      <c r="G445" s="4">
        <f t="shared" si="170"/>
        <v>2.0899999999999998E-2</v>
      </c>
      <c r="H445" s="4">
        <f t="shared" si="171"/>
        <v>2.4970000000000001E-3</v>
      </c>
      <c r="I445" s="3">
        <f t="shared" si="172"/>
        <v>52.391923770142661</v>
      </c>
      <c r="J445" s="4">
        <f t="shared" si="182"/>
        <v>1258694.3882807798</v>
      </c>
      <c r="K445" s="1">
        <f t="shared" si="183"/>
        <v>1689.47</v>
      </c>
      <c r="L445" s="5">
        <f t="shared" si="184"/>
        <v>0.10958904109589072</v>
      </c>
      <c r="M445" s="5">
        <f t="shared" si="185"/>
        <v>-0.48449580105991613</v>
      </c>
      <c r="N445" s="5">
        <f t="shared" si="186"/>
        <v>31.624769090462991</v>
      </c>
      <c r="O445" s="1">
        <f t="shared" si="187"/>
        <v>0</v>
      </c>
      <c r="P445" s="1">
        <f t="shared" si="188"/>
        <v>1689.47</v>
      </c>
      <c r="Q445" s="5">
        <f t="shared" si="189"/>
        <v>0.10958904109589072</v>
      </c>
      <c r="R445" s="5">
        <f t="shared" si="190"/>
        <v>-0.48449580105991613</v>
      </c>
      <c r="S445" s="5">
        <f t="shared" si="173"/>
        <v>31.624769090462991</v>
      </c>
      <c r="T445" s="5">
        <f t="shared" si="174"/>
        <v>-723.52636483462027</v>
      </c>
      <c r="U445" s="4">
        <f t="shared" si="175"/>
        <v>1258714.6998148812</v>
      </c>
      <c r="V445" s="4">
        <f t="shared" si="191"/>
        <v>20.311861868245614</v>
      </c>
      <c r="W445" s="4">
        <f t="shared" si="176"/>
        <v>1235833.3455961242</v>
      </c>
      <c r="X445" s="4">
        <f t="shared" si="180"/>
        <v>-637.64574017398991</v>
      </c>
      <c r="Y445" s="9">
        <f>SUM($X$6:X445)</f>
        <v>235833.34559612419</v>
      </c>
      <c r="Z445" s="16">
        <f t="shared" si="181"/>
        <v>0.23583334559612418</v>
      </c>
      <c r="AA445" s="16">
        <f t="shared" si="177"/>
        <v>0.32638247224092837</v>
      </c>
      <c r="AB445" s="16">
        <f t="shared" si="178"/>
        <v>-5.156980993827146E-4</v>
      </c>
      <c r="AC445" s="16">
        <f t="shared" si="179"/>
        <v>-6.6666666666673105E-4</v>
      </c>
    </row>
    <row r="446" spans="1:29" x14ac:dyDescent="0.15">
      <c r="A446" s="8">
        <v>41550</v>
      </c>
      <c r="B446" s="4">
        <v>1678.66</v>
      </c>
      <c r="C446" s="1">
        <v>14.966699999999999</v>
      </c>
      <c r="D446" s="1">
        <v>2.1</v>
      </c>
      <c r="E446" s="1">
        <v>0.2482</v>
      </c>
      <c r="F446" s="4">
        <f t="shared" si="169"/>
        <v>0.14966699999999999</v>
      </c>
      <c r="G446" s="4">
        <f t="shared" si="170"/>
        <v>2.1000000000000001E-2</v>
      </c>
      <c r="H446" s="4">
        <f t="shared" si="171"/>
        <v>2.4819999999999998E-3</v>
      </c>
      <c r="I446" s="3">
        <f t="shared" si="172"/>
        <v>53.847513267695653</v>
      </c>
      <c r="J446" s="4">
        <f t="shared" si="182"/>
        <v>1258714.6998148812</v>
      </c>
      <c r="K446" s="1">
        <f t="shared" si="183"/>
        <v>1689.47</v>
      </c>
      <c r="L446" s="5">
        <f t="shared" si="184"/>
        <v>0.10684931506849346</v>
      </c>
      <c r="M446" s="5">
        <f t="shared" si="185"/>
        <v>-0.55725692632630619</v>
      </c>
      <c r="N446" s="5">
        <f t="shared" si="186"/>
        <v>40.368706621774962</v>
      </c>
      <c r="O446" s="1">
        <f t="shared" si="187"/>
        <v>0</v>
      </c>
      <c r="P446" s="1">
        <f t="shared" si="188"/>
        <v>1689.47</v>
      </c>
      <c r="Q446" s="5">
        <f t="shared" si="189"/>
        <v>0.10684931506849346</v>
      </c>
      <c r="R446" s="5">
        <f t="shared" si="190"/>
        <v>-0.55725692632630619</v>
      </c>
      <c r="S446" s="5">
        <f t="shared" si="173"/>
        <v>40.368706621774962</v>
      </c>
      <c r="T446" s="5">
        <f t="shared" si="174"/>
        <v>-723.52636483462027</v>
      </c>
      <c r="U446" s="4">
        <f t="shared" si="175"/>
        <v>1258735.0116767494</v>
      </c>
      <c r="V446" s="4">
        <f t="shared" si="191"/>
        <v>20.312189640482337</v>
      </c>
      <c r="W446" s="4">
        <f t="shared" si="176"/>
        <v>1229527.1881216213</v>
      </c>
      <c r="X446" s="4">
        <f t="shared" si="180"/>
        <v>-6306.1574745029211</v>
      </c>
      <c r="Y446" s="9">
        <f>SUM($X$6:X446)</f>
        <v>229527.18812162126</v>
      </c>
      <c r="Z446" s="16">
        <f t="shared" si="181"/>
        <v>0.22952718812162126</v>
      </c>
      <c r="AA446" s="16">
        <f t="shared" si="177"/>
        <v>0.31447230357226769</v>
      </c>
      <c r="AB446" s="16">
        <f t="shared" si="178"/>
        <v>-5.102757177555396E-3</v>
      </c>
      <c r="AC446" s="16">
        <f t="shared" si="179"/>
        <v>-8.9794376191796362E-3</v>
      </c>
    </row>
    <row r="447" spans="1:29" x14ac:dyDescent="0.15">
      <c r="A447" s="8">
        <v>41551</v>
      </c>
      <c r="B447" s="4">
        <v>1690.5</v>
      </c>
      <c r="C447" s="1">
        <v>14.6477</v>
      </c>
      <c r="D447" s="1">
        <v>2.09</v>
      </c>
      <c r="E447" s="1">
        <v>0.2482</v>
      </c>
      <c r="F447" s="4">
        <f t="shared" si="169"/>
        <v>0.146477</v>
      </c>
      <c r="G447" s="4">
        <f t="shared" si="170"/>
        <v>2.0899999999999998E-2</v>
      </c>
      <c r="H447" s="4">
        <f t="shared" si="171"/>
        <v>2.4819999999999998E-3</v>
      </c>
      <c r="I447" s="3">
        <f t="shared" si="172"/>
        <v>53.137652138543977</v>
      </c>
      <c r="J447" s="4">
        <f t="shared" si="182"/>
        <v>1258735.0116767494</v>
      </c>
      <c r="K447" s="1">
        <f t="shared" si="183"/>
        <v>1689.47</v>
      </c>
      <c r="L447" s="5">
        <f t="shared" si="184"/>
        <v>0.1041095890410962</v>
      </c>
      <c r="M447" s="5">
        <f t="shared" si="185"/>
        <v>-0.50052327289466891</v>
      </c>
      <c r="N447" s="5">
        <f t="shared" si="186"/>
        <v>32.938932876200155</v>
      </c>
      <c r="O447" s="1">
        <f t="shared" si="187"/>
        <v>0</v>
      </c>
      <c r="P447" s="1">
        <f t="shared" si="188"/>
        <v>1689.47</v>
      </c>
      <c r="Q447" s="5">
        <f t="shared" si="189"/>
        <v>0.1041095890410962</v>
      </c>
      <c r="R447" s="5">
        <f t="shared" si="190"/>
        <v>-0.50052327289466891</v>
      </c>
      <c r="S447" s="5">
        <f t="shared" si="173"/>
        <v>32.938932876200155</v>
      </c>
      <c r="T447" s="5">
        <f t="shared" si="174"/>
        <v>-723.52636483462027</v>
      </c>
      <c r="U447" s="4">
        <f t="shared" si="175"/>
        <v>1258755.3238663899</v>
      </c>
      <c r="V447" s="4">
        <f t="shared" si="191"/>
        <v>20.312517418008316</v>
      </c>
      <c r="W447" s="4">
        <f t="shared" si="176"/>
        <v>1234923.1375009413</v>
      </c>
      <c r="X447" s="4">
        <f t="shared" si="180"/>
        <v>5395.9493793200236</v>
      </c>
      <c r="Y447" s="9">
        <f>SUM($X$6:X447)</f>
        <v>234923.13750094129</v>
      </c>
      <c r="Z447" s="16">
        <f t="shared" si="181"/>
        <v>0.23492313750094129</v>
      </c>
      <c r="AA447" s="16">
        <f t="shared" si="177"/>
        <v>0.32374359857798385</v>
      </c>
      <c r="AB447" s="16">
        <f t="shared" si="178"/>
        <v>4.388637706794876E-3</v>
      </c>
      <c r="AC447" s="16">
        <f t="shared" si="179"/>
        <v>7.0532448500589262E-3</v>
      </c>
    </row>
    <row r="448" spans="1:29" x14ac:dyDescent="0.15">
      <c r="A448" s="8">
        <v>41554</v>
      </c>
      <c r="B448" s="4">
        <v>1676.12</v>
      </c>
      <c r="C448" s="1">
        <v>15.745699999999999</v>
      </c>
      <c r="D448" s="1">
        <v>2.11</v>
      </c>
      <c r="E448" s="1">
        <v>0.24879999999999999</v>
      </c>
      <c r="F448" s="4">
        <f t="shared" si="169"/>
        <v>0.15745699999999999</v>
      </c>
      <c r="G448" s="4">
        <f t="shared" si="170"/>
        <v>2.1099999999999997E-2</v>
      </c>
      <c r="H448" s="4">
        <f t="shared" si="171"/>
        <v>2.4879999999999998E-3</v>
      </c>
      <c r="I448" s="3">
        <f t="shared" si="172"/>
        <v>56.372509449254437</v>
      </c>
      <c r="J448" s="4">
        <f t="shared" si="182"/>
        <v>1258755.3238663899</v>
      </c>
      <c r="K448" s="1">
        <f t="shared" si="183"/>
        <v>1689.47</v>
      </c>
      <c r="L448" s="5">
        <f t="shared" si="184"/>
        <v>9.5890410958904423E-2</v>
      </c>
      <c r="M448" s="5">
        <f t="shared" si="185"/>
        <v>-0.56828158690028452</v>
      </c>
      <c r="N448" s="5">
        <f t="shared" si="186"/>
        <v>41.507762940268584</v>
      </c>
      <c r="O448" s="1">
        <f t="shared" si="187"/>
        <v>0</v>
      </c>
      <c r="P448" s="1">
        <f t="shared" si="188"/>
        <v>1689.47</v>
      </c>
      <c r="Q448" s="5">
        <f t="shared" si="189"/>
        <v>9.5890410958904423E-2</v>
      </c>
      <c r="R448" s="5">
        <f t="shared" si="190"/>
        <v>-0.56828158690028452</v>
      </c>
      <c r="S448" s="5">
        <f t="shared" si="173"/>
        <v>41.507762940268584</v>
      </c>
      <c r="T448" s="5">
        <f t="shared" si="174"/>
        <v>-723.52636483462027</v>
      </c>
      <c r="U448" s="4">
        <f t="shared" si="175"/>
        <v>1258775.636383808</v>
      </c>
      <c r="V448" s="4">
        <f t="shared" si="191"/>
        <v>60.938535602470921</v>
      </c>
      <c r="W448" s="4">
        <f t="shared" si="176"/>
        <v>1228743.6755512182</v>
      </c>
      <c r="X448" s="4">
        <f t="shared" si="180"/>
        <v>-6179.4619497230742</v>
      </c>
      <c r="Y448" s="9">
        <f>SUM($X$6:X448)</f>
        <v>228743.67555121821</v>
      </c>
      <c r="Z448" s="16">
        <f t="shared" si="181"/>
        <v>0.22874367555121822</v>
      </c>
      <c r="AA448" s="16">
        <f t="shared" si="177"/>
        <v>0.31248336021800072</v>
      </c>
      <c r="AB448" s="16">
        <f t="shared" si="178"/>
        <v>-5.0039243432009666E-3</v>
      </c>
      <c r="AC448" s="16">
        <f t="shared" si="179"/>
        <v>-8.5063590653653414E-3</v>
      </c>
    </row>
    <row r="449" spans="1:29" x14ac:dyDescent="0.15">
      <c r="A449" s="8">
        <v>41555</v>
      </c>
      <c r="B449" s="4">
        <v>1655.45</v>
      </c>
      <c r="C449" s="1">
        <v>16.759900000000002</v>
      </c>
      <c r="D449" s="1">
        <v>2.13</v>
      </c>
      <c r="E449" s="1">
        <v>0.249</v>
      </c>
      <c r="F449" s="4">
        <f t="shared" si="169"/>
        <v>0.16759900000000003</v>
      </c>
      <c r="G449" s="4">
        <f t="shared" si="170"/>
        <v>2.1299999999999999E-2</v>
      </c>
      <c r="H449" s="4">
        <f t="shared" si="171"/>
        <v>2.49E-3</v>
      </c>
      <c r="I449" s="3">
        <f t="shared" si="172"/>
        <v>59.044819291528754</v>
      </c>
      <c r="J449" s="4">
        <f t="shared" si="182"/>
        <v>1258775.636383808</v>
      </c>
      <c r="K449" s="1">
        <f t="shared" si="183"/>
        <v>1689.47</v>
      </c>
      <c r="L449" s="5">
        <f t="shared" si="184"/>
        <v>9.3150684931507161E-2</v>
      </c>
      <c r="M449" s="5">
        <f t="shared" si="185"/>
        <v>-0.6564548102354083</v>
      </c>
      <c r="N449" s="5">
        <f t="shared" si="186"/>
        <v>55.673534032893336</v>
      </c>
      <c r="O449" s="1">
        <f t="shared" si="187"/>
        <v>0</v>
      </c>
      <c r="P449" s="1">
        <f t="shared" si="188"/>
        <v>1689.47</v>
      </c>
      <c r="Q449" s="5">
        <f t="shared" si="189"/>
        <v>9.3150684931507161E-2</v>
      </c>
      <c r="R449" s="5">
        <f t="shared" si="190"/>
        <v>-0.6564548102354083</v>
      </c>
      <c r="S449" s="5">
        <f t="shared" si="173"/>
        <v>55.673534032893336</v>
      </c>
      <c r="T449" s="5">
        <f t="shared" si="174"/>
        <v>-723.52636483462027</v>
      </c>
      <c r="U449" s="4">
        <f t="shared" si="175"/>
        <v>1258836.5749194105</v>
      </c>
      <c r="V449" s="4">
        <f t="shared" si="191"/>
        <v>20.313828565137882</v>
      </c>
      <c r="W449" s="4">
        <f t="shared" si="176"/>
        <v>1218555.3052230948</v>
      </c>
      <c r="X449" s="4">
        <f t="shared" si="180"/>
        <v>-10188.370328123448</v>
      </c>
      <c r="Y449" s="9">
        <f>SUM($X$6:X449)</f>
        <v>218555.30522309477</v>
      </c>
      <c r="Z449" s="16">
        <f t="shared" si="181"/>
        <v>0.21855530522309477</v>
      </c>
      <c r="AA449" s="16">
        <f t="shared" si="177"/>
        <v>0.29629774638623096</v>
      </c>
      <c r="AB449" s="16">
        <f t="shared" si="178"/>
        <v>-8.2916970649333458E-3</v>
      </c>
      <c r="AC449" s="16">
        <f t="shared" si="179"/>
        <v>-1.2332052597665948E-2</v>
      </c>
    </row>
    <row r="450" spans="1:29" x14ac:dyDescent="0.15">
      <c r="A450" s="8">
        <v>41556</v>
      </c>
      <c r="B450" s="4">
        <v>1656.4</v>
      </c>
      <c r="C450" s="1">
        <v>16.237400000000001</v>
      </c>
      <c r="D450" s="1">
        <v>2.13</v>
      </c>
      <c r="E450" s="1">
        <v>0.25090000000000001</v>
      </c>
      <c r="F450" s="4">
        <f t="shared" si="169"/>
        <v>0.16237400000000002</v>
      </c>
      <c r="G450" s="4">
        <f t="shared" si="170"/>
        <v>2.1299999999999999E-2</v>
      </c>
      <c r="H450" s="4">
        <f t="shared" si="171"/>
        <v>2.5089999999999999E-3</v>
      </c>
      <c r="I450" s="3">
        <f t="shared" si="172"/>
        <v>57.359824577783407</v>
      </c>
      <c r="J450" s="4">
        <f t="shared" si="182"/>
        <v>1258836.5749194105</v>
      </c>
      <c r="K450" s="1">
        <f t="shared" si="183"/>
        <v>1689.47</v>
      </c>
      <c r="L450" s="5">
        <f t="shared" si="184"/>
        <v>9.0410958904109898E-2</v>
      </c>
      <c r="M450" s="5">
        <f t="shared" si="185"/>
        <v>-0.65975990539996998</v>
      </c>
      <c r="N450" s="5">
        <f t="shared" si="186"/>
        <v>53.579300809764923</v>
      </c>
      <c r="O450" s="1">
        <f t="shared" si="187"/>
        <v>0</v>
      </c>
      <c r="P450" s="1">
        <f t="shared" si="188"/>
        <v>1689.47</v>
      </c>
      <c r="Q450" s="5">
        <f t="shared" si="189"/>
        <v>9.0410958904109898E-2</v>
      </c>
      <c r="R450" s="5">
        <f t="shared" si="190"/>
        <v>-0.65975990539996998</v>
      </c>
      <c r="S450" s="5">
        <f t="shared" si="173"/>
        <v>53.579300809764923</v>
      </c>
      <c r="T450" s="5">
        <f t="shared" si="174"/>
        <v>-723.52636483462027</v>
      </c>
      <c r="U450" s="4">
        <f t="shared" si="175"/>
        <v>1258856.8887479757</v>
      </c>
      <c r="V450" s="4">
        <f t="shared" si="191"/>
        <v>20.314156369111167</v>
      </c>
      <c r="W450" s="4">
        <f t="shared" si="176"/>
        <v>1220090.8520027059</v>
      </c>
      <c r="X450" s="4">
        <f t="shared" si="180"/>
        <v>1535.5467796111479</v>
      </c>
      <c r="Y450" s="9">
        <f>SUM($X$6:X450)</f>
        <v>220090.85200270591</v>
      </c>
      <c r="Z450" s="16">
        <f t="shared" si="181"/>
        <v>0.22009085200270592</v>
      </c>
      <c r="AA450" s="16">
        <f t="shared" si="177"/>
        <v>0.2970416425226694</v>
      </c>
      <c r="AB450" s="16">
        <f t="shared" si="178"/>
        <v>1.2601371255201404E-3</v>
      </c>
      <c r="AC450" s="16">
        <f t="shared" si="179"/>
        <v>5.738620918783687E-4</v>
      </c>
    </row>
    <row r="451" spans="1:29" x14ac:dyDescent="0.15">
      <c r="A451" s="8">
        <v>41557</v>
      </c>
      <c r="B451" s="4">
        <v>1692.56</v>
      </c>
      <c r="C451" s="1">
        <v>14.645199999999999</v>
      </c>
      <c r="D451" s="1">
        <v>2.09</v>
      </c>
      <c r="E451" s="1">
        <v>0.2485</v>
      </c>
      <c r="F451" s="4">
        <f t="shared" si="169"/>
        <v>0.146452</v>
      </c>
      <c r="G451" s="4">
        <f t="shared" si="170"/>
        <v>2.0899999999999998E-2</v>
      </c>
      <c r="H451" s="4">
        <f t="shared" si="171"/>
        <v>2.4849999999999998E-3</v>
      </c>
      <c r="I451" s="3">
        <f t="shared" si="172"/>
        <v>53.193339514645942</v>
      </c>
      <c r="J451" s="4">
        <f t="shared" si="182"/>
        <v>1258856.8887479757</v>
      </c>
      <c r="K451" s="1">
        <f t="shared" si="183"/>
        <v>1689.47</v>
      </c>
      <c r="L451" s="5">
        <f t="shared" si="184"/>
        <v>8.7671232876712635E-2</v>
      </c>
      <c r="M451" s="5">
        <f t="shared" si="185"/>
        <v>-0.48849746630634833</v>
      </c>
      <c r="N451" s="5">
        <f t="shared" si="186"/>
        <v>29.042044293812381</v>
      </c>
      <c r="O451" s="1">
        <f t="shared" si="187"/>
        <v>0</v>
      </c>
      <c r="P451" s="1">
        <f t="shared" si="188"/>
        <v>1689.47</v>
      </c>
      <c r="Q451" s="5">
        <f t="shared" si="189"/>
        <v>8.7671232876712635E-2</v>
      </c>
      <c r="R451" s="5">
        <f t="shared" si="190"/>
        <v>-0.48849746630634833</v>
      </c>
      <c r="S451" s="5">
        <f t="shared" si="173"/>
        <v>29.042044293812381</v>
      </c>
      <c r="T451" s="5">
        <f t="shared" si="174"/>
        <v>-723.52636483462027</v>
      </c>
      <c r="U451" s="4">
        <f t="shared" si="175"/>
        <v>1258877.2029043448</v>
      </c>
      <c r="V451" s="4">
        <f t="shared" si="191"/>
        <v>20.314484178374219</v>
      </c>
      <c r="W451" s="4">
        <f t="shared" si="176"/>
        <v>1237864.5181690766</v>
      </c>
      <c r="X451" s="4">
        <f t="shared" si="180"/>
        <v>17773.666166370735</v>
      </c>
      <c r="Y451" s="9">
        <f>SUM($X$6:X451)</f>
        <v>237864.51816907665</v>
      </c>
      <c r="Z451" s="16">
        <f t="shared" si="181"/>
        <v>0.23786451816907664</v>
      </c>
      <c r="AA451" s="16">
        <f t="shared" si="177"/>
        <v>0.3253566786212081</v>
      </c>
      <c r="AB451" s="16">
        <f t="shared" si="178"/>
        <v>1.4567494000300329E-2</v>
      </c>
      <c r="AC451" s="16">
        <f t="shared" si="179"/>
        <v>2.1830475730499791E-2</v>
      </c>
    </row>
    <row r="452" spans="1:29" x14ac:dyDescent="0.15">
      <c r="A452" s="8">
        <v>41558</v>
      </c>
      <c r="B452" s="4">
        <v>1703.2</v>
      </c>
      <c r="C452" s="1">
        <v>14.058299999999999</v>
      </c>
      <c r="D452" s="1">
        <v>2.08</v>
      </c>
      <c r="E452" s="1">
        <v>0.249</v>
      </c>
      <c r="F452" s="4">
        <f t="shared" si="169"/>
        <v>0.14058299999999999</v>
      </c>
      <c r="G452" s="4">
        <f t="shared" si="170"/>
        <v>2.0799999999999999E-2</v>
      </c>
      <c r="H452" s="4">
        <f t="shared" si="171"/>
        <v>2.49E-3</v>
      </c>
      <c r="I452" s="3">
        <f t="shared" si="172"/>
        <v>51.524899473474967</v>
      </c>
      <c r="J452" s="4">
        <f t="shared" si="182"/>
        <v>1258877.2029043448</v>
      </c>
      <c r="K452" s="1">
        <f t="shared" si="183"/>
        <v>1689.47</v>
      </c>
      <c r="L452" s="5">
        <f t="shared" si="184"/>
        <v>8.4931506849315372E-2</v>
      </c>
      <c r="M452" s="5">
        <f t="shared" si="185"/>
        <v>-0.427786152322988</v>
      </c>
      <c r="N452" s="5">
        <f t="shared" si="186"/>
        <v>22.508099597386352</v>
      </c>
      <c r="O452" s="1">
        <f t="shared" si="187"/>
        <v>0</v>
      </c>
      <c r="P452" s="1">
        <f t="shared" si="188"/>
        <v>1689.47</v>
      </c>
      <c r="Q452" s="5">
        <f t="shared" si="189"/>
        <v>8.4931506849315372E-2</v>
      </c>
      <c r="R452" s="5">
        <f t="shared" si="190"/>
        <v>-0.427786152322988</v>
      </c>
      <c r="S452" s="5">
        <f t="shared" si="173"/>
        <v>22.508099597386352</v>
      </c>
      <c r="T452" s="5">
        <f t="shared" si="174"/>
        <v>-723.52636483462027</v>
      </c>
      <c r="U452" s="4">
        <f t="shared" si="175"/>
        <v>1258897.5173885231</v>
      </c>
      <c r="V452" s="4">
        <f t="shared" si="191"/>
        <v>20.314811992927126</v>
      </c>
      <c r="W452" s="4">
        <f t="shared" si="176"/>
        <v>1242612.3139074906</v>
      </c>
      <c r="X452" s="4">
        <f t="shared" si="180"/>
        <v>4747.7957384139299</v>
      </c>
      <c r="Y452" s="9">
        <f>SUM($X$6:X452)</f>
        <v>242612.31390749058</v>
      </c>
      <c r="Z452" s="16">
        <f t="shared" si="181"/>
        <v>0.24261231390749058</v>
      </c>
      <c r="AA452" s="16">
        <f t="shared" si="177"/>
        <v>0.33368831534931803</v>
      </c>
      <c r="AB452" s="16">
        <f t="shared" si="178"/>
        <v>3.8354728394965117E-3</v>
      </c>
      <c r="AC452" s="16">
        <f t="shared" si="179"/>
        <v>6.2863354917994637E-3</v>
      </c>
    </row>
    <row r="453" spans="1:29" x14ac:dyDescent="0.15">
      <c r="A453" s="8">
        <v>41561</v>
      </c>
      <c r="B453" s="4">
        <v>1710.14</v>
      </c>
      <c r="C453" s="1">
        <v>13.774900000000001</v>
      </c>
      <c r="D453" s="1">
        <v>2.06</v>
      </c>
      <c r="E453" s="1">
        <v>0.25130000000000002</v>
      </c>
      <c r="F453" s="4">
        <f t="shared" si="169"/>
        <v>0.13774900000000001</v>
      </c>
      <c r="G453" s="4">
        <f t="shared" si="170"/>
        <v>2.06E-2</v>
      </c>
      <c r="H453" s="4">
        <f t="shared" si="171"/>
        <v>2.513E-3</v>
      </c>
      <c r="I453" s="3">
        <f t="shared" si="172"/>
        <v>50.726104507390211</v>
      </c>
      <c r="J453" s="4">
        <f t="shared" si="182"/>
        <v>1258897.5173885231</v>
      </c>
      <c r="K453" s="1">
        <f t="shared" si="183"/>
        <v>1689.47</v>
      </c>
      <c r="L453" s="5">
        <f t="shared" si="184"/>
        <v>7.6712328767123597E-2</v>
      </c>
      <c r="M453" s="5">
        <f t="shared" si="185"/>
        <v>-0.38093669055259327</v>
      </c>
      <c r="N453" s="5">
        <f t="shared" si="186"/>
        <v>17.723239486080292</v>
      </c>
      <c r="O453" s="1">
        <f t="shared" si="187"/>
        <v>0</v>
      </c>
      <c r="P453" s="1">
        <f t="shared" si="188"/>
        <v>1689.47</v>
      </c>
      <c r="Q453" s="5">
        <f t="shared" si="189"/>
        <v>7.6712328767123597E-2</v>
      </c>
      <c r="R453" s="5">
        <f t="shared" si="190"/>
        <v>-0.38093669055259327</v>
      </c>
      <c r="S453" s="5">
        <f t="shared" si="173"/>
        <v>17.723239486080292</v>
      </c>
      <c r="T453" s="5">
        <f t="shared" si="174"/>
        <v>-723.52636483462027</v>
      </c>
      <c r="U453" s="4">
        <f t="shared" si="175"/>
        <v>1258917.832200516</v>
      </c>
      <c r="V453" s="4">
        <f t="shared" si="191"/>
        <v>60.945419438309912</v>
      </c>
      <c r="W453" s="4">
        <f t="shared" si="176"/>
        <v>1246094.601162059</v>
      </c>
      <c r="X453" s="4">
        <f t="shared" si="180"/>
        <v>3482.2872545684222</v>
      </c>
      <c r="Y453" s="9">
        <f>SUM($X$6:X453)</f>
        <v>246094.601162059</v>
      </c>
      <c r="Z453" s="16">
        <f t="shared" si="181"/>
        <v>0.246094601162059</v>
      </c>
      <c r="AA453" s="16">
        <f t="shared" si="177"/>
        <v>0.33912267238814164</v>
      </c>
      <c r="AB453" s="16">
        <f t="shared" si="178"/>
        <v>2.8023923597039696E-3</v>
      </c>
      <c r="AC453" s="16">
        <f t="shared" si="179"/>
        <v>4.0746829497416946E-3</v>
      </c>
    </row>
    <row r="454" spans="1:29" x14ac:dyDescent="0.15">
      <c r="A454" s="8">
        <v>41562</v>
      </c>
      <c r="B454" s="4">
        <v>1698.06</v>
      </c>
      <c r="C454" s="1">
        <v>14.7227</v>
      </c>
      <c r="D454" s="1">
        <v>2.08</v>
      </c>
      <c r="E454" s="1">
        <v>0.249</v>
      </c>
      <c r="F454" s="4">
        <f t="shared" si="169"/>
        <v>0.147227</v>
      </c>
      <c r="G454" s="4">
        <f t="shared" si="170"/>
        <v>2.0799999999999999E-2</v>
      </c>
      <c r="H454" s="4">
        <f t="shared" si="171"/>
        <v>2.49E-3</v>
      </c>
      <c r="I454" s="3">
        <f t="shared" si="172"/>
        <v>53.604257592413589</v>
      </c>
      <c r="J454" s="4">
        <f t="shared" si="182"/>
        <v>1258917.832200516</v>
      </c>
      <c r="K454" s="1">
        <f t="shared" si="183"/>
        <v>1689.47</v>
      </c>
      <c r="L454" s="5">
        <f t="shared" si="184"/>
        <v>7.3972602739726334E-2</v>
      </c>
      <c r="M454" s="5">
        <f t="shared" si="185"/>
        <v>-0.45437501124153812</v>
      </c>
      <c r="N454" s="5">
        <f t="shared" si="186"/>
        <v>24.003392286352952</v>
      </c>
      <c r="O454" s="1">
        <f t="shared" si="187"/>
        <v>0</v>
      </c>
      <c r="P454" s="1">
        <f t="shared" si="188"/>
        <v>1689.47</v>
      </c>
      <c r="Q454" s="5">
        <f t="shared" si="189"/>
        <v>7.3972602739726334E-2</v>
      </c>
      <c r="R454" s="5">
        <f t="shared" si="190"/>
        <v>-0.45437501124153812</v>
      </c>
      <c r="S454" s="5">
        <f t="shared" si="173"/>
        <v>24.003392286352952</v>
      </c>
      <c r="T454" s="5">
        <f t="shared" si="174"/>
        <v>-723.52636483462027</v>
      </c>
      <c r="U454" s="4">
        <f t="shared" si="175"/>
        <v>1258978.7776199544</v>
      </c>
      <c r="V454" s="4">
        <f t="shared" si="191"/>
        <v>20.316123288168576</v>
      </c>
      <c r="W454" s="4">
        <f t="shared" si="176"/>
        <v>1241611.69045531</v>
      </c>
      <c r="X454" s="4">
        <f t="shared" si="180"/>
        <v>-4482.9107067489531</v>
      </c>
      <c r="Y454" s="9">
        <f>SUM($X$6:X454)</f>
        <v>241611.69045531005</v>
      </c>
      <c r="Z454" s="16">
        <f t="shared" si="181"/>
        <v>0.24161169045531006</v>
      </c>
      <c r="AA454" s="16">
        <f t="shared" si="177"/>
        <v>0.32966344572690398</v>
      </c>
      <c r="AB454" s="16">
        <f t="shared" si="178"/>
        <v>-3.597568517324741E-3</v>
      </c>
      <c r="AC454" s="16">
        <f t="shared" si="179"/>
        <v>-7.0637491667349776E-3</v>
      </c>
    </row>
    <row r="455" spans="1:29" x14ac:dyDescent="0.15">
      <c r="A455" s="8">
        <v>41563</v>
      </c>
      <c r="B455" s="4">
        <v>1721.54</v>
      </c>
      <c r="C455" s="1">
        <v>13.431699999999999</v>
      </c>
      <c r="D455" s="1">
        <v>2.0499999999999998</v>
      </c>
      <c r="E455" s="1">
        <v>0.25130000000000002</v>
      </c>
      <c r="F455" s="4">
        <f t="shared" ref="F455:F518" si="192">C455/100</f>
        <v>0.13431699999999999</v>
      </c>
      <c r="G455" s="4">
        <f t="shared" ref="G455:G518" si="193">D455/100</f>
        <v>2.0499999999999997E-2</v>
      </c>
      <c r="H455" s="4">
        <f t="shared" ref="H455:H518" si="194">E455/100</f>
        <v>2.513E-3</v>
      </c>
      <c r="I455" s="3">
        <f t="shared" ref="I455:I518" si="195">BSM_Put(B455,B455,F455,H455,G455,$B$3,$F$3)</f>
        <v>49.872049475282154</v>
      </c>
      <c r="J455" s="4">
        <f t="shared" si="182"/>
        <v>1258978.7776199544</v>
      </c>
      <c r="K455" s="1">
        <f t="shared" si="183"/>
        <v>1689.47</v>
      </c>
      <c r="L455" s="5">
        <f t="shared" si="184"/>
        <v>7.1232876712329071E-2</v>
      </c>
      <c r="M455" s="5">
        <f t="shared" si="185"/>
        <v>-0.30572399281597273</v>
      </c>
      <c r="N455" s="5">
        <f t="shared" si="186"/>
        <v>12.294065391124548</v>
      </c>
      <c r="O455" s="1">
        <f t="shared" si="187"/>
        <v>0</v>
      </c>
      <c r="P455" s="1">
        <f t="shared" si="188"/>
        <v>1689.47</v>
      </c>
      <c r="Q455" s="5">
        <f t="shared" si="189"/>
        <v>7.1232876712329071E-2</v>
      </c>
      <c r="R455" s="5">
        <f t="shared" si="190"/>
        <v>-0.30572399281597273</v>
      </c>
      <c r="S455" s="5">
        <f t="shared" ref="S455:S518" si="196">BSM_Put(B455,P455,F455,H455,G455,Q455,$F$3)</f>
        <v>12.294065391124548</v>
      </c>
      <c r="T455" s="5">
        <f t="shared" si="174"/>
        <v>-723.52636483462027</v>
      </c>
      <c r="U455" s="4">
        <f t="shared" si="175"/>
        <v>1258999.0937432426</v>
      </c>
      <c r="V455" s="4">
        <f t="shared" si="191"/>
        <v>20.316451129171774</v>
      </c>
      <c r="W455" s="4">
        <f t="shared" si="176"/>
        <v>1250104.013301763</v>
      </c>
      <c r="X455" s="4">
        <f t="shared" si="180"/>
        <v>8492.3228464529384</v>
      </c>
      <c r="Y455" s="9">
        <f>SUM($X$6:X455)</f>
        <v>250104.01330176299</v>
      </c>
      <c r="Z455" s="16">
        <f t="shared" si="181"/>
        <v>0.25010401330176296</v>
      </c>
      <c r="AA455" s="16">
        <f t="shared" si="177"/>
        <v>0.34804942602540212</v>
      </c>
      <c r="AB455" s="16">
        <f t="shared" si="178"/>
        <v>6.8397574795214175E-3</v>
      </c>
      <c r="AC455" s="16">
        <f t="shared" si="179"/>
        <v>1.382754437416818E-2</v>
      </c>
    </row>
    <row r="456" spans="1:29" x14ac:dyDescent="0.15">
      <c r="A456" s="8">
        <v>41564</v>
      </c>
      <c r="B456" s="4">
        <v>1733.15</v>
      </c>
      <c r="C456" s="1">
        <v>12.3758</v>
      </c>
      <c r="D456" s="1">
        <v>2.04</v>
      </c>
      <c r="E456" s="1">
        <v>0.24740000000000001</v>
      </c>
      <c r="F456" s="4">
        <f t="shared" si="192"/>
        <v>0.12375799999999999</v>
      </c>
      <c r="G456" s="4">
        <f t="shared" si="193"/>
        <v>2.0400000000000001E-2</v>
      </c>
      <c r="H456" s="4">
        <f t="shared" si="194"/>
        <v>2.4740000000000001E-3</v>
      </c>
      <c r="I456" s="3">
        <f t="shared" si="195"/>
        <v>46.5710404210866</v>
      </c>
      <c r="J456" s="4">
        <f t="shared" si="182"/>
        <v>1258999.0937432426</v>
      </c>
      <c r="K456" s="1">
        <f t="shared" si="183"/>
        <v>1689.47</v>
      </c>
      <c r="L456" s="5">
        <f t="shared" si="184"/>
        <v>6.8493150684931808E-2</v>
      </c>
      <c r="M456" s="5">
        <f t="shared" si="185"/>
        <v>-0.22141402930106907</v>
      </c>
      <c r="N456" s="5">
        <f t="shared" si="186"/>
        <v>7.2610324940486777</v>
      </c>
      <c r="O456" s="1">
        <f t="shared" si="187"/>
        <v>0</v>
      </c>
      <c r="P456" s="1">
        <f t="shared" si="188"/>
        <v>1689.47</v>
      </c>
      <c r="Q456" s="5">
        <f t="shared" si="189"/>
        <v>6.8493150684931808E-2</v>
      </c>
      <c r="R456" s="5">
        <f t="shared" si="190"/>
        <v>-0.22141402930106907</v>
      </c>
      <c r="S456" s="5">
        <f t="shared" si="196"/>
        <v>7.2610324940486777</v>
      </c>
      <c r="T456" s="5">
        <f t="shared" ref="T456:T519" si="197">IF(O456,-(J456+IF(L456&lt;=0.00001, MAX(K456-B456,0),N456)*T455)/P456,T455)</f>
        <v>-723.52636483462027</v>
      </c>
      <c r="U456" s="4">
        <f t="shared" ref="U456:U519" si="198">IF(O456,(J456+IF(L456&lt;=0.00001, MAX(K456-B456,0),N456)*T455)-(S456*T456),U455)+V455</f>
        <v>1259019.4101943718</v>
      </c>
      <c r="V456" s="4">
        <f t="shared" si="191"/>
        <v>20.31677897546534</v>
      </c>
      <c r="W456" s="4">
        <f t="shared" ref="W456:W519" si="199">S456*T456+U456</f>
        <v>1253765.8617490067</v>
      </c>
      <c r="X456" s="4">
        <f t="shared" si="180"/>
        <v>3661.848447243683</v>
      </c>
      <c r="Y456" s="9">
        <f>SUM($X$6:X456)</f>
        <v>253765.86174900667</v>
      </c>
      <c r="Z456" s="16">
        <f t="shared" si="181"/>
        <v>0.25376586174900667</v>
      </c>
      <c r="AA456" s="16">
        <f t="shared" ref="AA456:AA519" si="200">(B456-$B$6)/$B$6</f>
        <v>0.3571406198612439</v>
      </c>
      <c r="AB456" s="16">
        <f t="shared" ref="AB456:AB519" si="201">X456/W455</f>
        <v>2.929235014270567E-3</v>
      </c>
      <c r="AC456" s="16">
        <f t="shared" ref="AC456:AC519" si="202">(B456-B455)/B455</f>
        <v>6.7439618016427892E-3</v>
      </c>
    </row>
    <row r="457" spans="1:29" x14ac:dyDescent="0.15">
      <c r="A457" s="8">
        <v>41565</v>
      </c>
      <c r="B457" s="4">
        <v>1744.5</v>
      </c>
      <c r="C457" s="1">
        <v>12.206899999999999</v>
      </c>
      <c r="D457" s="1">
        <v>2.02</v>
      </c>
      <c r="E457" s="1">
        <v>0.24590000000000001</v>
      </c>
      <c r="F457" s="4">
        <f t="shared" si="192"/>
        <v>0.122069</v>
      </c>
      <c r="G457" s="4">
        <f t="shared" si="193"/>
        <v>2.0199999999999999E-2</v>
      </c>
      <c r="H457" s="4">
        <f t="shared" si="194"/>
        <v>2.4590000000000002E-3</v>
      </c>
      <c r="I457" s="3">
        <f t="shared" si="195"/>
        <v>46.251380108035391</v>
      </c>
      <c r="J457" s="4">
        <f t="shared" si="182"/>
        <v>1259019.4101943718</v>
      </c>
      <c r="K457" s="1">
        <f t="shared" si="183"/>
        <v>1689.47</v>
      </c>
      <c r="L457" s="5">
        <f t="shared" si="184"/>
        <v>6.5753424657534545E-2</v>
      </c>
      <c r="M457" s="5">
        <f t="shared" si="185"/>
        <v>-0.15786626129217557</v>
      </c>
      <c r="N457" s="5">
        <f t="shared" si="186"/>
        <v>4.5875180418203678</v>
      </c>
      <c r="O457" s="1">
        <f t="shared" si="187"/>
        <v>0</v>
      </c>
      <c r="P457" s="1">
        <f t="shared" si="188"/>
        <v>1689.47</v>
      </c>
      <c r="Q457" s="5">
        <f t="shared" si="189"/>
        <v>6.5753424657534545E-2</v>
      </c>
      <c r="R457" s="5">
        <f t="shared" si="190"/>
        <v>-0.15786626129217557</v>
      </c>
      <c r="S457" s="5">
        <f t="shared" si="196"/>
        <v>4.5875180418203678</v>
      </c>
      <c r="T457" s="5">
        <f t="shared" si="197"/>
        <v>-723.52636483462027</v>
      </c>
      <c r="U457" s="4">
        <f t="shared" si="198"/>
        <v>1259039.7269733474</v>
      </c>
      <c r="V457" s="4">
        <f t="shared" si="191"/>
        <v>20.317106827049358</v>
      </c>
      <c r="W457" s="4">
        <f t="shared" si="199"/>
        <v>1255720.536720936</v>
      </c>
      <c r="X457" s="4">
        <f t="shared" ref="X457:X520" si="203">W457-W456</f>
        <v>1954.6749719292857</v>
      </c>
      <c r="Y457" s="9">
        <f>SUM($X$6:X457)</f>
        <v>255720.53672093595</v>
      </c>
      <c r="Z457" s="16">
        <f t="shared" si="181"/>
        <v>0.25572053672093598</v>
      </c>
      <c r="AA457" s="16">
        <f t="shared" si="200"/>
        <v>0.36602822107027083</v>
      </c>
      <c r="AB457" s="16">
        <f t="shared" si="201"/>
        <v>1.5590430650285125E-3</v>
      </c>
      <c r="AC457" s="16">
        <f t="shared" si="202"/>
        <v>6.5487695813979795E-3</v>
      </c>
    </row>
    <row r="458" spans="1:29" x14ac:dyDescent="0.15">
      <c r="A458" s="8">
        <v>41568</v>
      </c>
      <c r="B458" s="4">
        <v>1744.66</v>
      </c>
      <c r="C458" s="1">
        <v>12.1891</v>
      </c>
      <c r="D458" s="1">
        <v>2.0299999999999998</v>
      </c>
      <c r="E458" s="1">
        <v>0.24390000000000001</v>
      </c>
      <c r="F458" s="4">
        <f t="shared" si="192"/>
        <v>0.121891</v>
      </c>
      <c r="G458" s="4">
        <f t="shared" si="193"/>
        <v>2.0299999999999999E-2</v>
      </c>
      <c r="H458" s="4">
        <f t="shared" si="194"/>
        <v>2.4390000000000002E-3</v>
      </c>
      <c r="I458" s="3">
        <f t="shared" si="195"/>
        <v>46.221204073592745</v>
      </c>
      <c r="J458" s="4">
        <f t="shared" si="182"/>
        <v>1259039.7269733474</v>
      </c>
      <c r="K458" s="1">
        <f t="shared" si="183"/>
        <v>1689.47</v>
      </c>
      <c r="L458" s="5">
        <f t="shared" si="184"/>
        <v>5.7534246575342764E-2</v>
      </c>
      <c r="M458" s="5">
        <f t="shared" si="185"/>
        <v>-0.14014732776066924</v>
      </c>
      <c r="N458" s="5">
        <f t="shared" si="186"/>
        <v>3.6918663723656953</v>
      </c>
      <c r="O458" s="1">
        <f t="shared" si="187"/>
        <v>0</v>
      </c>
      <c r="P458" s="1">
        <f t="shared" si="188"/>
        <v>1689.47</v>
      </c>
      <c r="Q458" s="5">
        <f t="shared" si="189"/>
        <v>5.7534246575342764E-2</v>
      </c>
      <c r="R458" s="5">
        <f t="shared" si="190"/>
        <v>-0.14014732776066924</v>
      </c>
      <c r="S458" s="5">
        <f t="shared" si="196"/>
        <v>3.6918663723656953</v>
      </c>
      <c r="T458" s="5">
        <f t="shared" si="197"/>
        <v>-723.52636483462027</v>
      </c>
      <c r="U458" s="4">
        <f t="shared" si="198"/>
        <v>1259060.0440801745</v>
      </c>
      <c r="V458" s="4">
        <f t="shared" si="191"/>
        <v>60.952304051771733</v>
      </c>
      <c r="W458" s="4">
        <f t="shared" si="199"/>
        <v>1256388.8814243216</v>
      </c>
      <c r="X458" s="4">
        <f t="shared" si="203"/>
        <v>668.34470338560641</v>
      </c>
      <c r="Y458" s="9">
        <f>SUM($X$6:X458)</f>
        <v>256388.88142432156</v>
      </c>
      <c r="Z458" s="16">
        <f t="shared" si="181"/>
        <v>0.25638888142432154</v>
      </c>
      <c r="AA458" s="16">
        <f t="shared" si="200"/>
        <v>0.36615350884061842</v>
      </c>
      <c r="AB458" s="16">
        <f t="shared" si="201"/>
        <v>5.3224000391906908E-4</v>
      </c>
      <c r="AC458" s="16">
        <f t="shared" si="202"/>
        <v>9.1716824305005358E-5</v>
      </c>
    </row>
    <row r="459" spans="1:29" x14ac:dyDescent="0.15">
      <c r="A459" s="8">
        <v>41569</v>
      </c>
      <c r="B459" s="4">
        <v>1754.67</v>
      </c>
      <c r="C459" s="1">
        <v>12.239699999999999</v>
      </c>
      <c r="D459" s="1">
        <v>2.0099999999999998</v>
      </c>
      <c r="E459" s="1">
        <v>0.24360000000000001</v>
      </c>
      <c r="F459" s="4">
        <f t="shared" si="192"/>
        <v>0.12239699999999999</v>
      </c>
      <c r="G459" s="4">
        <f t="shared" si="193"/>
        <v>2.0099999999999996E-2</v>
      </c>
      <c r="H459" s="4">
        <f t="shared" si="194"/>
        <v>2.4360000000000002E-3</v>
      </c>
      <c r="I459" s="3">
        <f t="shared" si="195"/>
        <v>46.617934933252137</v>
      </c>
      <c r="J459" s="4">
        <f t="shared" si="182"/>
        <v>1259060.0440801745</v>
      </c>
      <c r="K459" s="1">
        <f t="shared" si="183"/>
        <v>1689.47</v>
      </c>
      <c r="L459" s="5">
        <f t="shared" si="184"/>
        <v>5.4794520547945501E-2</v>
      </c>
      <c r="M459" s="5">
        <f t="shared" si="185"/>
        <v>-9.6322701175011988E-2</v>
      </c>
      <c r="N459" s="5">
        <f t="shared" si="186"/>
        <v>2.3029793105048291</v>
      </c>
      <c r="O459" s="1">
        <f t="shared" si="187"/>
        <v>0</v>
      </c>
      <c r="P459" s="1">
        <f t="shared" si="188"/>
        <v>1689.47</v>
      </c>
      <c r="Q459" s="5">
        <f t="shared" si="189"/>
        <v>5.4794520547945501E-2</v>
      </c>
      <c r="R459" s="5">
        <f t="shared" si="190"/>
        <v>-9.6322701175011988E-2</v>
      </c>
      <c r="S459" s="5">
        <f t="shared" si="196"/>
        <v>2.3029793105048291</v>
      </c>
      <c r="T459" s="5">
        <f t="shared" si="197"/>
        <v>-723.52636483462027</v>
      </c>
      <c r="U459" s="4">
        <f t="shared" si="198"/>
        <v>1259120.9963842263</v>
      </c>
      <c r="V459" s="4">
        <f t="shared" si="191"/>
        <v>20.318418270419428</v>
      </c>
      <c r="W459" s="4">
        <f t="shared" si="199"/>
        <v>1257454.7301354073</v>
      </c>
      <c r="X459" s="4">
        <f t="shared" si="203"/>
        <v>1065.8487110857386</v>
      </c>
      <c r="Y459" s="9">
        <f>SUM($X$6:X459)</f>
        <v>257454.7301354073</v>
      </c>
      <c r="Z459" s="16">
        <f t="shared" si="181"/>
        <v>0.25745473013540732</v>
      </c>
      <c r="AA459" s="16">
        <f t="shared" si="200"/>
        <v>0.37399182497298494</v>
      </c>
      <c r="AB459" s="16">
        <f t="shared" si="201"/>
        <v>8.4834299860838108E-4</v>
      </c>
      <c r="AC459" s="16">
        <f t="shared" si="202"/>
        <v>5.7375075946029547E-3</v>
      </c>
    </row>
    <row r="460" spans="1:29" x14ac:dyDescent="0.15">
      <c r="A460" s="8">
        <v>41570</v>
      </c>
      <c r="B460" s="4">
        <v>1746.38</v>
      </c>
      <c r="C460" s="1">
        <v>12.455299999999999</v>
      </c>
      <c r="D460" s="1">
        <v>2.02</v>
      </c>
      <c r="E460" s="1">
        <v>0.24349999999999999</v>
      </c>
      <c r="F460" s="4">
        <f t="shared" si="192"/>
        <v>0.124553</v>
      </c>
      <c r="G460" s="4">
        <f t="shared" si="193"/>
        <v>2.0199999999999999E-2</v>
      </c>
      <c r="H460" s="4">
        <f t="shared" si="194"/>
        <v>2.4350000000000001E-3</v>
      </c>
      <c r="I460" s="3">
        <f t="shared" si="195"/>
        <v>47.165926768639082</v>
      </c>
      <c r="J460" s="4">
        <f t="shared" si="182"/>
        <v>1259120.9963842263</v>
      </c>
      <c r="K460" s="1">
        <f t="shared" si="183"/>
        <v>1689.47</v>
      </c>
      <c r="L460" s="5">
        <f t="shared" si="184"/>
        <v>5.2054794520548238E-2</v>
      </c>
      <c r="M460" s="5">
        <f t="shared" si="185"/>
        <v>-0.12545377269919172</v>
      </c>
      <c r="N460" s="5">
        <f t="shared" si="186"/>
        <v>3.132726910888016</v>
      </c>
      <c r="O460" s="1">
        <f t="shared" si="187"/>
        <v>0</v>
      </c>
      <c r="P460" s="1">
        <f t="shared" si="188"/>
        <v>1689.47</v>
      </c>
      <c r="Q460" s="5">
        <f t="shared" si="189"/>
        <v>5.2054794520548238E-2</v>
      </c>
      <c r="R460" s="5">
        <f t="shared" si="190"/>
        <v>-0.12545377269919172</v>
      </c>
      <c r="S460" s="5">
        <f t="shared" si="196"/>
        <v>3.132726910888016</v>
      </c>
      <c r="T460" s="5">
        <f t="shared" si="197"/>
        <v>-723.52636483462027</v>
      </c>
      <c r="U460" s="4">
        <f t="shared" si="198"/>
        <v>1259141.3148024967</v>
      </c>
      <c r="V460" s="4">
        <f t="shared" si="191"/>
        <v>20.318746148456725</v>
      </c>
      <c r="W460" s="4">
        <f t="shared" si="199"/>
        <v>1256874.7042886424</v>
      </c>
      <c r="X460" s="4">
        <f t="shared" si="203"/>
        <v>-580.02584676491097</v>
      </c>
      <c r="Y460" s="9">
        <f>SUM($X$6:X460)</f>
        <v>256874.70428864239</v>
      </c>
      <c r="Z460" s="16">
        <f t="shared" si="181"/>
        <v>0.2568747042886424</v>
      </c>
      <c r="AA460" s="16">
        <f t="shared" si="200"/>
        <v>0.36750035237185424</v>
      </c>
      <c r="AB460" s="16">
        <f t="shared" si="201"/>
        <v>-4.6126976412300081E-4</v>
      </c>
      <c r="AC460" s="16">
        <f t="shared" si="202"/>
        <v>-4.7245350977676501E-3</v>
      </c>
    </row>
    <row r="461" spans="1:29" x14ac:dyDescent="0.15">
      <c r="A461" s="8">
        <v>41571</v>
      </c>
      <c r="B461" s="4">
        <v>1752.07</v>
      </c>
      <c r="C461" s="1">
        <v>12.1326</v>
      </c>
      <c r="D461" s="1">
        <v>2.02</v>
      </c>
      <c r="E461" s="1">
        <v>0.24340000000000001</v>
      </c>
      <c r="F461" s="4">
        <f t="shared" si="192"/>
        <v>0.121326</v>
      </c>
      <c r="G461" s="4">
        <f t="shared" si="193"/>
        <v>2.0199999999999999E-2</v>
      </c>
      <c r="H461" s="4">
        <f t="shared" si="194"/>
        <v>2.434E-3</v>
      </c>
      <c r="I461" s="3">
        <f t="shared" si="195"/>
        <v>46.20020860608868</v>
      </c>
      <c r="J461" s="4">
        <f t="shared" si="182"/>
        <v>1259141.3148024967</v>
      </c>
      <c r="K461" s="1">
        <f t="shared" si="183"/>
        <v>1689.47</v>
      </c>
      <c r="L461" s="5">
        <f t="shared" si="184"/>
        <v>4.9315068493150975E-2</v>
      </c>
      <c r="M461" s="5">
        <f t="shared" si="185"/>
        <v>-9.1448686294189757E-2</v>
      </c>
      <c r="N461" s="5">
        <f t="shared" si="186"/>
        <v>2.0302900748202859</v>
      </c>
      <c r="O461" s="1">
        <f t="shared" si="187"/>
        <v>0</v>
      </c>
      <c r="P461" s="1">
        <f t="shared" si="188"/>
        <v>1689.47</v>
      </c>
      <c r="Q461" s="5">
        <f t="shared" si="189"/>
        <v>4.9315068493150975E-2</v>
      </c>
      <c r="R461" s="5">
        <f t="shared" si="190"/>
        <v>-9.1448686294189757E-2</v>
      </c>
      <c r="S461" s="5">
        <f t="shared" si="196"/>
        <v>2.0302900748202859</v>
      </c>
      <c r="T461" s="5">
        <f t="shared" si="197"/>
        <v>-723.52636483462027</v>
      </c>
      <c r="U461" s="4">
        <f t="shared" si="198"/>
        <v>1259161.6335486451</v>
      </c>
      <c r="V461" s="4">
        <f t="shared" si="191"/>
        <v>20.319074031784982</v>
      </c>
      <c r="W461" s="4">
        <f t="shared" si="199"/>
        <v>1257692.6651512505</v>
      </c>
      <c r="X461" s="4">
        <f t="shared" si="203"/>
        <v>817.96086260816082</v>
      </c>
      <c r="Y461" s="9">
        <f>SUM($X$6:X461)</f>
        <v>257692.66515125055</v>
      </c>
      <c r="Z461" s="16">
        <f t="shared" si="181"/>
        <v>0.25769266515125056</v>
      </c>
      <c r="AA461" s="16">
        <f t="shared" si="200"/>
        <v>0.3719558987048377</v>
      </c>
      <c r="AB461" s="16">
        <f t="shared" si="201"/>
        <v>6.5078950178339764E-4</v>
      </c>
      <c r="AC461" s="16">
        <f t="shared" si="202"/>
        <v>3.2581683253357385E-3</v>
      </c>
    </row>
    <row r="462" spans="1:29" x14ac:dyDescent="0.15">
      <c r="A462" s="8">
        <v>41572</v>
      </c>
      <c r="B462" s="4">
        <v>1759.77</v>
      </c>
      <c r="C462" s="1">
        <v>12.185600000000001</v>
      </c>
      <c r="D462" s="1">
        <v>2.0099999999999998</v>
      </c>
      <c r="E462" s="1">
        <v>0.24210000000000001</v>
      </c>
      <c r="F462" s="4">
        <f t="shared" si="192"/>
        <v>0.12185600000000001</v>
      </c>
      <c r="G462" s="4">
        <f t="shared" si="193"/>
        <v>2.0099999999999996E-2</v>
      </c>
      <c r="H462" s="4">
        <f t="shared" si="194"/>
        <v>2.421E-3</v>
      </c>
      <c r="I462" s="3">
        <f t="shared" si="195"/>
        <v>46.568458108392853</v>
      </c>
      <c r="J462" s="4">
        <f t="shared" si="182"/>
        <v>1259161.6335486451</v>
      </c>
      <c r="K462" s="1">
        <f t="shared" si="183"/>
        <v>1689.47</v>
      </c>
      <c r="L462" s="5">
        <f t="shared" si="184"/>
        <v>4.6575342465753712E-2</v>
      </c>
      <c r="M462" s="5">
        <f t="shared" si="185"/>
        <v>-6.2693601306093263E-2</v>
      </c>
      <c r="N462" s="5">
        <f t="shared" si="186"/>
        <v>1.2718824133140212</v>
      </c>
      <c r="O462" s="1">
        <f t="shared" si="187"/>
        <v>0</v>
      </c>
      <c r="P462" s="1">
        <f t="shared" si="188"/>
        <v>1689.47</v>
      </c>
      <c r="Q462" s="5">
        <f t="shared" si="189"/>
        <v>4.6575342465753712E-2</v>
      </c>
      <c r="R462" s="5">
        <f t="shared" si="190"/>
        <v>-6.2693601306093263E-2</v>
      </c>
      <c r="S462" s="5">
        <f t="shared" si="196"/>
        <v>1.2718824133140212</v>
      </c>
      <c r="T462" s="5">
        <f t="shared" si="197"/>
        <v>-723.52636483462027</v>
      </c>
      <c r="U462" s="4">
        <f t="shared" si="198"/>
        <v>1259181.952622677</v>
      </c>
      <c r="V462" s="4">
        <f t="shared" si="191"/>
        <v>20.319401920404292</v>
      </c>
      <c r="W462" s="4">
        <f t="shared" si="199"/>
        <v>1258261.7121636749</v>
      </c>
      <c r="X462" s="4">
        <f t="shared" si="203"/>
        <v>569.0470124243293</v>
      </c>
      <c r="Y462" s="9">
        <f>SUM($X$6:X462)</f>
        <v>258261.71216367488</v>
      </c>
      <c r="Z462" s="16">
        <f t="shared" si="181"/>
        <v>0.25826171216367488</v>
      </c>
      <c r="AA462" s="16">
        <f t="shared" si="200"/>
        <v>0.37798537265281196</v>
      </c>
      <c r="AB462" s="16">
        <f t="shared" si="201"/>
        <v>4.5245315345454092E-4</v>
      </c>
      <c r="AC462" s="16">
        <f t="shared" si="202"/>
        <v>4.3948015775625666E-3</v>
      </c>
    </row>
    <row r="463" spans="1:29" x14ac:dyDescent="0.15">
      <c r="A463" s="8">
        <v>41575</v>
      </c>
      <c r="B463" s="4">
        <v>1762.11</v>
      </c>
      <c r="C463" s="1">
        <v>12.2494</v>
      </c>
      <c r="D463" s="1">
        <v>2</v>
      </c>
      <c r="E463" s="1">
        <v>0.24110000000000001</v>
      </c>
      <c r="F463" s="4">
        <f t="shared" si="192"/>
        <v>0.12249399999999999</v>
      </c>
      <c r="G463" s="4">
        <f t="shared" si="193"/>
        <v>0.02</v>
      </c>
      <c r="H463" s="4">
        <f t="shared" si="194"/>
        <v>2.4109999999999999E-3</v>
      </c>
      <c r="I463" s="3">
        <f t="shared" si="195"/>
        <v>46.832808746791471</v>
      </c>
      <c r="J463" s="4">
        <f t="shared" si="182"/>
        <v>1259181.952622677</v>
      </c>
      <c r="K463" s="1">
        <f t="shared" si="183"/>
        <v>1689.47</v>
      </c>
      <c r="L463" s="5">
        <f t="shared" si="184"/>
        <v>3.835616438356193E-2</v>
      </c>
      <c r="M463" s="5">
        <f t="shared" si="185"/>
        <v>-4.1017501428980037E-2</v>
      </c>
      <c r="N463" s="5">
        <f t="shared" si="186"/>
        <v>0.7088466779825503</v>
      </c>
      <c r="O463" s="1">
        <f t="shared" si="187"/>
        <v>1</v>
      </c>
      <c r="P463" s="1">
        <f t="shared" si="188"/>
        <v>1762.11</v>
      </c>
      <c r="Q463" s="5">
        <f t="shared" si="189"/>
        <v>0.24931506849315069</v>
      </c>
      <c r="R463" s="5">
        <f t="shared" si="190"/>
        <v>-0.51382954976127271</v>
      </c>
      <c r="S463" s="5">
        <f t="shared" si="196"/>
        <v>46.832808746791471</v>
      </c>
      <c r="T463" s="5">
        <f t="shared" si="197"/>
        <v>-714.29654412183754</v>
      </c>
      <c r="U463" s="4">
        <f t="shared" si="198"/>
        <v>1292141.9162038036</v>
      </c>
      <c r="V463" s="4">
        <f t="shared" si="191"/>
        <v>62.553829203619742</v>
      </c>
      <c r="W463" s="4">
        <f t="shared" si="199"/>
        <v>1258689.4027644515</v>
      </c>
      <c r="X463" s="4">
        <f t="shared" si="203"/>
        <v>427.69060077657923</v>
      </c>
      <c r="Y463" s="9">
        <f>SUM($X$6:X463)</f>
        <v>258689.40276445146</v>
      </c>
      <c r="Z463" s="16">
        <f t="shared" si="181"/>
        <v>0.25868940276445146</v>
      </c>
      <c r="AA463" s="16">
        <f t="shared" si="200"/>
        <v>0.37981770629414435</v>
      </c>
      <c r="AB463" s="16">
        <f t="shared" si="201"/>
        <v>3.3990591674376976E-4</v>
      </c>
      <c r="AC463" s="16">
        <f t="shared" si="202"/>
        <v>1.3297192246713595E-3</v>
      </c>
    </row>
    <row r="464" spans="1:29" x14ac:dyDescent="0.15">
      <c r="A464" s="8">
        <v>41576</v>
      </c>
      <c r="B464" s="4">
        <v>1771.95</v>
      </c>
      <c r="C464" s="1">
        <v>12.292400000000001</v>
      </c>
      <c r="D464" s="1">
        <v>1.99</v>
      </c>
      <c r="E464" s="1">
        <v>0.2427</v>
      </c>
      <c r="F464" s="4">
        <f t="shared" si="192"/>
        <v>0.12292400000000001</v>
      </c>
      <c r="G464" s="4">
        <f t="shared" si="193"/>
        <v>1.9900000000000001E-2</v>
      </c>
      <c r="H464" s="4">
        <f t="shared" si="194"/>
        <v>2.4269999999999999E-3</v>
      </c>
      <c r="I464" s="3">
        <f t="shared" si="195"/>
        <v>47.218719926936913</v>
      </c>
      <c r="J464" s="4">
        <f t="shared" si="182"/>
        <v>1292141.9162038036</v>
      </c>
      <c r="K464" s="1">
        <f t="shared" si="183"/>
        <v>1762.11</v>
      </c>
      <c r="L464" s="5">
        <f t="shared" si="184"/>
        <v>0.24657534246575344</v>
      </c>
      <c r="M464" s="5">
        <f t="shared" si="185"/>
        <v>-0.47724886068751382</v>
      </c>
      <c r="N464" s="5">
        <f t="shared" si="186"/>
        <v>41.803059615974952</v>
      </c>
      <c r="O464" s="1">
        <f t="shared" si="187"/>
        <v>0</v>
      </c>
      <c r="P464" s="1">
        <f t="shared" si="188"/>
        <v>1762.11</v>
      </c>
      <c r="Q464" s="5">
        <f t="shared" si="189"/>
        <v>0.24657534246575344</v>
      </c>
      <c r="R464" s="5">
        <f t="shared" si="190"/>
        <v>-0.47724886068751382</v>
      </c>
      <c r="S464" s="5">
        <f t="shared" si="196"/>
        <v>41.803059615974952</v>
      </c>
      <c r="T464" s="5">
        <f t="shared" si="197"/>
        <v>-714.29654412183754</v>
      </c>
      <c r="U464" s="4">
        <f t="shared" si="198"/>
        <v>1292204.4700330072</v>
      </c>
      <c r="V464" s="4">
        <f t="shared" si="191"/>
        <v>20.852285831491539</v>
      </c>
      <c r="W464" s="4">
        <f t="shared" si="199"/>
        <v>1262344.6890155971</v>
      </c>
      <c r="X464" s="4">
        <f t="shared" si="203"/>
        <v>3655.2862511456478</v>
      </c>
      <c r="Y464" s="9">
        <f>SUM($X$6:X464)</f>
        <v>262344.68901559711</v>
      </c>
      <c r="Z464" s="16">
        <f t="shared" si="181"/>
        <v>0.2623446890155971</v>
      </c>
      <c r="AA464" s="16">
        <f t="shared" si="200"/>
        <v>0.38752290417051677</v>
      </c>
      <c r="AB464" s="16">
        <f t="shared" si="201"/>
        <v>2.9040414919817123E-3</v>
      </c>
      <c r="AC464" s="16">
        <f t="shared" si="202"/>
        <v>5.5842143793521102E-3</v>
      </c>
    </row>
    <row r="465" spans="1:29" x14ac:dyDescent="0.15">
      <c r="A465" s="8">
        <v>41577</v>
      </c>
      <c r="B465" s="4">
        <v>1763.31</v>
      </c>
      <c r="C465" s="1">
        <v>12.527799999999999</v>
      </c>
      <c r="D465" s="1">
        <v>2</v>
      </c>
      <c r="E465" s="1">
        <v>0.2472</v>
      </c>
      <c r="F465" s="4">
        <f t="shared" si="192"/>
        <v>0.125278</v>
      </c>
      <c r="G465" s="4">
        <f t="shared" si="193"/>
        <v>0.02</v>
      </c>
      <c r="H465" s="4">
        <f t="shared" si="194"/>
        <v>2.4720000000000002E-3</v>
      </c>
      <c r="I465" s="3">
        <f t="shared" si="195"/>
        <v>47.822452641305745</v>
      </c>
      <c r="J465" s="4">
        <f t="shared" si="182"/>
        <v>1292204.4700330072</v>
      </c>
      <c r="K465" s="1">
        <f t="shared" si="183"/>
        <v>1762.11</v>
      </c>
      <c r="L465" s="5">
        <f t="shared" si="184"/>
        <v>0.24383561643835619</v>
      </c>
      <c r="M465" s="5">
        <f t="shared" si="185"/>
        <v>-0.50834600837153776</v>
      </c>
      <c r="N465" s="5">
        <f t="shared" si="186"/>
        <v>46.607970120316367</v>
      </c>
      <c r="O465" s="1">
        <f t="shared" si="187"/>
        <v>0</v>
      </c>
      <c r="P465" s="1">
        <f t="shared" si="188"/>
        <v>1762.11</v>
      </c>
      <c r="Q465" s="5">
        <f t="shared" si="189"/>
        <v>0.24383561643835619</v>
      </c>
      <c r="R465" s="5">
        <f t="shared" si="190"/>
        <v>-0.50834600837153776</v>
      </c>
      <c r="S465" s="5">
        <f t="shared" si="196"/>
        <v>46.607970120316367</v>
      </c>
      <c r="T465" s="5">
        <f t="shared" si="197"/>
        <v>-714.29654412183754</v>
      </c>
      <c r="U465" s="4">
        <f t="shared" si="198"/>
        <v>1292225.3223188387</v>
      </c>
      <c r="V465" s="4">
        <f t="shared" si="191"/>
        <v>20.852622324542352</v>
      </c>
      <c r="W465" s="4">
        <f t="shared" si="199"/>
        <v>1258933.4103333629</v>
      </c>
      <c r="X465" s="4">
        <f t="shared" si="203"/>
        <v>-3411.2786822342314</v>
      </c>
      <c r="Y465" s="9">
        <f>SUM($X$6:X465)</f>
        <v>258933.41033336287</v>
      </c>
      <c r="Z465" s="16">
        <f t="shared" si="181"/>
        <v>0.25893341033336287</v>
      </c>
      <c r="AA465" s="16">
        <f t="shared" si="200"/>
        <v>0.38075736457175074</v>
      </c>
      <c r="AB465" s="16">
        <f t="shared" si="201"/>
        <v>-2.7023353541372431E-3</v>
      </c>
      <c r="AC465" s="16">
        <f t="shared" si="202"/>
        <v>-4.8759840853297778E-3</v>
      </c>
    </row>
    <row r="466" spans="1:29" x14ac:dyDescent="0.15">
      <c r="A466" s="8">
        <v>41578</v>
      </c>
      <c r="B466" s="4">
        <v>1756.54</v>
      </c>
      <c r="C466" s="1">
        <v>12.4832</v>
      </c>
      <c r="D466" s="1">
        <v>2.0099999999999998</v>
      </c>
      <c r="E466" s="1">
        <v>0.24740000000000001</v>
      </c>
      <c r="F466" s="4">
        <f t="shared" si="192"/>
        <v>0.124832</v>
      </c>
      <c r="G466" s="4">
        <f t="shared" si="193"/>
        <v>2.0099999999999996E-2</v>
      </c>
      <c r="H466" s="4">
        <f t="shared" si="194"/>
        <v>2.4740000000000001E-3</v>
      </c>
      <c r="I466" s="3">
        <f t="shared" si="195"/>
        <v>47.505677146253298</v>
      </c>
      <c r="J466" s="4">
        <f t="shared" si="182"/>
        <v>1292225.3223188387</v>
      </c>
      <c r="K466" s="1">
        <f t="shared" si="183"/>
        <v>1762.11</v>
      </c>
      <c r="L466" s="5">
        <f t="shared" si="184"/>
        <v>0.24109589041095894</v>
      </c>
      <c r="M466" s="5">
        <f t="shared" si="185"/>
        <v>-0.53339844790051294</v>
      </c>
      <c r="N466" s="5">
        <f t="shared" si="186"/>
        <v>49.716178631202744</v>
      </c>
      <c r="O466" s="1">
        <f t="shared" si="187"/>
        <v>0</v>
      </c>
      <c r="P466" s="1">
        <f t="shared" si="188"/>
        <v>1762.11</v>
      </c>
      <c r="Q466" s="5">
        <f t="shared" si="189"/>
        <v>0.24109589041095894</v>
      </c>
      <c r="R466" s="5">
        <f t="shared" si="190"/>
        <v>-0.53339844790051294</v>
      </c>
      <c r="S466" s="5">
        <f t="shared" si="196"/>
        <v>49.716178631202744</v>
      </c>
      <c r="T466" s="5">
        <f t="shared" si="197"/>
        <v>-714.29654412183754</v>
      </c>
      <c r="U466" s="4">
        <f t="shared" si="198"/>
        <v>1292246.1749411633</v>
      </c>
      <c r="V466" s="4">
        <f t="shared" si="191"/>
        <v>20.852958823023151</v>
      </c>
      <c r="W466" s="4">
        <f t="shared" si="199"/>
        <v>1256734.0803579511</v>
      </c>
      <c r="X466" s="4">
        <f t="shared" si="203"/>
        <v>-2199.3299754117616</v>
      </c>
      <c r="Y466" s="9">
        <f>SUM($X$6:X466)</f>
        <v>256734.08035795111</v>
      </c>
      <c r="Z466" s="16">
        <f t="shared" ref="Z466:Z529" si="204">Y466/$H$3</f>
        <v>0.25673408035795109</v>
      </c>
      <c r="AA466" s="16">
        <f t="shared" si="200"/>
        <v>0.37545612578892146</v>
      </c>
      <c r="AB466" s="16">
        <f t="shared" si="201"/>
        <v>-1.7469787975754681E-3</v>
      </c>
      <c r="AC466" s="16">
        <f t="shared" si="202"/>
        <v>-3.839370275221023E-3</v>
      </c>
    </row>
    <row r="467" spans="1:29" x14ac:dyDescent="0.15">
      <c r="A467" s="8">
        <v>41579</v>
      </c>
      <c r="B467" s="4">
        <v>1761.64</v>
      </c>
      <c r="C467" s="1">
        <v>12.515700000000001</v>
      </c>
      <c r="D467" s="1">
        <v>2.0099999999999998</v>
      </c>
      <c r="E467" s="1">
        <v>0.24299999999999999</v>
      </c>
      <c r="F467" s="4">
        <f t="shared" si="192"/>
        <v>0.12515700000000002</v>
      </c>
      <c r="G467" s="4">
        <f t="shared" si="193"/>
        <v>2.0099999999999996E-2</v>
      </c>
      <c r="H467" s="4">
        <f t="shared" si="194"/>
        <v>2.4299999999999999E-3</v>
      </c>
      <c r="I467" s="3">
        <f t="shared" si="195"/>
        <v>47.767435239820145</v>
      </c>
      <c r="J467" s="4">
        <f t="shared" si="182"/>
        <v>1292246.1749411633</v>
      </c>
      <c r="K467" s="1">
        <f t="shared" si="183"/>
        <v>1762.11</v>
      </c>
      <c r="L467" s="5">
        <f t="shared" si="184"/>
        <v>0.23835616438356169</v>
      </c>
      <c r="M467" s="5">
        <f t="shared" si="185"/>
        <v>-0.51457502854936588</v>
      </c>
      <c r="N467" s="5">
        <f t="shared" si="186"/>
        <v>46.876981912356641</v>
      </c>
      <c r="O467" s="1">
        <f t="shared" si="187"/>
        <v>0</v>
      </c>
      <c r="P467" s="1">
        <f t="shared" si="188"/>
        <v>1762.11</v>
      </c>
      <c r="Q467" s="5">
        <f t="shared" si="189"/>
        <v>0.23835616438356169</v>
      </c>
      <c r="R467" s="5">
        <f t="shared" si="190"/>
        <v>-0.51457502854936588</v>
      </c>
      <c r="S467" s="5">
        <f t="shared" si="196"/>
        <v>46.876981912356641</v>
      </c>
      <c r="T467" s="5">
        <f t="shared" si="197"/>
        <v>-714.29654412183754</v>
      </c>
      <c r="U467" s="4">
        <f t="shared" si="198"/>
        <v>1292267.0278999864</v>
      </c>
      <c r="V467" s="4">
        <f t="shared" si="191"/>
        <v>20.853295326934024</v>
      </c>
      <c r="W467" s="4">
        <f t="shared" si="199"/>
        <v>1258782.9617211281</v>
      </c>
      <c r="X467" s="4">
        <f t="shared" si="203"/>
        <v>2048.8813631769735</v>
      </c>
      <c r="Y467" s="9">
        <f>SUM($X$6:X467)</f>
        <v>258782.96172112809</v>
      </c>
      <c r="Z467" s="16">
        <f t="shared" si="204"/>
        <v>0.25878296172112808</v>
      </c>
      <c r="AA467" s="16">
        <f t="shared" si="200"/>
        <v>0.37944967346874869</v>
      </c>
      <c r="AB467" s="16">
        <f t="shared" si="201"/>
        <v>1.6303221144391962E-3</v>
      </c>
      <c r="AC467" s="16">
        <f t="shared" si="202"/>
        <v>2.9034351623077963E-3</v>
      </c>
    </row>
    <row r="468" spans="1:29" x14ac:dyDescent="0.15">
      <c r="A468" s="8">
        <v>41582</v>
      </c>
      <c r="B468" s="4">
        <v>1767.93</v>
      </c>
      <c r="C468" s="1">
        <v>12.314500000000001</v>
      </c>
      <c r="D468" s="1">
        <v>2</v>
      </c>
      <c r="E468" s="1">
        <v>0.24340000000000001</v>
      </c>
      <c r="F468" s="4">
        <f t="shared" si="192"/>
        <v>0.123145</v>
      </c>
      <c r="G468" s="4">
        <f t="shared" si="193"/>
        <v>0.02</v>
      </c>
      <c r="H468" s="4">
        <f t="shared" si="194"/>
        <v>2.434E-3</v>
      </c>
      <c r="I468" s="3">
        <f t="shared" si="195"/>
        <v>47.209944030714908</v>
      </c>
      <c r="J468" s="4">
        <f t="shared" si="182"/>
        <v>1292267.0278999864</v>
      </c>
      <c r="K468" s="1">
        <f t="shared" si="183"/>
        <v>1762.11</v>
      </c>
      <c r="L468" s="5">
        <f t="shared" si="184"/>
        <v>0.23013698630136992</v>
      </c>
      <c r="M468" s="5">
        <f t="shared" si="185"/>
        <v>-0.49098348995769303</v>
      </c>
      <c r="N468" s="5">
        <f t="shared" si="186"/>
        <v>42.143628883099687</v>
      </c>
      <c r="O468" s="1">
        <f t="shared" si="187"/>
        <v>0</v>
      </c>
      <c r="P468" s="1">
        <f t="shared" si="188"/>
        <v>1762.11</v>
      </c>
      <c r="Q468" s="5">
        <f t="shared" si="189"/>
        <v>0.23013698630136992</v>
      </c>
      <c r="R468" s="5">
        <f t="shared" si="190"/>
        <v>-0.49098348995769303</v>
      </c>
      <c r="S468" s="5">
        <f t="shared" si="196"/>
        <v>42.143628883099687</v>
      </c>
      <c r="T468" s="5">
        <f t="shared" si="197"/>
        <v>-714.29654412183754</v>
      </c>
      <c r="U468" s="4">
        <f t="shared" si="198"/>
        <v>1292287.8811953133</v>
      </c>
      <c r="V468" s="4">
        <f t="shared" si="191"/>
        <v>62.560895508825162</v>
      </c>
      <c r="W468" s="4">
        <f t="shared" si="199"/>
        <v>1262184.8327273619</v>
      </c>
      <c r="X468" s="4">
        <f t="shared" si="203"/>
        <v>3401.8710062338505</v>
      </c>
      <c r="Y468" s="9">
        <f>SUM($X$6:X468)</f>
        <v>262184.83272736194</v>
      </c>
      <c r="Z468" s="16">
        <f t="shared" si="204"/>
        <v>0.26218483272736193</v>
      </c>
      <c r="AA468" s="16">
        <f t="shared" si="200"/>
        <v>0.38437504894053542</v>
      </c>
      <c r="AB468" s="16">
        <f t="shared" si="201"/>
        <v>2.7025079856359733E-3</v>
      </c>
      <c r="AC468" s="16">
        <f t="shared" si="202"/>
        <v>3.5705365454916801E-3</v>
      </c>
    </row>
    <row r="469" spans="1:29" x14ac:dyDescent="0.15">
      <c r="A469" s="8">
        <v>41583</v>
      </c>
      <c r="B469" s="4">
        <v>1762.97</v>
      </c>
      <c r="C469" s="1">
        <v>12.414099999999999</v>
      </c>
      <c r="D469" s="1">
        <v>2.0099999999999998</v>
      </c>
      <c r="E469" s="1">
        <v>0.24299999999999999</v>
      </c>
      <c r="F469" s="4">
        <f t="shared" si="192"/>
        <v>0.124141</v>
      </c>
      <c r="G469" s="4">
        <f t="shared" si="193"/>
        <v>2.0099999999999996E-2</v>
      </c>
      <c r="H469" s="4">
        <f t="shared" si="194"/>
        <v>2.4299999999999999E-3</v>
      </c>
      <c r="I469" s="3">
        <f t="shared" si="195"/>
        <v>47.448762837604747</v>
      </c>
      <c r="J469" s="4">
        <f t="shared" si="182"/>
        <v>1292287.8811953133</v>
      </c>
      <c r="K469" s="1">
        <f t="shared" si="183"/>
        <v>1762.11</v>
      </c>
      <c r="L469" s="5">
        <f t="shared" si="184"/>
        <v>0.22739726027397267</v>
      </c>
      <c r="M469" s="5">
        <f t="shared" si="185"/>
        <v>-0.50964535951983103</v>
      </c>
      <c r="N469" s="5">
        <f t="shared" si="186"/>
        <v>44.689614800488926</v>
      </c>
      <c r="O469" s="1">
        <f t="shared" si="187"/>
        <v>0</v>
      </c>
      <c r="P469" s="1">
        <f t="shared" si="188"/>
        <v>1762.11</v>
      </c>
      <c r="Q469" s="5">
        <f t="shared" si="189"/>
        <v>0.22739726027397267</v>
      </c>
      <c r="R469" s="5">
        <f t="shared" si="190"/>
        <v>-0.50964535951983103</v>
      </c>
      <c r="S469" s="5">
        <f t="shared" si="196"/>
        <v>44.689614800488926</v>
      </c>
      <c r="T469" s="5">
        <f t="shared" si="197"/>
        <v>-714.29654412183754</v>
      </c>
      <c r="U469" s="4">
        <f t="shared" si="198"/>
        <v>1292350.4420908222</v>
      </c>
      <c r="V469" s="4">
        <f t="shared" si="191"/>
        <v>20.85464138058888</v>
      </c>
      <c r="W469" s="4">
        <f t="shared" si="199"/>
        <v>1260428.8046806967</v>
      </c>
      <c r="X469" s="4">
        <f t="shared" si="203"/>
        <v>-1756.0280466652475</v>
      </c>
      <c r="Y469" s="9">
        <f>SUM($X$6:X469)</f>
        <v>260428.80468069669</v>
      </c>
      <c r="Z469" s="16">
        <f t="shared" si="204"/>
        <v>0.26042880468069668</v>
      </c>
      <c r="AA469" s="16">
        <f t="shared" si="200"/>
        <v>0.38049112805976237</v>
      </c>
      <c r="AB469" s="16">
        <f t="shared" si="201"/>
        <v>-1.3912606150327258E-3</v>
      </c>
      <c r="AC469" s="16">
        <f t="shared" si="202"/>
        <v>-2.8055409433631628E-3</v>
      </c>
    </row>
    <row r="470" spans="1:29" x14ac:dyDescent="0.15">
      <c r="A470" s="8">
        <v>41584</v>
      </c>
      <c r="B470" s="4">
        <v>1770.49</v>
      </c>
      <c r="C470" s="1">
        <v>12.3131</v>
      </c>
      <c r="D470" s="1">
        <v>2</v>
      </c>
      <c r="E470" s="1">
        <v>0.24379999999999999</v>
      </c>
      <c r="F470" s="4">
        <f t="shared" si="192"/>
        <v>0.123131</v>
      </c>
      <c r="G470" s="4">
        <f t="shared" si="193"/>
        <v>0.02</v>
      </c>
      <c r="H470" s="4">
        <f t="shared" si="194"/>
        <v>2.4380000000000001E-3</v>
      </c>
      <c r="I470" s="3">
        <f t="shared" si="195"/>
        <v>47.272442186114048</v>
      </c>
      <c r="J470" s="4">
        <f t="shared" si="182"/>
        <v>1292350.4420908222</v>
      </c>
      <c r="K470" s="1">
        <f t="shared" si="183"/>
        <v>1762.11</v>
      </c>
      <c r="L470" s="5">
        <f t="shared" si="184"/>
        <v>0.22465753424657542</v>
      </c>
      <c r="M470" s="5">
        <f t="shared" si="185"/>
        <v>-0.480737476851057</v>
      </c>
      <c r="N470" s="5">
        <f t="shared" si="186"/>
        <v>40.315240171919015</v>
      </c>
      <c r="O470" s="1">
        <f t="shared" si="187"/>
        <v>0</v>
      </c>
      <c r="P470" s="1">
        <f t="shared" si="188"/>
        <v>1762.11</v>
      </c>
      <c r="Q470" s="5">
        <f t="shared" si="189"/>
        <v>0.22465753424657542</v>
      </c>
      <c r="R470" s="5">
        <f t="shared" si="190"/>
        <v>-0.480737476851057</v>
      </c>
      <c r="S470" s="5">
        <f t="shared" si="196"/>
        <v>40.315240171919015</v>
      </c>
      <c r="T470" s="5">
        <f t="shared" si="197"/>
        <v>-714.29654412183754</v>
      </c>
      <c r="U470" s="4">
        <f t="shared" si="198"/>
        <v>1292371.2967322026</v>
      </c>
      <c r="V470" s="4">
        <f t="shared" si="191"/>
        <v>20.854977911651158</v>
      </c>
      <c r="W470" s="4">
        <f t="shared" si="199"/>
        <v>1263574.260001959</v>
      </c>
      <c r="X470" s="4">
        <f t="shared" si="203"/>
        <v>3145.4553212623578</v>
      </c>
      <c r="Y470" s="9">
        <f>SUM($X$6:X470)</f>
        <v>263574.26000195905</v>
      </c>
      <c r="Z470" s="16">
        <f t="shared" si="204"/>
        <v>0.26357426000195905</v>
      </c>
      <c r="AA470" s="16">
        <f t="shared" si="200"/>
        <v>0.38637965326609564</v>
      </c>
      <c r="AB470" s="16">
        <f t="shared" si="201"/>
        <v>2.4955438257055645E-3</v>
      </c>
      <c r="AC470" s="16">
        <f t="shared" si="202"/>
        <v>4.2655291922153987E-3</v>
      </c>
    </row>
    <row r="471" spans="1:29" x14ac:dyDescent="0.15">
      <c r="A471" s="8">
        <v>41585</v>
      </c>
      <c r="B471" s="4">
        <v>1747.15</v>
      </c>
      <c r="C471" s="1">
        <v>12.9514</v>
      </c>
      <c r="D471" s="1">
        <v>2.0299999999999998</v>
      </c>
      <c r="E471" s="1">
        <v>0.2442</v>
      </c>
      <c r="F471" s="4">
        <f t="shared" si="192"/>
        <v>0.12951399999999999</v>
      </c>
      <c r="G471" s="4">
        <f t="shared" si="193"/>
        <v>2.0299999999999999E-2</v>
      </c>
      <c r="H471" s="4">
        <f t="shared" si="194"/>
        <v>2.4420000000000002E-3</v>
      </c>
      <c r="I471" s="3">
        <f t="shared" si="195"/>
        <v>48.9240204633155</v>
      </c>
      <c r="J471" s="4">
        <f t="shared" si="182"/>
        <v>1292371.2967322026</v>
      </c>
      <c r="K471" s="1">
        <f t="shared" si="183"/>
        <v>1762.11</v>
      </c>
      <c r="L471" s="5">
        <f t="shared" si="184"/>
        <v>0.22191780821917817</v>
      </c>
      <c r="M471" s="5">
        <f t="shared" si="185"/>
        <v>-0.56658530754089897</v>
      </c>
      <c r="N471" s="5">
        <f t="shared" si="186"/>
        <v>54.412327501186724</v>
      </c>
      <c r="O471" s="1">
        <f t="shared" si="187"/>
        <v>0</v>
      </c>
      <c r="P471" s="1">
        <f t="shared" si="188"/>
        <v>1762.11</v>
      </c>
      <c r="Q471" s="5">
        <f t="shared" si="189"/>
        <v>0.22191780821917817</v>
      </c>
      <c r="R471" s="5">
        <f t="shared" si="190"/>
        <v>-0.56658530754089897</v>
      </c>
      <c r="S471" s="5">
        <f t="shared" si="196"/>
        <v>54.412327501186724</v>
      </c>
      <c r="T471" s="5">
        <f t="shared" si="197"/>
        <v>-714.29654412183754</v>
      </c>
      <c r="U471" s="4">
        <f t="shared" si="198"/>
        <v>1292392.1517101142</v>
      </c>
      <c r="V471" s="4">
        <f t="shared" si="191"/>
        <v>20.855314448144032</v>
      </c>
      <c r="W471" s="4">
        <f t="shared" si="199"/>
        <v>1253525.614218391</v>
      </c>
      <c r="X471" s="4">
        <f t="shared" si="203"/>
        <v>-10048.645783568034</v>
      </c>
      <c r="Y471" s="9">
        <f>SUM($X$6:X471)</f>
        <v>253525.61421839101</v>
      </c>
      <c r="Z471" s="16">
        <f t="shared" si="204"/>
        <v>0.25352561421839104</v>
      </c>
      <c r="AA471" s="16">
        <f t="shared" si="200"/>
        <v>0.36810329976665168</v>
      </c>
      <c r="AB471" s="16">
        <f t="shared" si="201"/>
        <v>-7.9525565704008996E-3</v>
      </c>
      <c r="AC471" s="16">
        <f t="shared" si="202"/>
        <v>-1.31827912046947E-2</v>
      </c>
    </row>
    <row r="472" spans="1:29" x14ac:dyDescent="0.15">
      <c r="A472" s="8">
        <v>41586</v>
      </c>
      <c r="B472" s="4">
        <v>1770.61</v>
      </c>
      <c r="C472" s="1">
        <v>12.432499999999999</v>
      </c>
      <c r="D472" s="1">
        <v>2</v>
      </c>
      <c r="E472" s="1">
        <v>0.2447</v>
      </c>
      <c r="F472" s="4">
        <f t="shared" si="192"/>
        <v>0.12432499999999999</v>
      </c>
      <c r="G472" s="4">
        <f t="shared" si="193"/>
        <v>0.02</v>
      </c>
      <c r="H472" s="4">
        <f t="shared" si="194"/>
        <v>2.447E-3</v>
      </c>
      <c r="I472" s="3">
        <f t="shared" si="195"/>
        <v>47.692196414435955</v>
      </c>
      <c r="J472" s="4">
        <f t="shared" si="182"/>
        <v>1292392.1517101142</v>
      </c>
      <c r="K472" s="1">
        <f t="shared" si="183"/>
        <v>1762.11</v>
      </c>
      <c r="L472" s="5">
        <f t="shared" si="184"/>
        <v>0.21917808219178092</v>
      </c>
      <c r="M472" s="5">
        <f t="shared" si="185"/>
        <v>-0.47967512143585794</v>
      </c>
      <c r="N472" s="5">
        <f t="shared" si="186"/>
        <v>40.064187359519309</v>
      </c>
      <c r="O472" s="1">
        <f t="shared" si="187"/>
        <v>0</v>
      </c>
      <c r="P472" s="1">
        <f t="shared" si="188"/>
        <v>1762.11</v>
      </c>
      <c r="Q472" s="5">
        <f t="shared" si="189"/>
        <v>0.21917808219178092</v>
      </c>
      <c r="R472" s="5">
        <f t="shared" si="190"/>
        <v>-0.47967512143585794</v>
      </c>
      <c r="S472" s="5">
        <f t="shared" si="196"/>
        <v>40.064187359519309</v>
      </c>
      <c r="T472" s="5">
        <f t="shared" si="197"/>
        <v>-714.29654412183754</v>
      </c>
      <c r="U472" s="4">
        <f t="shared" si="198"/>
        <v>1292413.0070245625</v>
      </c>
      <c r="V472" s="4">
        <f t="shared" si="191"/>
        <v>20.855650990067595</v>
      </c>
      <c r="W472" s="4">
        <f t="shared" si="199"/>
        <v>1263795.2964506079</v>
      </c>
      <c r="X472" s="4">
        <f t="shared" si="203"/>
        <v>10269.682232216932</v>
      </c>
      <c r="Y472" s="9">
        <f>SUM($X$6:X472)</f>
        <v>263795.29645060794</v>
      </c>
      <c r="Z472" s="16">
        <f t="shared" si="204"/>
        <v>0.26379529645060795</v>
      </c>
      <c r="AA472" s="16">
        <f t="shared" si="200"/>
        <v>0.38647361909385619</v>
      </c>
      <c r="AB472" s="16">
        <f t="shared" si="201"/>
        <v>8.1926385194931745E-3</v>
      </c>
      <c r="AC472" s="16">
        <f t="shared" si="202"/>
        <v>1.3427582062215499E-2</v>
      </c>
    </row>
    <row r="473" spans="1:29" x14ac:dyDescent="0.15">
      <c r="A473" s="8">
        <v>41589</v>
      </c>
      <c r="B473" s="4">
        <v>1771.89</v>
      </c>
      <c r="C473" s="1">
        <v>12.385300000000001</v>
      </c>
      <c r="D473" s="1">
        <v>2</v>
      </c>
      <c r="E473" s="1">
        <v>0.24460000000000001</v>
      </c>
      <c r="F473" s="4">
        <f t="shared" si="192"/>
        <v>0.123853</v>
      </c>
      <c r="G473" s="4">
        <f t="shared" si="193"/>
        <v>0.02</v>
      </c>
      <c r="H473" s="4">
        <f t="shared" si="194"/>
        <v>2.4460000000000003E-3</v>
      </c>
      <c r="I473" s="3">
        <f t="shared" si="195"/>
        <v>47.561275883639482</v>
      </c>
      <c r="J473" s="4">
        <f t="shared" si="182"/>
        <v>1292413.0070245625</v>
      </c>
      <c r="K473" s="1">
        <f t="shared" si="183"/>
        <v>1762.11</v>
      </c>
      <c r="L473" s="5">
        <f t="shared" si="184"/>
        <v>0.21095890410958915</v>
      </c>
      <c r="M473" s="5">
        <f t="shared" si="185"/>
        <v>-0.47381899441462316</v>
      </c>
      <c r="N473" s="5">
        <f t="shared" si="186"/>
        <v>38.406652630671942</v>
      </c>
      <c r="O473" s="1">
        <f t="shared" si="187"/>
        <v>0</v>
      </c>
      <c r="P473" s="1">
        <f t="shared" si="188"/>
        <v>1762.11</v>
      </c>
      <c r="Q473" s="5">
        <f t="shared" si="189"/>
        <v>0.21095890410958915</v>
      </c>
      <c r="R473" s="5">
        <f t="shared" si="190"/>
        <v>-0.47381899441462316</v>
      </c>
      <c r="S473" s="5">
        <f t="shared" si="196"/>
        <v>38.406652630671942</v>
      </c>
      <c r="T473" s="5">
        <f t="shared" si="197"/>
        <v>-714.29654412183754</v>
      </c>
      <c r="U473" s="4">
        <f t="shared" si="198"/>
        <v>1292433.8626755525</v>
      </c>
      <c r="V473" s="4">
        <f t="shared" si="191"/>
        <v>62.567962612265788</v>
      </c>
      <c r="W473" s="4">
        <f t="shared" si="199"/>
        <v>1265000.1234301757</v>
      </c>
      <c r="X473" s="4">
        <f t="shared" si="203"/>
        <v>1204.8269795677625</v>
      </c>
      <c r="Y473" s="9">
        <f>SUM($X$6:X473)</f>
        <v>265000.12343017571</v>
      </c>
      <c r="Z473" s="16">
        <f t="shared" si="204"/>
        <v>0.2650001234301757</v>
      </c>
      <c r="AA473" s="16">
        <f t="shared" si="200"/>
        <v>0.38747592125663649</v>
      </c>
      <c r="AB473" s="16">
        <f t="shared" si="201"/>
        <v>9.5334029407415978E-4</v>
      </c>
      <c r="AC473" s="16">
        <f t="shared" si="202"/>
        <v>7.2291470171308202E-4</v>
      </c>
    </row>
    <row r="474" spans="1:29" x14ac:dyDescent="0.15">
      <c r="A474" s="8">
        <v>41590</v>
      </c>
      <c r="B474" s="4">
        <v>1767.69</v>
      </c>
      <c r="C474" s="1">
        <v>12.5799</v>
      </c>
      <c r="D474" s="1">
        <v>2.0099999999999998</v>
      </c>
      <c r="E474" s="1">
        <v>0.24460000000000001</v>
      </c>
      <c r="F474" s="4">
        <f t="shared" si="192"/>
        <v>0.12579899999999999</v>
      </c>
      <c r="G474" s="4">
        <f t="shared" si="193"/>
        <v>2.0099999999999996E-2</v>
      </c>
      <c r="H474" s="4">
        <f t="shared" si="194"/>
        <v>2.4460000000000003E-3</v>
      </c>
      <c r="I474" s="3">
        <f t="shared" si="195"/>
        <v>48.152434494594267</v>
      </c>
      <c r="J474" s="4">
        <f t="shared" si="182"/>
        <v>1292433.8626755525</v>
      </c>
      <c r="K474" s="1">
        <f t="shared" si="183"/>
        <v>1762.11</v>
      </c>
      <c r="L474" s="5">
        <f t="shared" si="184"/>
        <v>0.2082191780821919</v>
      </c>
      <c r="M474" s="5">
        <f t="shared" si="185"/>
        <v>-0.49006876735154792</v>
      </c>
      <c r="N474" s="5">
        <f t="shared" si="186"/>
        <v>40.771346030403009</v>
      </c>
      <c r="O474" s="1">
        <f t="shared" si="187"/>
        <v>0</v>
      </c>
      <c r="P474" s="1">
        <f t="shared" si="188"/>
        <v>1762.11</v>
      </c>
      <c r="Q474" s="5">
        <f t="shared" si="189"/>
        <v>0.2082191780821919</v>
      </c>
      <c r="R474" s="5">
        <f t="shared" si="190"/>
        <v>-0.49006876735154792</v>
      </c>
      <c r="S474" s="5">
        <f t="shared" si="196"/>
        <v>40.771346030403009</v>
      </c>
      <c r="T474" s="5">
        <f t="shared" si="197"/>
        <v>-714.29654412183754</v>
      </c>
      <c r="U474" s="4">
        <f t="shared" si="198"/>
        <v>1292496.4306381647</v>
      </c>
      <c r="V474" s="4">
        <f t="shared" si="191"/>
        <v>20.856997195777506</v>
      </c>
      <c r="W474" s="4">
        <f t="shared" si="199"/>
        <v>1263373.5990694524</v>
      </c>
      <c r="X474" s="4">
        <f t="shared" si="203"/>
        <v>-1626.5243607233278</v>
      </c>
      <c r="Y474" s="9">
        <f>SUM($X$6:X474)</f>
        <v>263373.59906945238</v>
      </c>
      <c r="Z474" s="16">
        <f t="shared" si="204"/>
        <v>0.2633735990694524</v>
      </c>
      <c r="AA474" s="16">
        <f t="shared" si="200"/>
        <v>0.38418711728501415</v>
      </c>
      <c r="AB474" s="16">
        <f t="shared" si="201"/>
        <v>-1.2857898830182265E-3</v>
      </c>
      <c r="AC474" s="16">
        <f t="shared" si="202"/>
        <v>-2.3703503039127966E-3</v>
      </c>
    </row>
    <row r="475" spans="1:29" x14ac:dyDescent="0.15">
      <c r="A475" s="8">
        <v>41591</v>
      </c>
      <c r="B475" s="4">
        <v>1782</v>
      </c>
      <c r="C475" s="1">
        <v>12.555899999999999</v>
      </c>
      <c r="D475" s="1">
        <v>1.99</v>
      </c>
      <c r="E475" s="1">
        <v>0.24579999999999999</v>
      </c>
      <c r="F475" s="4">
        <f t="shared" si="192"/>
        <v>0.125559</v>
      </c>
      <c r="G475" s="4">
        <f t="shared" si="193"/>
        <v>1.9900000000000001E-2</v>
      </c>
      <c r="H475" s="4">
        <f t="shared" si="194"/>
        <v>2.4580000000000001E-3</v>
      </c>
      <c r="I475" s="3">
        <f t="shared" si="195"/>
        <v>48.40909902582262</v>
      </c>
      <c r="J475" s="4">
        <f t="shared" si="182"/>
        <v>1292496.4306381647</v>
      </c>
      <c r="K475" s="1">
        <f t="shared" si="183"/>
        <v>1762.11</v>
      </c>
      <c r="L475" s="5">
        <f t="shared" si="184"/>
        <v>0.20547945205479465</v>
      </c>
      <c r="M475" s="5">
        <f t="shared" si="185"/>
        <v>-0.43360125879956779</v>
      </c>
      <c r="N475" s="5">
        <f t="shared" si="186"/>
        <v>33.745373787835177</v>
      </c>
      <c r="O475" s="1">
        <f t="shared" si="187"/>
        <v>0</v>
      </c>
      <c r="P475" s="1">
        <f t="shared" si="188"/>
        <v>1762.11</v>
      </c>
      <c r="Q475" s="5">
        <f t="shared" si="189"/>
        <v>0.20547945205479465</v>
      </c>
      <c r="R475" s="5">
        <f t="shared" si="190"/>
        <v>-0.43360125879956779</v>
      </c>
      <c r="S475" s="5">
        <f t="shared" si="196"/>
        <v>33.745373787835177</v>
      </c>
      <c r="T475" s="5">
        <f t="shared" si="197"/>
        <v>-714.29654412183754</v>
      </c>
      <c r="U475" s="4">
        <f t="shared" si="198"/>
        <v>1292517.2876353606</v>
      </c>
      <c r="V475" s="4">
        <f t="shared" si="191"/>
        <v>20.857333764855543</v>
      </c>
      <c r="W475" s="4">
        <f t="shared" si="199"/>
        <v>1268413.0837586103</v>
      </c>
      <c r="X475" s="4">
        <f t="shared" si="203"/>
        <v>5039.4846891579218</v>
      </c>
      <c r="Y475" s="9">
        <f>SUM($X$6:X475)</f>
        <v>268413.0837586103</v>
      </c>
      <c r="Z475" s="16">
        <f t="shared" si="204"/>
        <v>0.26841308375861028</v>
      </c>
      <c r="AA475" s="16">
        <f t="shared" si="200"/>
        <v>0.3953925422454701</v>
      </c>
      <c r="AB475" s="16">
        <f t="shared" si="201"/>
        <v>3.9889108755080784E-3</v>
      </c>
      <c r="AC475" s="16">
        <f t="shared" si="202"/>
        <v>8.095310829387475E-3</v>
      </c>
    </row>
    <row r="476" spans="1:29" x14ac:dyDescent="0.15">
      <c r="A476" s="8">
        <v>41592</v>
      </c>
      <c r="B476" s="4">
        <v>1790.62</v>
      </c>
      <c r="C476" s="1">
        <v>12.352499999999999</v>
      </c>
      <c r="D476" s="1">
        <v>1.97</v>
      </c>
      <c r="E476" s="1">
        <v>0.2437</v>
      </c>
      <c r="F476" s="4">
        <f t="shared" si="192"/>
        <v>0.123525</v>
      </c>
      <c r="G476" s="4">
        <f t="shared" si="193"/>
        <v>1.9699999999999999E-2</v>
      </c>
      <c r="H476" s="4">
        <f t="shared" si="194"/>
        <v>2.4369999999999999E-3</v>
      </c>
      <c r="I476" s="3">
        <f t="shared" si="195"/>
        <v>47.881144918630717</v>
      </c>
      <c r="J476" s="4">
        <f t="shared" ref="J476:J539" si="205">U475</f>
        <v>1292517.2876353606</v>
      </c>
      <c r="K476" s="1">
        <f t="shared" ref="K476:K539" si="206">P475</f>
        <v>1762.11</v>
      </c>
      <c r="L476" s="5">
        <f t="shared" ref="L476:L539" si="207">Q475-(A476-A475)/365</f>
        <v>0.2027397260273974</v>
      </c>
      <c r="M476" s="5">
        <f t="shared" ref="M476:M539" si="208">BSM_Put(B476,K476,F476,H476,G476,L476,$G$3)</f>
        <v>-0.39836495871430377</v>
      </c>
      <c r="N476" s="5">
        <f t="shared" ref="N476:N539" si="209">BSM_Put(B476,K476,F476,H476,G476,L476,$F$3)</f>
        <v>29.196583002585619</v>
      </c>
      <c r="O476" s="1">
        <f t="shared" ref="O476:O539" si="210">IF(OR(M476&gt;-0.05,L476&lt;=0.00001),1,0)</f>
        <v>0</v>
      </c>
      <c r="P476" s="1">
        <f t="shared" ref="P476:P539" si="211">IF(O476,B476,K476)</f>
        <v>1762.11</v>
      </c>
      <c r="Q476" s="5">
        <f t="shared" ref="Q476:Q539" si="212">IF(O476,$B$3,L476)</f>
        <v>0.2027397260273974</v>
      </c>
      <c r="R476" s="5">
        <f t="shared" ref="R476:R539" si="213">IF(O476,BSM_Put(B476,P476,F476,H476,G476,Q476,$G$3),M476)</f>
        <v>-0.39836495871430377</v>
      </c>
      <c r="S476" s="5">
        <f t="shared" si="196"/>
        <v>29.196583002585619</v>
      </c>
      <c r="T476" s="5">
        <f t="shared" si="197"/>
        <v>-714.29654412183754</v>
      </c>
      <c r="U476" s="4">
        <f t="shared" si="198"/>
        <v>1292538.1449691255</v>
      </c>
      <c r="V476" s="4">
        <f t="shared" ref="V476:V539" si="214">U476*$H$6*(A476-A475)/365</f>
        <v>20.857670339364791</v>
      </c>
      <c r="W476" s="4">
        <f t="shared" si="199"/>
        <v>1271683.1266302122</v>
      </c>
      <c r="X476" s="4">
        <f t="shared" si="203"/>
        <v>3270.0428716018796</v>
      </c>
      <c r="Y476" s="9">
        <f>SUM($X$6:X476)</f>
        <v>271683.12663021218</v>
      </c>
      <c r="Z476" s="16">
        <f t="shared" si="204"/>
        <v>0.27168312663021216</v>
      </c>
      <c r="AA476" s="16">
        <f t="shared" si="200"/>
        <v>0.4021424208729425</v>
      </c>
      <c r="AB476" s="16">
        <f t="shared" si="201"/>
        <v>2.5780582946306127E-3</v>
      </c>
      <c r="AC476" s="16">
        <f t="shared" si="202"/>
        <v>4.8372615039281091E-3</v>
      </c>
    </row>
    <row r="477" spans="1:29" x14ac:dyDescent="0.15">
      <c r="A477" s="8">
        <v>41593</v>
      </c>
      <c r="B477" s="4">
        <v>1798.18</v>
      </c>
      <c r="C477" s="1">
        <v>12.3591</v>
      </c>
      <c r="D477" s="1">
        <v>1.96</v>
      </c>
      <c r="E477" s="1">
        <v>0.24340000000000001</v>
      </c>
      <c r="F477" s="4">
        <f t="shared" si="192"/>
        <v>0.12359099999999999</v>
      </c>
      <c r="G477" s="4">
        <f t="shared" si="193"/>
        <v>1.9599999999999999E-2</v>
      </c>
      <c r="H477" s="4">
        <f t="shared" si="194"/>
        <v>2.434E-3</v>
      </c>
      <c r="I477" s="3">
        <f t="shared" si="195"/>
        <v>48.084537530821763</v>
      </c>
      <c r="J477" s="4">
        <f t="shared" si="205"/>
        <v>1292538.1449691255</v>
      </c>
      <c r="K477" s="1">
        <f t="shared" si="206"/>
        <v>1762.11</v>
      </c>
      <c r="L477" s="5">
        <f t="shared" si="207"/>
        <v>0.20000000000000015</v>
      </c>
      <c r="M477" s="5">
        <f t="shared" si="208"/>
        <v>-0.36844830951629859</v>
      </c>
      <c r="N477" s="5">
        <f t="shared" si="209"/>
        <v>26.015245573211079</v>
      </c>
      <c r="O477" s="1">
        <f t="shared" si="210"/>
        <v>0</v>
      </c>
      <c r="P477" s="1">
        <f t="shared" si="211"/>
        <v>1762.11</v>
      </c>
      <c r="Q477" s="5">
        <f t="shared" si="212"/>
        <v>0.20000000000000015</v>
      </c>
      <c r="R477" s="5">
        <f t="shared" si="213"/>
        <v>-0.36844830951629859</v>
      </c>
      <c r="S477" s="5">
        <f t="shared" si="196"/>
        <v>26.015245573211079</v>
      </c>
      <c r="T477" s="5">
        <f t="shared" si="197"/>
        <v>-714.29654412183754</v>
      </c>
      <c r="U477" s="4">
        <f t="shared" si="198"/>
        <v>1292559.0026394648</v>
      </c>
      <c r="V477" s="4">
        <f t="shared" si="214"/>
        <v>20.858006919305335</v>
      </c>
      <c r="W477" s="4">
        <f t="shared" si="199"/>
        <v>1273976.4026320393</v>
      </c>
      <c r="X477" s="4">
        <f t="shared" si="203"/>
        <v>2293.2760018270928</v>
      </c>
      <c r="Y477" s="9">
        <f>SUM($X$6:X477)</f>
        <v>273976.40263203927</v>
      </c>
      <c r="Z477" s="16">
        <f t="shared" si="204"/>
        <v>0.27397640263203926</v>
      </c>
      <c r="AA477" s="16">
        <f t="shared" si="200"/>
        <v>0.40806226802186285</v>
      </c>
      <c r="AB477" s="16">
        <f t="shared" si="201"/>
        <v>1.8033391760917386E-3</v>
      </c>
      <c r="AC477" s="16">
        <f t="shared" si="202"/>
        <v>4.2220013179793438E-3</v>
      </c>
    </row>
    <row r="478" spans="1:29" x14ac:dyDescent="0.15">
      <c r="A478" s="8">
        <v>41596</v>
      </c>
      <c r="B478" s="4">
        <v>1791.53</v>
      </c>
      <c r="C478" s="1">
        <v>12.623100000000001</v>
      </c>
      <c r="D478" s="1">
        <v>1.97</v>
      </c>
      <c r="E478" s="1">
        <v>0.24260000000000001</v>
      </c>
      <c r="F478" s="4">
        <f t="shared" si="192"/>
        <v>0.12623100000000001</v>
      </c>
      <c r="G478" s="4">
        <f t="shared" si="193"/>
        <v>1.9699999999999999E-2</v>
      </c>
      <c r="H478" s="4">
        <f t="shared" si="194"/>
        <v>2.4260000000000002E-3</v>
      </c>
      <c r="I478" s="3">
        <f t="shared" si="195"/>
        <v>48.868395578472693</v>
      </c>
      <c r="J478" s="4">
        <f t="shared" si="205"/>
        <v>1292559.0026394648</v>
      </c>
      <c r="K478" s="1">
        <f t="shared" si="206"/>
        <v>1762.11</v>
      </c>
      <c r="L478" s="5">
        <f t="shared" si="207"/>
        <v>0.19178082191780838</v>
      </c>
      <c r="M478" s="5">
        <f t="shared" si="208"/>
        <v>-0.39315315719534077</v>
      </c>
      <c r="N478" s="5">
        <f t="shared" si="209"/>
        <v>28.471369394940641</v>
      </c>
      <c r="O478" s="1">
        <f t="shared" si="210"/>
        <v>0</v>
      </c>
      <c r="P478" s="1">
        <f t="shared" si="211"/>
        <v>1762.11</v>
      </c>
      <c r="Q478" s="5">
        <f t="shared" si="212"/>
        <v>0.19178082191780838</v>
      </c>
      <c r="R478" s="5">
        <f t="shared" si="213"/>
        <v>-0.39315315719534077</v>
      </c>
      <c r="S478" s="5">
        <f t="shared" si="196"/>
        <v>28.471369394940641</v>
      </c>
      <c r="T478" s="5">
        <f t="shared" si="197"/>
        <v>-714.29654412183754</v>
      </c>
      <c r="U478" s="4">
        <f t="shared" si="198"/>
        <v>1292579.8606463841</v>
      </c>
      <c r="V478" s="4">
        <f t="shared" si="214"/>
        <v>62.575030514031795</v>
      </c>
      <c r="W478" s="4">
        <f t="shared" si="199"/>
        <v>1272242.8598811617</v>
      </c>
      <c r="X478" s="4">
        <f t="shared" si="203"/>
        <v>-1733.542750877561</v>
      </c>
      <c r="Y478" s="9">
        <f>SUM($X$6:X478)</f>
        <v>272242.85988116171</v>
      </c>
      <c r="Z478" s="16">
        <f t="shared" si="204"/>
        <v>0.2722428598811617</v>
      </c>
      <c r="AA478" s="16">
        <f t="shared" si="200"/>
        <v>0.40285499506679406</v>
      </c>
      <c r="AB478" s="16">
        <f t="shared" si="201"/>
        <v>-1.3607337995398159E-3</v>
      </c>
      <c r="AC478" s="16">
        <f t="shared" si="202"/>
        <v>-3.6981837190938009E-3</v>
      </c>
    </row>
    <row r="479" spans="1:29" x14ac:dyDescent="0.15">
      <c r="A479" s="8">
        <v>41597</v>
      </c>
      <c r="B479" s="4">
        <v>1787.87</v>
      </c>
      <c r="C479" s="1">
        <v>12.670199999999999</v>
      </c>
      <c r="D479" s="1">
        <v>1.98</v>
      </c>
      <c r="E479" s="1">
        <v>0.24440000000000001</v>
      </c>
      <c r="F479" s="4">
        <f t="shared" si="192"/>
        <v>0.12670199999999998</v>
      </c>
      <c r="G479" s="4">
        <f t="shared" si="193"/>
        <v>1.9799999999999998E-2</v>
      </c>
      <c r="H479" s="4">
        <f t="shared" si="194"/>
        <v>2.444E-3</v>
      </c>
      <c r="I479" s="3">
        <f t="shared" si="195"/>
        <v>48.953865085186223</v>
      </c>
      <c r="J479" s="4">
        <f t="shared" si="205"/>
        <v>1292579.8606463841</v>
      </c>
      <c r="K479" s="1">
        <f t="shared" si="206"/>
        <v>1762.11</v>
      </c>
      <c r="L479" s="5">
        <f t="shared" si="207"/>
        <v>0.18904109589041113</v>
      </c>
      <c r="M479" s="5">
        <f t="shared" si="208"/>
        <v>-0.40696256113815471</v>
      </c>
      <c r="N479" s="5">
        <f t="shared" si="209"/>
        <v>29.780781699313799</v>
      </c>
      <c r="O479" s="1">
        <f t="shared" si="210"/>
        <v>0</v>
      </c>
      <c r="P479" s="1">
        <f t="shared" si="211"/>
        <v>1762.11</v>
      </c>
      <c r="Q479" s="5">
        <f t="shared" si="212"/>
        <v>0.18904109589041113</v>
      </c>
      <c r="R479" s="5">
        <f t="shared" si="213"/>
        <v>-0.40696256113815471</v>
      </c>
      <c r="S479" s="5">
        <f t="shared" si="196"/>
        <v>29.780781699313799</v>
      </c>
      <c r="T479" s="5">
        <f t="shared" si="197"/>
        <v>-714.29654412183754</v>
      </c>
      <c r="U479" s="4">
        <f t="shared" si="198"/>
        <v>1292642.4356768981</v>
      </c>
      <c r="V479" s="4">
        <f t="shared" si="214"/>
        <v>20.859353277087475</v>
      </c>
      <c r="W479" s="4">
        <f t="shared" si="199"/>
        <v>1271370.1262278315</v>
      </c>
      <c r="X479" s="4">
        <f t="shared" si="203"/>
        <v>-872.73365333024412</v>
      </c>
      <c r="Y479" s="9">
        <f>SUM($X$6:X479)</f>
        <v>271370.12622783147</v>
      </c>
      <c r="Z479" s="16">
        <f t="shared" si="204"/>
        <v>0.27137012622783147</v>
      </c>
      <c r="AA479" s="16">
        <f t="shared" si="200"/>
        <v>0.39998903732009455</v>
      </c>
      <c r="AB479" s="16">
        <f t="shared" si="201"/>
        <v>-6.8598039010552188E-4</v>
      </c>
      <c r="AC479" s="16">
        <f t="shared" si="202"/>
        <v>-2.0429465317354898E-3</v>
      </c>
    </row>
    <row r="480" spans="1:29" x14ac:dyDescent="0.15">
      <c r="A480" s="8">
        <v>41598</v>
      </c>
      <c r="B480" s="4">
        <v>1781.37</v>
      </c>
      <c r="C480" s="1">
        <v>12.5748</v>
      </c>
      <c r="D480" s="1">
        <v>1.98</v>
      </c>
      <c r="E480" s="1">
        <v>0.24329999999999999</v>
      </c>
      <c r="F480" s="4">
        <f t="shared" si="192"/>
        <v>0.125748</v>
      </c>
      <c r="G480" s="4">
        <f t="shared" si="193"/>
        <v>1.9799999999999998E-2</v>
      </c>
      <c r="H480" s="4">
        <f t="shared" si="194"/>
        <v>2.4329999999999998E-3</v>
      </c>
      <c r="I480" s="3">
        <f t="shared" si="195"/>
        <v>48.441901473589517</v>
      </c>
      <c r="J480" s="4">
        <f t="shared" si="205"/>
        <v>1292642.4356768981</v>
      </c>
      <c r="K480" s="1">
        <f t="shared" si="206"/>
        <v>1762.11</v>
      </c>
      <c r="L480" s="5">
        <f t="shared" si="207"/>
        <v>0.18630136986301388</v>
      </c>
      <c r="M480" s="5">
        <f t="shared" si="208"/>
        <v>-0.43176965822878044</v>
      </c>
      <c r="N480" s="5">
        <f t="shared" si="209"/>
        <v>31.907481792192858</v>
      </c>
      <c r="O480" s="1">
        <f t="shared" si="210"/>
        <v>0</v>
      </c>
      <c r="P480" s="1">
        <f t="shared" si="211"/>
        <v>1762.11</v>
      </c>
      <c r="Q480" s="5">
        <f t="shared" si="212"/>
        <v>0.18630136986301388</v>
      </c>
      <c r="R480" s="5">
        <f t="shared" si="213"/>
        <v>-0.43176965822878044</v>
      </c>
      <c r="S480" s="5">
        <f t="shared" si="196"/>
        <v>31.907481792192858</v>
      </c>
      <c r="T480" s="5">
        <f t="shared" si="197"/>
        <v>-714.29654412183754</v>
      </c>
      <c r="U480" s="4">
        <f t="shared" si="198"/>
        <v>1292663.2950301752</v>
      </c>
      <c r="V480" s="4">
        <f t="shared" si="214"/>
        <v>20.859689884185567</v>
      </c>
      <c r="W480" s="4">
        <f t="shared" si="199"/>
        <v>1269871.8910543814</v>
      </c>
      <c r="X480" s="4">
        <f t="shared" si="203"/>
        <v>-1498.2351734500844</v>
      </c>
      <c r="Y480" s="9">
        <f>SUM($X$6:X480)</f>
        <v>269871.89105438138</v>
      </c>
      <c r="Z480" s="16">
        <f t="shared" si="204"/>
        <v>0.26987189105438136</v>
      </c>
      <c r="AA480" s="16">
        <f t="shared" si="200"/>
        <v>0.39489922164972668</v>
      </c>
      <c r="AB480" s="16">
        <f t="shared" si="201"/>
        <v>-1.1784413858263005E-3</v>
      </c>
      <c r="AC480" s="16">
        <f t="shared" si="202"/>
        <v>-3.6356110902918E-3</v>
      </c>
    </row>
    <row r="481" spans="1:29" x14ac:dyDescent="0.15">
      <c r="A481" s="8">
        <v>41599</v>
      </c>
      <c r="B481" s="4">
        <v>1795.85</v>
      </c>
      <c r="C481" s="1">
        <v>12.1021</v>
      </c>
      <c r="D481" s="1">
        <v>1.97</v>
      </c>
      <c r="E481" s="1">
        <v>0.2429</v>
      </c>
      <c r="F481" s="4">
        <f t="shared" si="192"/>
        <v>0.121021</v>
      </c>
      <c r="G481" s="4">
        <f t="shared" si="193"/>
        <v>1.9699999999999999E-2</v>
      </c>
      <c r="H481" s="4">
        <f t="shared" si="194"/>
        <v>2.4290000000000002E-3</v>
      </c>
      <c r="I481" s="3">
        <f t="shared" si="195"/>
        <v>47.132276251892016</v>
      </c>
      <c r="J481" s="4">
        <f t="shared" si="205"/>
        <v>1292663.2950301752</v>
      </c>
      <c r="K481" s="1">
        <f t="shared" si="206"/>
        <v>1762.11</v>
      </c>
      <c r="L481" s="5">
        <f t="shared" si="207"/>
        <v>0.18356164383561663</v>
      </c>
      <c r="M481" s="5">
        <f t="shared" si="208"/>
        <v>-0.36914546517073882</v>
      </c>
      <c r="N481" s="5">
        <f t="shared" si="209"/>
        <v>24.388392467276439</v>
      </c>
      <c r="O481" s="1">
        <f t="shared" si="210"/>
        <v>0</v>
      </c>
      <c r="P481" s="1">
        <f t="shared" si="211"/>
        <v>1762.11</v>
      </c>
      <c r="Q481" s="5">
        <f t="shared" si="212"/>
        <v>0.18356164383561663</v>
      </c>
      <c r="R481" s="5">
        <f t="shared" si="213"/>
        <v>-0.36914546517073882</v>
      </c>
      <c r="S481" s="5">
        <f t="shared" si="196"/>
        <v>24.388392467276439</v>
      </c>
      <c r="T481" s="5">
        <f t="shared" si="197"/>
        <v>-714.29654412183754</v>
      </c>
      <c r="U481" s="4">
        <f t="shared" si="198"/>
        <v>1292684.1547200594</v>
      </c>
      <c r="V481" s="4">
        <f t="shared" si="214"/>
        <v>20.860026496715477</v>
      </c>
      <c r="W481" s="4">
        <f t="shared" si="199"/>
        <v>1275263.6102639968</v>
      </c>
      <c r="X481" s="4">
        <f t="shared" si="203"/>
        <v>5391.719209615374</v>
      </c>
      <c r="Y481" s="9">
        <f>SUM($X$6:X481)</f>
        <v>275263.61026399676</v>
      </c>
      <c r="Z481" s="16">
        <f t="shared" si="204"/>
        <v>0.27526361026399676</v>
      </c>
      <c r="AA481" s="16">
        <f t="shared" si="200"/>
        <v>0.40623776486617696</v>
      </c>
      <c r="AB481" s="16">
        <f t="shared" si="201"/>
        <v>4.2458764916346019E-3</v>
      </c>
      <c r="AC481" s="16">
        <f t="shared" si="202"/>
        <v>8.128575197741076E-3</v>
      </c>
    </row>
    <row r="482" spans="1:29" x14ac:dyDescent="0.15">
      <c r="A482" s="8">
        <v>41600</v>
      </c>
      <c r="B482" s="4">
        <v>1804.76</v>
      </c>
      <c r="C482" s="1">
        <v>11.8386</v>
      </c>
      <c r="D482" s="1">
        <v>1.96</v>
      </c>
      <c r="E482" s="1">
        <v>0.2419</v>
      </c>
      <c r="F482" s="4">
        <f t="shared" si="192"/>
        <v>0.11838599999999999</v>
      </c>
      <c r="G482" s="4">
        <f t="shared" si="193"/>
        <v>1.9599999999999999E-2</v>
      </c>
      <c r="H482" s="4">
        <f t="shared" si="194"/>
        <v>2.4190000000000001E-3</v>
      </c>
      <c r="I482" s="3">
        <f t="shared" si="195"/>
        <v>46.403579901471979</v>
      </c>
      <c r="J482" s="4">
        <f t="shared" si="205"/>
        <v>1292684.1547200594</v>
      </c>
      <c r="K482" s="1">
        <f t="shared" si="206"/>
        <v>1762.11</v>
      </c>
      <c r="L482" s="5">
        <f t="shared" si="207"/>
        <v>0.18082191780821938</v>
      </c>
      <c r="M482" s="5">
        <f t="shared" si="208"/>
        <v>-0.32933287822121615</v>
      </c>
      <c r="N482" s="5">
        <f t="shared" si="209"/>
        <v>20.233839113760514</v>
      </c>
      <c r="O482" s="1">
        <f t="shared" si="210"/>
        <v>0</v>
      </c>
      <c r="P482" s="1">
        <f t="shared" si="211"/>
        <v>1762.11</v>
      </c>
      <c r="Q482" s="5">
        <f t="shared" si="212"/>
        <v>0.18082191780821938</v>
      </c>
      <c r="R482" s="5">
        <f t="shared" si="213"/>
        <v>-0.32933287822121615</v>
      </c>
      <c r="S482" s="5">
        <f t="shared" si="196"/>
        <v>20.233839113760514</v>
      </c>
      <c r="T482" s="5">
        <f t="shared" si="197"/>
        <v>-714.29654412183754</v>
      </c>
      <c r="U482" s="4">
        <f t="shared" si="198"/>
        <v>1292705.0147465561</v>
      </c>
      <c r="V482" s="4">
        <f t="shared" si="214"/>
        <v>20.860363114677302</v>
      </c>
      <c r="W482" s="4">
        <f t="shared" si="199"/>
        <v>1278252.0533932797</v>
      </c>
      <c r="X482" s="4">
        <f t="shared" si="203"/>
        <v>2988.4431292829104</v>
      </c>
      <c r="Y482" s="9">
        <f>SUM($X$6:X482)</f>
        <v>278252.05339327967</v>
      </c>
      <c r="Z482" s="16">
        <f t="shared" si="204"/>
        <v>0.27825205339327969</v>
      </c>
      <c r="AA482" s="16">
        <f t="shared" si="200"/>
        <v>0.41321472757740441</v>
      </c>
      <c r="AB482" s="16">
        <f t="shared" si="201"/>
        <v>2.343392460374732E-3</v>
      </c>
      <c r="AC482" s="16">
        <f t="shared" si="202"/>
        <v>4.9614388729571418E-3</v>
      </c>
    </row>
    <row r="483" spans="1:29" x14ac:dyDescent="0.15">
      <c r="A483" s="8">
        <v>41603</v>
      </c>
      <c r="B483" s="4">
        <v>1802.48</v>
      </c>
      <c r="C483" s="1">
        <v>11.9794</v>
      </c>
      <c r="D483" s="1">
        <v>1.96</v>
      </c>
      <c r="E483" s="1">
        <v>0.24110000000000001</v>
      </c>
      <c r="F483" s="4">
        <f t="shared" si="192"/>
        <v>0.119794</v>
      </c>
      <c r="G483" s="4">
        <f t="shared" si="193"/>
        <v>1.9599999999999999E-2</v>
      </c>
      <c r="H483" s="4">
        <f t="shared" si="194"/>
        <v>2.4109999999999999E-3</v>
      </c>
      <c r="I483" s="3">
        <f t="shared" si="195"/>
        <v>46.849526685545861</v>
      </c>
      <c r="J483" s="4">
        <f t="shared" si="205"/>
        <v>1292705.0147465561</v>
      </c>
      <c r="K483" s="1">
        <f t="shared" si="206"/>
        <v>1762.11</v>
      </c>
      <c r="L483" s="5">
        <f t="shared" si="207"/>
        <v>0.1726027397260276</v>
      </c>
      <c r="M483" s="5">
        <f t="shared" si="208"/>
        <v>-0.33595625242389454</v>
      </c>
      <c r="N483" s="5">
        <f t="shared" si="209"/>
        <v>20.534453963920068</v>
      </c>
      <c r="O483" s="1">
        <f t="shared" si="210"/>
        <v>0</v>
      </c>
      <c r="P483" s="1">
        <f t="shared" si="211"/>
        <v>1762.11</v>
      </c>
      <c r="Q483" s="5">
        <f t="shared" si="212"/>
        <v>0.1726027397260276</v>
      </c>
      <c r="R483" s="5">
        <f t="shared" si="213"/>
        <v>-0.33595625242389454</v>
      </c>
      <c r="S483" s="5">
        <f t="shared" si="196"/>
        <v>20.534453963920068</v>
      </c>
      <c r="T483" s="5">
        <f t="shared" si="197"/>
        <v>-714.29654412183754</v>
      </c>
      <c r="U483" s="4">
        <f t="shared" si="198"/>
        <v>1292725.8751096707</v>
      </c>
      <c r="V483" s="4">
        <f t="shared" si="214"/>
        <v>62.582099214213372</v>
      </c>
      <c r="W483" s="4">
        <f t="shared" si="199"/>
        <v>1278058.1856078135</v>
      </c>
      <c r="X483" s="4">
        <f t="shared" si="203"/>
        <v>-193.86778546613641</v>
      </c>
      <c r="Y483" s="9">
        <f>SUM($X$6:X483)</f>
        <v>278058.18560781353</v>
      </c>
      <c r="Z483" s="16">
        <f t="shared" si="204"/>
        <v>0.27805818560781353</v>
      </c>
      <c r="AA483" s="16">
        <f t="shared" si="200"/>
        <v>0.41142937684995229</v>
      </c>
      <c r="AB483" s="16">
        <f t="shared" si="201"/>
        <v>-1.5166632038766546E-4</v>
      </c>
      <c r="AC483" s="16">
        <f t="shared" si="202"/>
        <v>-1.2633258715840183E-3</v>
      </c>
    </row>
    <row r="484" spans="1:29" x14ac:dyDescent="0.15">
      <c r="A484" s="8">
        <v>41604</v>
      </c>
      <c r="B484" s="4">
        <v>1802.75</v>
      </c>
      <c r="C484" s="1">
        <v>11.9626</v>
      </c>
      <c r="D484" s="1">
        <v>1.96</v>
      </c>
      <c r="E484" s="1">
        <v>0.2419</v>
      </c>
      <c r="F484" s="4">
        <f t="shared" si="192"/>
        <v>0.119626</v>
      </c>
      <c r="G484" s="4">
        <f t="shared" si="193"/>
        <v>1.9599999999999999E-2</v>
      </c>
      <c r="H484" s="4">
        <f t="shared" si="194"/>
        <v>2.4190000000000001E-3</v>
      </c>
      <c r="I484" s="3">
        <f t="shared" si="195"/>
        <v>46.79461944089072</v>
      </c>
      <c r="J484" s="4">
        <f t="shared" si="205"/>
        <v>1292725.8751096707</v>
      </c>
      <c r="K484" s="1">
        <f t="shared" si="206"/>
        <v>1762.11</v>
      </c>
      <c r="L484" s="5">
        <f t="shared" si="207"/>
        <v>0.16986301369863036</v>
      </c>
      <c r="M484" s="5">
        <f t="shared" si="208"/>
        <v>-0.33323976984421433</v>
      </c>
      <c r="N484" s="5">
        <f t="shared" si="209"/>
        <v>20.109853913185624</v>
      </c>
      <c r="O484" s="1">
        <f t="shared" si="210"/>
        <v>0</v>
      </c>
      <c r="P484" s="1">
        <f t="shared" si="211"/>
        <v>1762.11</v>
      </c>
      <c r="Q484" s="5">
        <f t="shared" si="212"/>
        <v>0.16986301369863036</v>
      </c>
      <c r="R484" s="5">
        <f t="shared" si="213"/>
        <v>-0.33323976984421433</v>
      </c>
      <c r="S484" s="5">
        <f t="shared" si="196"/>
        <v>20.109853913185624</v>
      </c>
      <c r="T484" s="5">
        <f t="shared" si="197"/>
        <v>-714.29654412183754</v>
      </c>
      <c r="U484" s="4">
        <f t="shared" si="198"/>
        <v>1292788.4572088849</v>
      </c>
      <c r="V484" s="4">
        <f t="shared" si="214"/>
        <v>20.861709624548851</v>
      </c>
      <c r="W484" s="4">
        <f t="shared" si="199"/>
        <v>1278424.0580559014</v>
      </c>
      <c r="X484" s="4">
        <f t="shared" si="203"/>
        <v>365.87244808790274</v>
      </c>
      <c r="Y484" s="9">
        <f>SUM($X$6:X484)</f>
        <v>278424.05805590143</v>
      </c>
      <c r="Z484" s="16">
        <f t="shared" si="204"/>
        <v>0.27842405805590142</v>
      </c>
      <c r="AA484" s="16">
        <f t="shared" si="200"/>
        <v>0.41164079996241371</v>
      </c>
      <c r="AB484" s="16">
        <f t="shared" si="201"/>
        <v>2.862721370654206E-4</v>
      </c>
      <c r="AC484" s="16">
        <f t="shared" si="202"/>
        <v>1.4979361768229429E-4</v>
      </c>
    </row>
    <row r="485" spans="1:29" x14ac:dyDescent="0.15">
      <c r="A485" s="8">
        <v>41605</v>
      </c>
      <c r="B485" s="4">
        <v>1807.23</v>
      </c>
      <c r="C485" s="1">
        <v>12.117000000000001</v>
      </c>
      <c r="D485" s="1">
        <v>1.96</v>
      </c>
      <c r="E485" s="1">
        <v>0.2429</v>
      </c>
      <c r="F485" s="4">
        <f t="shared" si="192"/>
        <v>0.12117000000000001</v>
      </c>
      <c r="G485" s="4">
        <f t="shared" si="193"/>
        <v>1.9599999999999999E-2</v>
      </c>
      <c r="H485" s="4">
        <f t="shared" si="194"/>
        <v>2.4290000000000002E-3</v>
      </c>
      <c r="I485" s="3">
        <f t="shared" si="195"/>
        <v>47.461130952955685</v>
      </c>
      <c r="J485" s="4">
        <f t="shared" si="205"/>
        <v>1292788.4572088849</v>
      </c>
      <c r="K485" s="1">
        <f t="shared" si="206"/>
        <v>1762.11</v>
      </c>
      <c r="L485" s="5">
        <f t="shared" si="207"/>
        <v>0.16712328767123311</v>
      </c>
      <c r="M485" s="5">
        <f t="shared" si="208"/>
        <v>-0.31555766687145365</v>
      </c>
      <c r="N485" s="5">
        <f t="shared" si="209"/>
        <v>18.778601635465936</v>
      </c>
      <c r="O485" s="1">
        <f t="shared" si="210"/>
        <v>0</v>
      </c>
      <c r="P485" s="1">
        <f t="shared" si="211"/>
        <v>1762.11</v>
      </c>
      <c r="Q485" s="5">
        <f t="shared" si="212"/>
        <v>0.16712328767123311</v>
      </c>
      <c r="R485" s="5">
        <f t="shared" si="213"/>
        <v>-0.31555766687145365</v>
      </c>
      <c r="S485" s="5">
        <f t="shared" si="196"/>
        <v>18.778601635465936</v>
      </c>
      <c r="T485" s="5">
        <f t="shared" si="197"/>
        <v>-714.29654412183754</v>
      </c>
      <c r="U485" s="4">
        <f t="shared" si="198"/>
        <v>1292809.3189185094</v>
      </c>
      <c r="V485" s="4">
        <f t="shared" si="214"/>
        <v>20.862046269671286</v>
      </c>
      <c r="W485" s="4">
        <f t="shared" si="199"/>
        <v>1279395.8286668553</v>
      </c>
      <c r="X485" s="4">
        <f t="shared" si="203"/>
        <v>971.770610953914</v>
      </c>
      <c r="Y485" s="9">
        <f>SUM($X$6:X485)</f>
        <v>279395.82866685535</v>
      </c>
      <c r="Z485" s="16">
        <f t="shared" si="204"/>
        <v>0.27939582866685536</v>
      </c>
      <c r="AA485" s="16">
        <f t="shared" si="200"/>
        <v>0.4151488575321442</v>
      </c>
      <c r="AB485" s="16">
        <f t="shared" si="201"/>
        <v>7.6013166744662557E-4</v>
      </c>
      <c r="AC485" s="16">
        <f t="shared" si="202"/>
        <v>2.4850922202191198E-3</v>
      </c>
    </row>
    <row r="486" spans="1:29" x14ac:dyDescent="0.15">
      <c r="A486" s="8">
        <v>41607</v>
      </c>
      <c r="B486" s="4">
        <v>1805.81</v>
      </c>
      <c r="C486" s="1">
        <v>12.472899999999999</v>
      </c>
      <c r="D486" s="1">
        <v>1.96</v>
      </c>
      <c r="E486" s="1">
        <v>0.23910000000000001</v>
      </c>
      <c r="F486" s="4">
        <f t="shared" si="192"/>
        <v>0.12472899999999999</v>
      </c>
      <c r="G486" s="4">
        <f t="shared" si="193"/>
        <v>1.9599999999999999E-2</v>
      </c>
      <c r="H486" s="4">
        <f t="shared" si="194"/>
        <v>2.3909999999999999E-3</v>
      </c>
      <c r="I486" s="3">
        <f t="shared" si="195"/>
        <v>48.706076385907011</v>
      </c>
      <c r="J486" s="4">
        <f t="shared" si="205"/>
        <v>1292809.3189185094</v>
      </c>
      <c r="K486" s="1">
        <f t="shared" si="206"/>
        <v>1762.11</v>
      </c>
      <c r="L486" s="5">
        <f t="shared" si="207"/>
        <v>0.16164383561643858</v>
      </c>
      <c r="M486" s="5">
        <f t="shared" si="208"/>
        <v>-0.32241373253996641</v>
      </c>
      <c r="N486" s="5">
        <f t="shared" si="209"/>
        <v>19.575420086227503</v>
      </c>
      <c r="O486" s="1">
        <f t="shared" si="210"/>
        <v>0</v>
      </c>
      <c r="P486" s="1">
        <f t="shared" si="211"/>
        <v>1762.11</v>
      </c>
      <c r="Q486" s="5">
        <f t="shared" si="212"/>
        <v>0.16164383561643858</v>
      </c>
      <c r="R486" s="5">
        <f t="shared" si="213"/>
        <v>-0.32241373253996641</v>
      </c>
      <c r="S486" s="5">
        <f t="shared" si="196"/>
        <v>19.575420086227503</v>
      </c>
      <c r="T486" s="5">
        <f t="shared" si="197"/>
        <v>-714.29654412183754</v>
      </c>
      <c r="U486" s="4">
        <f t="shared" si="198"/>
        <v>1292830.1809647791</v>
      </c>
      <c r="V486" s="4">
        <f t="shared" si="214"/>
        <v>41.724765840452321</v>
      </c>
      <c r="W486" s="4">
        <f t="shared" si="199"/>
        <v>1278847.5260474535</v>
      </c>
      <c r="X486" s="4">
        <f t="shared" si="203"/>
        <v>-548.30261940183118</v>
      </c>
      <c r="Y486" s="9">
        <f>SUM($X$6:X486)</f>
        <v>278847.52604745352</v>
      </c>
      <c r="Z486" s="16">
        <f t="shared" si="204"/>
        <v>0.2788475260474535</v>
      </c>
      <c r="AA486" s="16">
        <f t="shared" si="200"/>
        <v>0.41403692857030994</v>
      </c>
      <c r="AB486" s="16">
        <f t="shared" si="201"/>
        <v>-4.2856370727202434E-4</v>
      </c>
      <c r="AC486" s="16">
        <f t="shared" si="202"/>
        <v>-7.8573286189365641E-4</v>
      </c>
    </row>
    <row r="487" spans="1:29" x14ac:dyDescent="0.15">
      <c r="A487" s="8">
        <v>41610</v>
      </c>
      <c r="B487" s="4">
        <v>1800.9</v>
      </c>
      <c r="C487" s="1">
        <v>12.643800000000001</v>
      </c>
      <c r="D487" s="1">
        <v>1.96</v>
      </c>
      <c r="E487" s="1">
        <v>0.23880000000000001</v>
      </c>
      <c r="F487" s="4">
        <f t="shared" si="192"/>
        <v>0.12643799999999999</v>
      </c>
      <c r="G487" s="4">
        <f t="shared" si="193"/>
        <v>1.9599999999999999E-2</v>
      </c>
      <c r="H487" s="4">
        <f t="shared" si="194"/>
        <v>2.3879999999999999E-3</v>
      </c>
      <c r="I487" s="3">
        <f t="shared" si="195"/>
        <v>49.184041662850007</v>
      </c>
      <c r="J487" s="4">
        <f t="shared" si="205"/>
        <v>1292830.1809647791</v>
      </c>
      <c r="K487" s="1">
        <f t="shared" si="206"/>
        <v>1762.11</v>
      </c>
      <c r="L487" s="5">
        <f t="shared" si="207"/>
        <v>0.15342465753424681</v>
      </c>
      <c r="M487" s="5">
        <f t="shared" si="208"/>
        <v>-0.33947392731101816</v>
      </c>
      <c r="N487" s="5">
        <f t="shared" si="209"/>
        <v>20.710342749972568</v>
      </c>
      <c r="O487" s="1">
        <f t="shared" si="210"/>
        <v>0</v>
      </c>
      <c r="P487" s="1">
        <f t="shared" si="211"/>
        <v>1762.11</v>
      </c>
      <c r="Q487" s="5">
        <f t="shared" si="212"/>
        <v>0.15342465753424681</v>
      </c>
      <c r="R487" s="5">
        <f t="shared" si="213"/>
        <v>-0.33947392731101816</v>
      </c>
      <c r="S487" s="5">
        <f t="shared" si="196"/>
        <v>20.710342749972568</v>
      </c>
      <c r="T487" s="5">
        <f t="shared" si="197"/>
        <v>-714.29654412183754</v>
      </c>
      <c r="U487" s="4">
        <f t="shared" si="198"/>
        <v>1292871.9057306196</v>
      </c>
      <c r="V487" s="4">
        <f t="shared" si="214"/>
        <v>62.589168696602869</v>
      </c>
      <c r="W487" s="4">
        <f t="shared" si="199"/>
        <v>1278078.5794767353</v>
      </c>
      <c r="X487" s="4">
        <f t="shared" si="203"/>
        <v>-768.94657071819529</v>
      </c>
      <c r="Y487" s="9">
        <f>SUM($X$6:X487)</f>
        <v>278078.57947673532</v>
      </c>
      <c r="Z487" s="16">
        <f t="shared" si="204"/>
        <v>0.27807857947673531</v>
      </c>
      <c r="AA487" s="16">
        <f t="shared" si="200"/>
        <v>0.41019216011777065</v>
      </c>
      <c r="AB487" s="16">
        <f t="shared" si="201"/>
        <v>-6.0128088380855373E-4</v>
      </c>
      <c r="AC487" s="16">
        <f t="shared" si="202"/>
        <v>-2.7190014453347001E-3</v>
      </c>
    </row>
    <row r="488" spans="1:29" x14ac:dyDescent="0.15">
      <c r="A488" s="8">
        <v>41611</v>
      </c>
      <c r="B488" s="4">
        <v>1795.15</v>
      </c>
      <c r="C488" s="1">
        <v>13.106299999999999</v>
      </c>
      <c r="D488" s="1">
        <v>1.97</v>
      </c>
      <c r="E488" s="1">
        <v>0.24129999999999999</v>
      </c>
      <c r="F488" s="4">
        <f t="shared" si="192"/>
        <v>0.13106299999999999</v>
      </c>
      <c r="G488" s="4">
        <f t="shared" si="193"/>
        <v>1.9699999999999999E-2</v>
      </c>
      <c r="H488" s="4">
        <f t="shared" si="194"/>
        <v>2.4129999999999998E-3</v>
      </c>
      <c r="I488" s="3">
        <f t="shared" si="195"/>
        <v>50.688633759874939</v>
      </c>
      <c r="J488" s="4">
        <f t="shared" si="205"/>
        <v>1292871.9057306196</v>
      </c>
      <c r="K488" s="1">
        <f t="shared" si="206"/>
        <v>1762.11</v>
      </c>
      <c r="L488" s="5">
        <f t="shared" si="207"/>
        <v>0.15068493150684956</v>
      </c>
      <c r="M488" s="5">
        <f t="shared" si="208"/>
        <v>-0.36607671678817311</v>
      </c>
      <c r="N488" s="5">
        <f t="shared" si="209"/>
        <v>23.616976148123907</v>
      </c>
      <c r="O488" s="1">
        <f t="shared" si="210"/>
        <v>0</v>
      </c>
      <c r="P488" s="1">
        <f t="shared" si="211"/>
        <v>1762.11</v>
      </c>
      <c r="Q488" s="5">
        <f t="shared" si="212"/>
        <v>0.15068493150684956</v>
      </c>
      <c r="R488" s="5">
        <f t="shared" si="213"/>
        <v>-0.36607671678817311</v>
      </c>
      <c r="S488" s="5">
        <f t="shared" si="196"/>
        <v>23.616976148123907</v>
      </c>
      <c r="T488" s="5">
        <f t="shared" si="197"/>
        <v>-714.29654412183754</v>
      </c>
      <c r="U488" s="4">
        <f t="shared" si="198"/>
        <v>1292934.4948993162</v>
      </c>
      <c r="V488" s="4">
        <f t="shared" si="214"/>
        <v>20.864066232758827</v>
      </c>
      <c r="W488" s="4">
        <f t="shared" si="199"/>
        <v>1276064.9704541035</v>
      </c>
      <c r="X488" s="4">
        <f t="shared" si="203"/>
        <v>-2013.6090226317756</v>
      </c>
      <c r="Y488" s="9">
        <f>SUM($X$6:X488)</f>
        <v>276064.97045410355</v>
      </c>
      <c r="Z488" s="16">
        <f t="shared" si="204"/>
        <v>0.27606497045410355</v>
      </c>
      <c r="AA488" s="16">
        <f t="shared" si="200"/>
        <v>0.40568963087090676</v>
      </c>
      <c r="AB488" s="16">
        <f t="shared" si="201"/>
        <v>-1.5754970429566056E-3</v>
      </c>
      <c r="AC488" s="16">
        <f t="shared" si="202"/>
        <v>-3.1928480204342271E-3</v>
      </c>
    </row>
    <row r="489" spans="1:29" x14ac:dyDescent="0.15">
      <c r="A489" s="8">
        <v>41612</v>
      </c>
      <c r="B489" s="4">
        <v>1792.81</v>
      </c>
      <c r="C489" s="1">
        <v>13.072900000000001</v>
      </c>
      <c r="D489" s="1">
        <v>1.97</v>
      </c>
      <c r="E489" s="1">
        <v>0.2419</v>
      </c>
      <c r="F489" s="4">
        <f t="shared" si="192"/>
        <v>0.13072900000000001</v>
      </c>
      <c r="G489" s="4">
        <f t="shared" si="193"/>
        <v>1.9699999999999999E-2</v>
      </c>
      <c r="H489" s="4">
        <f t="shared" si="194"/>
        <v>2.4190000000000001E-3</v>
      </c>
      <c r="I489" s="3">
        <f t="shared" si="195"/>
        <v>50.502485833002915</v>
      </c>
      <c r="J489" s="4">
        <f t="shared" si="205"/>
        <v>1292934.4948993162</v>
      </c>
      <c r="K489" s="1">
        <f t="shared" si="206"/>
        <v>1762.11</v>
      </c>
      <c r="L489" s="5">
        <f t="shared" si="207"/>
        <v>0.14794520547945231</v>
      </c>
      <c r="M489" s="5">
        <f t="shared" si="208"/>
        <v>-0.3742272413119439</v>
      </c>
      <c r="N489" s="5">
        <f t="shared" si="209"/>
        <v>24.050202156127664</v>
      </c>
      <c r="O489" s="1">
        <f t="shared" si="210"/>
        <v>0</v>
      </c>
      <c r="P489" s="1">
        <f t="shared" si="211"/>
        <v>1762.11</v>
      </c>
      <c r="Q489" s="5">
        <f t="shared" si="212"/>
        <v>0.14794520547945231</v>
      </c>
      <c r="R489" s="5">
        <f t="shared" si="213"/>
        <v>-0.3742272413119439</v>
      </c>
      <c r="S489" s="5">
        <f t="shared" si="196"/>
        <v>24.050202156127664</v>
      </c>
      <c r="T489" s="5">
        <f t="shared" si="197"/>
        <v>-714.29654412183754</v>
      </c>
      <c r="U489" s="4">
        <f t="shared" si="198"/>
        <v>1292955.3589655489</v>
      </c>
      <c r="V489" s="4">
        <f t="shared" si="214"/>
        <v>20.864402915909814</v>
      </c>
      <c r="W489" s="4">
        <f t="shared" si="199"/>
        <v>1275776.3826799954</v>
      </c>
      <c r="X489" s="4">
        <f t="shared" si="203"/>
        <v>-288.58777410816401</v>
      </c>
      <c r="Y489" s="9">
        <f>SUM($X$6:X489)</f>
        <v>275776.38267999538</v>
      </c>
      <c r="Z489" s="16">
        <f t="shared" si="204"/>
        <v>0.27577638267999538</v>
      </c>
      <c r="AA489" s="16">
        <f t="shared" si="200"/>
        <v>0.4038572972295742</v>
      </c>
      <c r="AB489" s="16">
        <f t="shared" si="201"/>
        <v>-2.2615445199899694E-4</v>
      </c>
      <c r="AC489" s="16">
        <f t="shared" si="202"/>
        <v>-1.3035122413169627E-3</v>
      </c>
    </row>
    <row r="490" spans="1:29" x14ac:dyDescent="0.15">
      <c r="A490" s="8">
        <v>41613</v>
      </c>
      <c r="B490" s="4">
        <v>1785.03</v>
      </c>
      <c r="C490" s="1">
        <v>13.3391</v>
      </c>
      <c r="D490" s="1">
        <v>1.98</v>
      </c>
      <c r="E490" s="1">
        <v>0.24160000000000001</v>
      </c>
      <c r="F490" s="4">
        <f t="shared" si="192"/>
        <v>0.13339100000000001</v>
      </c>
      <c r="G490" s="4">
        <f t="shared" si="193"/>
        <v>1.9799999999999998E-2</v>
      </c>
      <c r="H490" s="4">
        <f t="shared" si="194"/>
        <v>2.4160000000000002E-3</v>
      </c>
      <c r="I490" s="3">
        <f t="shared" si="195"/>
        <v>51.248153620687866</v>
      </c>
      <c r="J490" s="4">
        <f t="shared" si="205"/>
        <v>1292955.3589655489</v>
      </c>
      <c r="K490" s="1">
        <f t="shared" si="206"/>
        <v>1762.11</v>
      </c>
      <c r="L490" s="5">
        <f t="shared" si="207"/>
        <v>0.14520547945205506</v>
      </c>
      <c r="M490" s="5">
        <f t="shared" si="208"/>
        <v>-0.40787151467992133</v>
      </c>
      <c r="N490" s="5">
        <f t="shared" si="209"/>
        <v>27.444503919105678</v>
      </c>
      <c r="O490" s="1">
        <f t="shared" si="210"/>
        <v>0</v>
      </c>
      <c r="P490" s="1">
        <f t="shared" si="211"/>
        <v>1762.11</v>
      </c>
      <c r="Q490" s="5">
        <f t="shared" si="212"/>
        <v>0.14520547945205506</v>
      </c>
      <c r="R490" s="5">
        <f t="shared" si="213"/>
        <v>-0.40787151467992133</v>
      </c>
      <c r="S490" s="5">
        <f t="shared" si="196"/>
        <v>27.444503919105678</v>
      </c>
      <c r="T490" s="5">
        <f t="shared" si="197"/>
        <v>-714.29654412183754</v>
      </c>
      <c r="U490" s="4">
        <f t="shared" si="198"/>
        <v>1292976.2233684647</v>
      </c>
      <c r="V490" s="4">
        <f t="shared" si="214"/>
        <v>20.864739604493852</v>
      </c>
      <c r="W490" s="4">
        <f t="shared" si="199"/>
        <v>1273372.7090639092</v>
      </c>
      <c r="X490" s="4">
        <f t="shared" si="203"/>
        <v>-2403.6736160861328</v>
      </c>
      <c r="Y490" s="9">
        <f>SUM($X$6:X490)</f>
        <v>273372.70906390925</v>
      </c>
      <c r="Z490" s="16">
        <f t="shared" si="204"/>
        <v>0.27337270906390926</v>
      </c>
      <c r="AA490" s="16">
        <f t="shared" si="200"/>
        <v>0.39776517939642619</v>
      </c>
      <c r="AB490" s="16">
        <f t="shared" si="201"/>
        <v>-1.8840869361735546E-3</v>
      </c>
      <c r="AC490" s="16">
        <f t="shared" si="202"/>
        <v>-4.3395563389316064E-3</v>
      </c>
    </row>
    <row r="491" spans="1:29" x14ac:dyDescent="0.15">
      <c r="A491" s="8">
        <v>41614</v>
      </c>
      <c r="B491" s="4">
        <v>1805.09</v>
      </c>
      <c r="C491" s="1">
        <v>12.4518</v>
      </c>
      <c r="D491" s="1">
        <v>1.96</v>
      </c>
      <c r="E491" s="1">
        <v>0.2409</v>
      </c>
      <c r="F491" s="4">
        <f t="shared" si="192"/>
        <v>0.124518</v>
      </c>
      <c r="G491" s="4">
        <f t="shared" si="193"/>
        <v>1.9599999999999999E-2</v>
      </c>
      <c r="H491" s="4">
        <f t="shared" si="194"/>
        <v>2.4090000000000001E-3</v>
      </c>
      <c r="I491" s="3">
        <f t="shared" si="195"/>
        <v>48.606840743306179</v>
      </c>
      <c r="J491" s="4">
        <f t="shared" si="205"/>
        <v>1292976.2233684647</v>
      </c>
      <c r="K491" s="1">
        <f t="shared" si="206"/>
        <v>1762.11</v>
      </c>
      <c r="L491" s="5">
        <f t="shared" si="207"/>
        <v>0.14246575342465781</v>
      </c>
      <c r="M491" s="5">
        <f t="shared" si="208"/>
        <v>-0.31326891214051439</v>
      </c>
      <c r="N491" s="5">
        <f t="shared" si="209"/>
        <v>17.59054217536676</v>
      </c>
      <c r="O491" s="1">
        <f t="shared" si="210"/>
        <v>0</v>
      </c>
      <c r="P491" s="1">
        <f t="shared" si="211"/>
        <v>1762.11</v>
      </c>
      <c r="Q491" s="5">
        <f t="shared" si="212"/>
        <v>0.14246575342465781</v>
      </c>
      <c r="R491" s="5">
        <f t="shared" si="213"/>
        <v>-0.31326891214051439</v>
      </c>
      <c r="S491" s="5">
        <f t="shared" si="196"/>
        <v>17.59054217536676</v>
      </c>
      <c r="T491" s="5">
        <f t="shared" si="197"/>
        <v>-714.29654412183754</v>
      </c>
      <c r="U491" s="4">
        <f t="shared" si="198"/>
        <v>1292997.0881080693</v>
      </c>
      <c r="V491" s="4">
        <f t="shared" si="214"/>
        <v>20.865076298511035</v>
      </c>
      <c r="W491" s="4">
        <f t="shared" si="199"/>
        <v>1280432.2246229753</v>
      </c>
      <c r="X491" s="4">
        <f t="shared" si="203"/>
        <v>7059.515559066087</v>
      </c>
      <c r="Y491" s="9">
        <f>SUM($X$6:X491)</f>
        <v>280432.22462297534</v>
      </c>
      <c r="Z491" s="16">
        <f t="shared" si="204"/>
        <v>0.28043222462297535</v>
      </c>
      <c r="AA491" s="16">
        <f t="shared" si="200"/>
        <v>0.4134731336037461</v>
      </c>
      <c r="AB491" s="16">
        <f t="shared" si="201"/>
        <v>5.5439507292846949E-3</v>
      </c>
      <c r="AC491" s="16">
        <f t="shared" si="202"/>
        <v>1.1237906365719313E-2</v>
      </c>
    </row>
    <row r="492" spans="1:29" x14ac:dyDescent="0.15">
      <c r="A492" s="8">
        <v>41617</v>
      </c>
      <c r="B492" s="4">
        <v>1808.37</v>
      </c>
      <c r="C492" s="1">
        <v>12.4785</v>
      </c>
      <c r="D492" s="1">
        <v>1.96</v>
      </c>
      <c r="E492" s="1">
        <v>0.24260000000000001</v>
      </c>
      <c r="F492" s="4">
        <f t="shared" si="192"/>
        <v>0.12478500000000001</v>
      </c>
      <c r="G492" s="4">
        <f t="shared" si="193"/>
        <v>1.9599999999999999E-2</v>
      </c>
      <c r="H492" s="4">
        <f t="shared" si="194"/>
        <v>2.4260000000000002E-3</v>
      </c>
      <c r="I492" s="3">
        <f t="shared" si="195"/>
        <v>48.786671303813698</v>
      </c>
      <c r="J492" s="4">
        <f t="shared" si="205"/>
        <v>1292997.0881080693</v>
      </c>
      <c r="K492" s="1">
        <f t="shared" si="206"/>
        <v>1762.11</v>
      </c>
      <c r="L492" s="5">
        <f t="shared" si="207"/>
        <v>0.13424657534246603</v>
      </c>
      <c r="M492" s="5">
        <f t="shared" si="208"/>
        <v>-0.29409269389213749</v>
      </c>
      <c r="N492" s="5">
        <f t="shared" si="209"/>
        <v>15.709836402091742</v>
      </c>
      <c r="O492" s="1">
        <f t="shared" si="210"/>
        <v>0</v>
      </c>
      <c r="P492" s="1">
        <f t="shared" si="211"/>
        <v>1762.11</v>
      </c>
      <c r="Q492" s="5">
        <f t="shared" si="212"/>
        <v>0.13424657534246603</v>
      </c>
      <c r="R492" s="5">
        <f t="shared" si="213"/>
        <v>-0.29409269389213749</v>
      </c>
      <c r="S492" s="5">
        <f t="shared" si="196"/>
        <v>15.709836402091742</v>
      </c>
      <c r="T492" s="5">
        <f t="shared" si="197"/>
        <v>-714.29654412183754</v>
      </c>
      <c r="U492" s="4">
        <f t="shared" si="198"/>
        <v>1293017.9531843679</v>
      </c>
      <c r="V492" s="4">
        <f t="shared" si="214"/>
        <v>62.596238993884327</v>
      </c>
      <c r="W492" s="4">
        <f t="shared" si="199"/>
        <v>1281796.4713336343</v>
      </c>
      <c r="X492" s="4">
        <f t="shared" si="203"/>
        <v>1364.2467106590047</v>
      </c>
      <c r="Y492" s="9">
        <f>SUM($X$6:X492)</f>
        <v>281796.47133363434</v>
      </c>
      <c r="Z492" s="16">
        <f t="shared" si="204"/>
        <v>0.28179647133363434</v>
      </c>
      <c r="AA492" s="16">
        <f t="shared" si="200"/>
        <v>0.4160415328958702</v>
      </c>
      <c r="AB492" s="16">
        <f t="shared" si="201"/>
        <v>1.0654579636659087E-3</v>
      </c>
      <c r="AC492" s="16">
        <f t="shared" si="202"/>
        <v>1.8170839127134785E-3</v>
      </c>
    </row>
    <row r="493" spans="1:29" x14ac:dyDescent="0.15">
      <c r="A493" s="8">
        <v>41618</v>
      </c>
      <c r="B493" s="4">
        <v>1802.62</v>
      </c>
      <c r="C493" s="1">
        <v>12.5899</v>
      </c>
      <c r="D493" s="1">
        <v>1.96</v>
      </c>
      <c r="E493" s="1">
        <v>0.2419</v>
      </c>
      <c r="F493" s="4">
        <f t="shared" si="192"/>
        <v>0.12589900000000001</v>
      </c>
      <c r="G493" s="4">
        <f t="shared" si="193"/>
        <v>1.9599999999999999E-2</v>
      </c>
      <c r="H493" s="4">
        <f t="shared" si="194"/>
        <v>2.4190000000000001E-3</v>
      </c>
      <c r="I493" s="3">
        <f t="shared" si="195"/>
        <v>49.031031520892554</v>
      </c>
      <c r="J493" s="4">
        <f t="shared" si="205"/>
        <v>1293017.9531843679</v>
      </c>
      <c r="K493" s="1">
        <f t="shared" si="206"/>
        <v>1762.11</v>
      </c>
      <c r="L493" s="5">
        <f t="shared" si="207"/>
        <v>0.13150684931506879</v>
      </c>
      <c r="M493" s="5">
        <f t="shared" si="208"/>
        <v>-0.31793639743965896</v>
      </c>
      <c r="N493" s="5">
        <f t="shared" si="209"/>
        <v>17.402528296332754</v>
      </c>
      <c r="O493" s="1">
        <f t="shared" si="210"/>
        <v>0</v>
      </c>
      <c r="P493" s="1">
        <f t="shared" si="211"/>
        <v>1762.11</v>
      </c>
      <c r="Q493" s="5">
        <f t="shared" si="212"/>
        <v>0.13150684931506879</v>
      </c>
      <c r="R493" s="5">
        <f t="shared" si="213"/>
        <v>-0.31793639743965896</v>
      </c>
      <c r="S493" s="5">
        <f t="shared" si="196"/>
        <v>17.402528296332754</v>
      </c>
      <c r="T493" s="5">
        <f t="shared" si="197"/>
        <v>-714.29654412183754</v>
      </c>
      <c r="U493" s="4">
        <f t="shared" si="198"/>
        <v>1293080.5494233617</v>
      </c>
      <c r="V493" s="4">
        <f t="shared" si="214"/>
        <v>20.866423112612601</v>
      </c>
      <c r="W493" s="4">
        <f t="shared" si="199"/>
        <v>1280649.9836023087</v>
      </c>
      <c r="X493" s="4">
        <f t="shared" si="203"/>
        <v>-1146.4877313256729</v>
      </c>
      <c r="Y493" s="9">
        <f>SUM($X$6:X493)</f>
        <v>280649.98360230867</v>
      </c>
      <c r="Z493" s="16">
        <f t="shared" si="204"/>
        <v>0.28064998360230869</v>
      </c>
      <c r="AA493" s="16">
        <f t="shared" si="200"/>
        <v>0.41153900364900631</v>
      </c>
      <c r="AB493" s="16">
        <f t="shared" si="201"/>
        <v>-8.9443820213736382E-4</v>
      </c>
      <c r="AC493" s="16">
        <f t="shared" si="202"/>
        <v>-3.179659029955153E-3</v>
      </c>
    </row>
    <row r="494" spans="1:29" x14ac:dyDescent="0.15">
      <c r="A494" s="8">
        <v>41619</v>
      </c>
      <c r="B494" s="4">
        <v>1782.22</v>
      </c>
      <c r="C494" s="1">
        <v>13.37</v>
      </c>
      <c r="D494" s="1">
        <v>1.99</v>
      </c>
      <c r="E494" s="1">
        <v>0.24379999999999999</v>
      </c>
      <c r="F494" s="4">
        <f t="shared" si="192"/>
        <v>0.13369999999999999</v>
      </c>
      <c r="G494" s="4">
        <f t="shared" si="193"/>
        <v>1.9900000000000001E-2</v>
      </c>
      <c r="H494" s="4">
        <f t="shared" si="194"/>
        <v>2.4380000000000001E-3</v>
      </c>
      <c r="I494" s="3">
        <f t="shared" si="195"/>
        <v>51.293981207778785</v>
      </c>
      <c r="J494" s="4">
        <f t="shared" si="205"/>
        <v>1293080.5494233617</v>
      </c>
      <c r="K494" s="1">
        <f t="shared" si="206"/>
        <v>1762.11</v>
      </c>
      <c r="L494" s="5">
        <f t="shared" si="207"/>
        <v>0.12876712328767154</v>
      </c>
      <c r="M494" s="5">
        <f t="shared" si="208"/>
        <v>-0.41434780442654873</v>
      </c>
      <c r="N494" s="5">
        <f t="shared" si="209"/>
        <v>26.423342781668772</v>
      </c>
      <c r="O494" s="1">
        <f t="shared" si="210"/>
        <v>0</v>
      </c>
      <c r="P494" s="1">
        <f t="shared" si="211"/>
        <v>1762.11</v>
      </c>
      <c r="Q494" s="5">
        <f t="shared" si="212"/>
        <v>0.12876712328767154</v>
      </c>
      <c r="R494" s="5">
        <f t="shared" si="213"/>
        <v>-0.41434780442654873</v>
      </c>
      <c r="S494" s="5">
        <f t="shared" si="196"/>
        <v>26.423342781668772</v>
      </c>
      <c r="T494" s="5">
        <f t="shared" si="197"/>
        <v>-714.29654412183754</v>
      </c>
      <c r="U494" s="4">
        <f t="shared" si="198"/>
        <v>1293101.4158464742</v>
      </c>
      <c r="V494" s="4">
        <f t="shared" si="214"/>
        <v>20.866759833796525</v>
      </c>
      <c r="W494" s="4">
        <f t="shared" si="199"/>
        <v>1274227.3134133816</v>
      </c>
      <c r="X494" s="4">
        <f t="shared" si="203"/>
        <v>-6422.6701889270917</v>
      </c>
      <c r="Y494" s="9">
        <f>SUM($X$6:X494)</f>
        <v>274227.31341338158</v>
      </c>
      <c r="Z494" s="16">
        <f t="shared" si="204"/>
        <v>0.27422731341338158</v>
      </c>
      <c r="AA494" s="16">
        <f t="shared" si="200"/>
        <v>0.39556481292969797</v>
      </c>
      <c r="AB494" s="16">
        <f t="shared" si="201"/>
        <v>-5.0151643861821808E-3</v>
      </c>
      <c r="AC494" s="16">
        <f t="shared" si="202"/>
        <v>-1.1316861013413735E-2</v>
      </c>
    </row>
    <row r="495" spans="1:29" x14ac:dyDescent="0.15">
      <c r="A495" s="8">
        <v>41620</v>
      </c>
      <c r="B495" s="4">
        <v>1775.5</v>
      </c>
      <c r="C495" s="1">
        <v>13.401199999999999</v>
      </c>
      <c r="D495" s="1">
        <v>1.99</v>
      </c>
      <c r="E495" s="1">
        <v>0.2429</v>
      </c>
      <c r="F495" s="4">
        <f t="shared" si="192"/>
        <v>0.13401199999999999</v>
      </c>
      <c r="G495" s="4">
        <f t="shared" si="193"/>
        <v>1.9900000000000001E-2</v>
      </c>
      <c r="H495" s="4">
        <f t="shared" si="194"/>
        <v>2.4290000000000002E-3</v>
      </c>
      <c r="I495" s="3">
        <f t="shared" si="195"/>
        <v>51.212465680145982</v>
      </c>
      <c r="J495" s="4">
        <f t="shared" si="205"/>
        <v>1293101.4158464742</v>
      </c>
      <c r="K495" s="1">
        <f t="shared" si="206"/>
        <v>1762.11</v>
      </c>
      <c r="L495" s="5">
        <f t="shared" si="207"/>
        <v>0.12602739726027429</v>
      </c>
      <c r="M495" s="5">
        <f t="shared" si="208"/>
        <v>-0.44454668081778109</v>
      </c>
      <c r="N495" s="5">
        <f t="shared" si="209"/>
        <v>28.992773312219949</v>
      </c>
      <c r="O495" s="1">
        <f t="shared" si="210"/>
        <v>0</v>
      </c>
      <c r="P495" s="1">
        <f t="shared" si="211"/>
        <v>1762.11</v>
      </c>
      <c r="Q495" s="5">
        <f t="shared" si="212"/>
        <v>0.12602739726027429</v>
      </c>
      <c r="R495" s="5">
        <f t="shared" si="213"/>
        <v>-0.44454668081778109</v>
      </c>
      <c r="S495" s="5">
        <f t="shared" si="196"/>
        <v>28.992773312219949</v>
      </c>
      <c r="T495" s="5">
        <f t="shared" si="197"/>
        <v>-714.29654412183754</v>
      </c>
      <c r="U495" s="4">
        <f t="shared" si="198"/>
        <v>1293122.2826063081</v>
      </c>
      <c r="V495" s="4">
        <f t="shared" si="214"/>
        <v>20.867096560414122</v>
      </c>
      <c r="W495" s="4">
        <f t="shared" si="199"/>
        <v>1272412.8448248815</v>
      </c>
      <c r="X495" s="4">
        <f t="shared" si="203"/>
        <v>-1814.4685885000508</v>
      </c>
      <c r="Y495" s="9">
        <f>SUM($X$6:X495)</f>
        <v>272412.84482488153</v>
      </c>
      <c r="Z495" s="16">
        <f t="shared" si="204"/>
        <v>0.27241284482488154</v>
      </c>
      <c r="AA495" s="16">
        <f t="shared" si="200"/>
        <v>0.39030272657510223</v>
      </c>
      <c r="AB495" s="16">
        <f t="shared" si="201"/>
        <v>-1.4239755884995738E-3</v>
      </c>
      <c r="AC495" s="16">
        <f t="shared" si="202"/>
        <v>-3.7705782675539648E-3</v>
      </c>
    </row>
    <row r="496" spans="1:29" x14ac:dyDescent="0.15">
      <c r="A496" s="8">
        <v>41621</v>
      </c>
      <c r="B496" s="4">
        <v>1775.32</v>
      </c>
      <c r="C496" s="1">
        <v>13.423299999999999</v>
      </c>
      <c r="D496" s="1">
        <v>2</v>
      </c>
      <c r="E496" s="1">
        <v>0.24379999999999999</v>
      </c>
      <c r="F496" s="4">
        <f t="shared" si="192"/>
        <v>0.13423299999999999</v>
      </c>
      <c r="G496" s="4">
        <f t="shared" si="193"/>
        <v>0.02</v>
      </c>
      <c r="H496" s="4">
        <f t="shared" si="194"/>
        <v>2.4380000000000001E-3</v>
      </c>
      <c r="I496" s="3">
        <f t="shared" si="195"/>
        <v>51.305432430056861</v>
      </c>
      <c r="J496" s="4">
        <f t="shared" si="205"/>
        <v>1293122.2826063081</v>
      </c>
      <c r="K496" s="1">
        <f t="shared" si="206"/>
        <v>1762.11</v>
      </c>
      <c r="L496" s="5">
        <f t="shared" si="207"/>
        <v>0.12328767123287702</v>
      </c>
      <c r="M496" s="5">
        <f t="shared" si="208"/>
        <v>-0.44477664222350977</v>
      </c>
      <c r="N496" s="5">
        <f t="shared" si="209"/>
        <v>28.734394827041868</v>
      </c>
      <c r="O496" s="1">
        <f t="shared" si="210"/>
        <v>0</v>
      </c>
      <c r="P496" s="1">
        <f t="shared" si="211"/>
        <v>1762.11</v>
      </c>
      <c r="Q496" s="5">
        <f t="shared" si="212"/>
        <v>0.12328767123287702</v>
      </c>
      <c r="R496" s="5">
        <f t="shared" si="213"/>
        <v>-0.44477664222350977</v>
      </c>
      <c r="S496" s="5">
        <f t="shared" si="196"/>
        <v>28.734394827041868</v>
      </c>
      <c r="T496" s="5">
        <f t="shared" si="197"/>
        <v>-714.29654412183754</v>
      </c>
      <c r="U496" s="4">
        <f t="shared" si="198"/>
        <v>1293143.1497028684</v>
      </c>
      <c r="V496" s="4">
        <f t="shared" si="214"/>
        <v>20.867433292465464</v>
      </c>
      <c r="W496" s="4">
        <f t="shared" si="199"/>
        <v>1272618.27078048</v>
      </c>
      <c r="X496" s="4">
        <f t="shared" si="203"/>
        <v>205.42595559847541</v>
      </c>
      <c r="Y496" s="9">
        <f>SUM($X$6:X496)</f>
        <v>272618.27078048</v>
      </c>
      <c r="Z496" s="16">
        <f t="shared" si="204"/>
        <v>0.27261827078048001</v>
      </c>
      <c r="AA496" s="16">
        <f t="shared" si="200"/>
        <v>0.39016177783346123</v>
      </c>
      <c r="AB496" s="16">
        <f t="shared" si="201"/>
        <v>1.6144599328274433E-4</v>
      </c>
      <c r="AC496" s="16">
        <f t="shared" si="202"/>
        <v>-1.013798929879266E-4</v>
      </c>
    </row>
    <row r="497" spans="1:29" x14ac:dyDescent="0.15">
      <c r="A497" s="8">
        <v>41624</v>
      </c>
      <c r="B497" s="4">
        <v>1786.54</v>
      </c>
      <c r="C497" s="1">
        <v>13.7149</v>
      </c>
      <c r="D497" s="1">
        <v>1.98</v>
      </c>
      <c r="E497" s="1">
        <v>0.2429</v>
      </c>
      <c r="F497" s="4">
        <f t="shared" si="192"/>
        <v>0.13714899999999999</v>
      </c>
      <c r="G497" s="4">
        <f t="shared" si="193"/>
        <v>1.9799999999999998E-2</v>
      </c>
      <c r="H497" s="4">
        <f t="shared" si="194"/>
        <v>2.4290000000000002E-3</v>
      </c>
      <c r="I497" s="3">
        <f t="shared" si="195"/>
        <v>52.618563622960053</v>
      </c>
      <c r="J497" s="4">
        <f t="shared" si="205"/>
        <v>1293143.1497028684</v>
      </c>
      <c r="K497" s="1">
        <f t="shared" si="206"/>
        <v>1762.11</v>
      </c>
      <c r="L497" s="5">
        <f t="shared" si="207"/>
        <v>0.11506849315068525</v>
      </c>
      <c r="M497" s="5">
        <f t="shared" si="208"/>
        <v>-0.39028683174236828</v>
      </c>
      <c r="N497" s="5">
        <f t="shared" si="209"/>
        <v>23.504734742578819</v>
      </c>
      <c r="O497" s="1">
        <f t="shared" si="210"/>
        <v>0</v>
      </c>
      <c r="P497" s="1">
        <f t="shared" si="211"/>
        <v>1762.11</v>
      </c>
      <c r="Q497" s="5">
        <f t="shared" si="212"/>
        <v>0.11506849315068525</v>
      </c>
      <c r="R497" s="5">
        <f t="shared" si="213"/>
        <v>-0.39028683174236828</v>
      </c>
      <c r="S497" s="5">
        <f t="shared" si="196"/>
        <v>23.504734742578819</v>
      </c>
      <c r="T497" s="5">
        <f t="shared" si="197"/>
        <v>-714.29654412183754</v>
      </c>
      <c r="U497" s="4">
        <f t="shared" si="198"/>
        <v>1293164.017136161</v>
      </c>
      <c r="V497" s="4">
        <f t="shared" si="214"/>
        <v>62.603310089851952</v>
      </c>
      <c r="W497" s="4">
        <f t="shared" si="199"/>
        <v>1276374.6663390365</v>
      </c>
      <c r="X497" s="4">
        <f t="shared" si="203"/>
        <v>3756.3955585565418</v>
      </c>
      <c r="Y497" s="9">
        <f>SUM($X$6:X497)</f>
        <v>276374.66633903654</v>
      </c>
      <c r="Z497" s="16">
        <f t="shared" si="204"/>
        <v>0.27637466633903657</v>
      </c>
      <c r="AA497" s="16">
        <f t="shared" si="200"/>
        <v>0.39894758272908087</v>
      </c>
      <c r="AB497" s="16">
        <f t="shared" si="201"/>
        <v>2.9517064502404119E-3</v>
      </c>
      <c r="AC497" s="16">
        <f t="shared" si="202"/>
        <v>6.3199873825563998E-3</v>
      </c>
    </row>
    <row r="498" spans="1:29" x14ac:dyDescent="0.15">
      <c r="A498" s="8">
        <v>41625</v>
      </c>
      <c r="B498" s="4">
        <v>1781</v>
      </c>
      <c r="C498" s="1">
        <v>13.6472</v>
      </c>
      <c r="D498" s="1">
        <v>1.99</v>
      </c>
      <c r="E498" s="1">
        <v>0.24440000000000001</v>
      </c>
      <c r="F498" s="4">
        <f t="shared" si="192"/>
        <v>0.13647200000000001</v>
      </c>
      <c r="G498" s="4">
        <f t="shared" si="193"/>
        <v>1.9900000000000001E-2</v>
      </c>
      <c r="H498" s="4">
        <f t="shared" si="194"/>
        <v>2.444E-3</v>
      </c>
      <c r="I498" s="3">
        <f t="shared" si="195"/>
        <v>52.235526914273969</v>
      </c>
      <c r="J498" s="4">
        <f t="shared" si="205"/>
        <v>1293164.017136161</v>
      </c>
      <c r="K498" s="1">
        <f t="shared" si="206"/>
        <v>1762.11</v>
      </c>
      <c r="L498" s="5">
        <f t="shared" si="207"/>
        <v>0.11232876712328799</v>
      </c>
      <c r="M498" s="5">
        <f t="shared" si="208"/>
        <v>-0.41468587549015468</v>
      </c>
      <c r="N498" s="5">
        <f t="shared" si="209"/>
        <v>25.166549218779323</v>
      </c>
      <c r="O498" s="1">
        <f t="shared" si="210"/>
        <v>0</v>
      </c>
      <c r="P498" s="1">
        <f t="shared" si="211"/>
        <v>1762.11</v>
      </c>
      <c r="Q498" s="5">
        <f t="shared" si="212"/>
        <v>0.11232876712328799</v>
      </c>
      <c r="R498" s="5">
        <f t="shared" si="213"/>
        <v>-0.41468587549015468</v>
      </c>
      <c r="S498" s="5">
        <f t="shared" si="196"/>
        <v>25.166549218779323</v>
      </c>
      <c r="T498" s="5">
        <f t="shared" si="197"/>
        <v>-714.29654412183754</v>
      </c>
      <c r="U498" s="4">
        <f t="shared" si="198"/>
        <v>1293226.6204462508</v>
      </c>
      <c r="V498" s="4">
        <f t="shared" si="214"/>
        <v>20.868780258707989</v>
      </c>
      <c r="W498" s="4">
        <f t="shared" si="199"/>
        <v>1275250.2413118046</v>
      </c>
      <c r="X498" s="4">
        <f t="shared" si="203"/>
        <v>-1124.4250272319186</v>
      </c>
      <c r="Y498" s="9">
        <f>SUM($X$6:X498)</f>
        <v>275250.24131180462</v>
      </c>
      <c r="Z498" s="16">
        <f t="shared" si="204"/>
        <v>0.27525024131180464</v>
      </c>
      <c r="AA498" s="16">
        <f t="shared" si="200"/>
        <v>0.39460949368079812</v>
      </c>
      <c r="AB498" s="16">
        <f t="shared" si="201"/>
        <v>-8.8095216622956988E-4</v>
      </c>
      <c r="AC498" s="16">
        <f t="shared" si="202"/>
        <v>-3.1009661132692041E-3</v>
      </c>
    </row>
    <row r="499" spans="1:29" x14ac:dyDescent="0.15">
      <c r="A499" s="8">
        <v>41626</v>
      </c>
      <c r="B499" s="4">
        <v>1810.65</v>
      </c>
      <c r="C499" s="1">
        <v>12.5756</v>
      </c>
      <c r="D499" s="1">
        <v>1.96</v>
      </c>
      <c r="E499" s="1">
        <v>0.24510000000000001</v>
      </c>
      <c r="F499" s="4">
        <f t="shared" si="192"/>
        <v>0.12575600000000001</v>
      </c>
      <c r="G499" s="4">
        <f t="shared" si="193"/>
        <v>1.9599999999999999E-2</v>
      </c>
      <c r="H499" s="4">
        <f t="shared" si="194"/>
        <v>2.4510000000000001E-3</v>
      </c>
      <c r="I499" s="3">
        <f t="shared" si="195"/>
        <v>49.190364945534427</v>
      </c>
      <c r="J499" s="4">
        <f t="shared" si="205"/>
        <v>1293226.6204462508</v>
      </c>
      <c r="K499" s="1">
        <f t="shared" si="206"/>
        <v>1762.11</v>
      </c>
      <c r="L499" s="5">
        <f t="shared" si="207"/>
        <v>0.10958904109589072</v>
      </c>
      <c r="M499" s="5">
        <f t="shared" si="208"/>
        <v>-0.26429867790050987</v>
      </c>
      <c r="N499" s="5">
        <f t="shared" si="209"/>
        <v>12.372072958827141</v>
      </c>
      <c r="O499" s="1">
        <f t="shared" si="210"/>
        <v>0</v>
      </c>
      <c r="P499" s="1">
        <f t="shared" si="211"/>
        <v>1762.11</v>
      </c>
      <c r="Q499" s="5">
        <f t="shared" si="212"/>
        <v>0.10958904109589072</v>
      </c>
      <c r="R499" s="5">
        <f t="shared" si="213"/>
        <v>-0.26429867790050987</v>
      </c>
      <c r="S499" s="5">
        <f t="shared" si="196"/>
        <v>12.372072958827141</v>
      </c>
      <c r="T499" s="5">
        <f t="shared" si="197"/>
        <v>-714.29654412183754</v>
      </c>
      <c r="U499" s="4">
        <f t="shared" si="198"/>
        <v>1293247.4892265096</v>
      </c>
      <c r="V499" s="4">
        <f t="shared" si="214"/>
        <v>20.869117017929153</v>
      </c>
      <c r="W499" s="4">
        <f t="shared" si="199"/>
        <v>1284410.1602683961</v>
      </c>
      <c r="X499" s="4">
        <f t="shared" si="203"/>
        <v>9159.9189565915149</v>
      </c>
      <c r="Y499" s="9">
        <f>SUM($X$6:X499)</f>
        <v>284410.16026839614</v>
      </c>
      <c r="Z499" s="16">
        <f t="shared" si="204"/>
        <v>0.28441016026839616</v>
      </c>
      <c r="AA499" s="16">
        <f t="shared" si="200"/>
        <v>0.41782688362332243</v>
      </c>
      <c r="AB499" s="16">
        <f t="shared" si="201"/>
        <v>7.1828404024993804E-3</v>
      </c>
      <c r="AC499" s="16">
        <f t="shared" si="202"/>
        <v>1.6647950589556482E-2</v>
      </c>
    </row>
    <row r="500" spans="1:29" x14ac:dyDescent="0.15">
      <c r="A500" s="8">
        <v>41627</v>
      </c>
      <c r="B500" s="4">
        <v>1809.6</v>
      </c>
      <c r="C500" s="1">
        <v>12.390700000000001</v>
      </c>
      <c r="D500" s="1">
        <v>1.96</v>
      </c>
      <c r="E500" s="1">
        <v>0.24579999999999999</v>
      </c>
      <c r="F500" s="4">
        <f t="shared" si="192"/>
        <v>0.123907</v>
      </c>
      <c r="G500" s="4">
        <f t="shared" si="193"/>
        <v>1.9599999999999999E-2</v>
      </c>
      <c r="H500" s="4">
        <f t="shared" si="194"/>
        <v>2.4580000000000001E-3</v>
      </c>
      <c r="I500" s="3">
        <f t="shared" si="195"/>
        <v>48.497343380098307</v>
      </c>
      <c r="J500" s="4">
        <f t="shared" si="205"/>
        <v>1293247.4892265096</v>
      </c>
      <c r="K500" s="1">
        <f t="shared" si="206"/>
        <v>1762.11</v>
      </c>
      <c r="L500" s="5">
        <f t="shared" si="207"/>
        <v>0.10684931506849346</v>
      </c>
      <c r="M500" s="5">
        <f t="shared" si="208"/>
        <v>-0.26326323479308888</v>
      </c>
      <c r="N500" s="5">
        <f t="shared" si="209"/>
        <v>11.959756343027252</v>
      </c>
      <c r="O500" s="1">
        <f t="shared" si="210"/>
        <v>0</v>
      </c>
      <c r="P500" s="1">
        <f t="shared" si="211"/>
        <v>1762.11</v>
      </c>
      <c r="Q500" s="5">
        <f t="shared" si="212"/>
        <v>0.10684931506849346</v>
      </c>
      <c r="R500" s="5">
        <f t="shared" si="213"/>
        <v>-0.26326323479308888</v>
      </c>
      <c r="S500" s="5">
        <f t="shared" si="196"/>
        <v>11.959756343027252</v>
      </c>
      <c r="T500" s="5">
        <f t="shared" si="197"/>
        <v>-714.29654412183754</v>
      </c>
      <c r="U500" s="4">
        <f t="shared" si="198"/>
        <v>1293268.3583435274</v>
      </c>
      <c r="V500" s="4">
        <f t="shared" si="214"/>
        <v>20.869453782584589</v>
      </c>
      <c r="W500" s="4">
        <f t="shared" si="199"/>
        <v>1284725.5457191637</v>
      </c>
      <c r="X500" s="4">
        <f t="shared" si="203"/>
        <v>315.38545076758601</v>
      </c>
      <c r="Y500" s="9">
        <f>SUM($X$6:X500)</f>
        <v>284725.54571916373</v>
      </c>
      <c r="Z500" s="16">
        <f t="shared" si="204"/>
        <v>0.28472554571916375</v>
      </c>
      <c r="AA500" s="16">
        <f t="shared" si="200"/>
        <v>0.41700468263041673</v>
      </c>
      <c r="AB500" s="16">
        <f t="shared" si="201"/>
        <v>2.4554886010998362E-4</v>
      </c>
      <c r="AC500" s="16">
        <f t="shared" si="202"/>
        <v>-5.7990224505022054E-4</v>
      </c>
    </row>
    <row r="501" spans="1:29" x14ac:dyDescent="0.15">
      <c r="A501" s="8">
        <v>41628</v>
      </c>
      <c r="B501" s="4">
        <v>1818.32</v>
      </c>
      <c r="C501" s="1">
        <v>12.1015</v>
      </c>
      <c r="D501" s="1">
        <v>1.95</v>
      </c>
      <c r="E501" s="1">
        <v>0.24829999999999999</v>
      </c>
      <c r="F501" s="4">
        <f t="shared" si="192"/>
        <v>0.121015</v>
      </c>
      <c r="G501" s="4">
        <f t="shared" si="193"/>
        <v>1.95E-2</v>
      </c>
      <c r="H501" s="4">
        <f t="shared" si="194"/>
        <v>2.483E-3</v>
      </c>
      <c r="I501" s="3">
        <f t="shared" si="195"/>
        <v>47.660056157211073</v>
      </c>
      <c r="J501" s="4">
        <f t="shared" si="205"/>
        <v>1293268.3583435274</v>
      </c>
      <c r="K501" s="1">
        <f t="shared" si="206"/>
        <v>1762.11</v>
      </c>
      <c r="L501" s="5">
        <f t="shared" si="207"/>
        <v>0.1041095890410962</v>
      </c>
      <c r="M501" s="5">
        <f t="shared" si="208"/>
        <v>-0.21774098728375169</v>
      </c>
      <c r="N501" s="5">
        <f t="shared" si="209"/>
        <v>9.0174998695465209</v>
      </c>
      <c r="O501" s="1">
        <f t="shared" si="210"/>
        <v>0</v>
      </c>
      <c r="P501" s="1">
        <f t="shared" si="211"/>
        <v>1762.11</v>
      </c>
      <c r="Q501" s="5">
        <f t="shared" si="212"/>
        <v>0.1041095890410962</v>
      </c>
      <c r="R501" s="5">
        <f t="shared" si="213"/>
        <v>-0.21774098728375169</v>
      </c>
      <c r="S501" s="5">
        <f t="shared" si="196"/>
        <v>9.0174998695465209</v>
      </c>
      <c r="T501" s="5">
        <f t="shared" si="197"/>
        <v>-714.29654412183754</v>
      </c>
      <c r="U501" s="4">
        <f t="shared" si="198"/>
        <v>1293289.2277973101</v>
      </c>
      <c r="V501" s="4">
        <f t="shared" si="214"/>
        <v>20.869790552674399</v>
      </c>
      <c r="W501" s="4">
        <f t="shared" si="199"/>
        <v>1286848.0588038738</v>
      </c>
      <c r="X501" s="4">
        <f t="shared" si="203"/>
        <v>2122.51308471011</v>
      </c>
      <c r="Y501" s="9">
        <f>SUM($X$6:X501)</f>
        <v>286848.05880387384</v>
      </c>
      <c r="Z501" s="16">
        <f t="shared" si="204"/>
        <v>0.28684805880387382</v>
      </c>
      <c r="AA501" s="16">
        <f t="shared" si="200"/>
        <v>0.42383286611435644</v>
      </c>
      <c r="AB501" s="16">
        <f t="shared" si="201"/>
        <v>1.6521140190467448E-3</v>
      </c>
      <c r="AC501" s="16">
        <f t="shared" si="202"/>
        <v>4.8187444739169029E-3</v>
      </c>
    </row>
    <row r="502" spans="1:29" x14ac:dyDescent="0.15">
      <c r="A502" s="8">
        <v>41631</v>
      </c>
      <c r="B502" s="4">
        <v>1827.99</v>
      </c>
      <c r="C502" s="1">
        <v>11.9101</v>
      </c>
      <c r="D502" s="1">
        <v>1.92</v>
      </c>
      <c r="E502" s="1">
        <v>0.24579999999999999</v>
      </c>
      <c r="F502" s="4">
        <f t="shared" si="192"/>
        <v>0.119101</v>
      </c>
      <c r="G502" s="4">
        <f t="shared" si="193"/>
        <v>1.9199999999999998E-2</v>
      </c>
      <c r="H502" s="4">
        <f t="shared" si="194"/>
        <v>2.4580000000000001E-3</v>
      </c>
      <c r="I502" s="3">
        <f t="shared" si="195"/>
        <v>47.156416242914581</v>
      </c>
      <c r="J502" s="4">
        <f t="shared" si="205"/>
        <v>1293289.2277973101</v>
      </c>
      <c r="K502" s="1">
        <f t="shared" si="206"/>
        <v>1762.11</v>
      </c>
      <c r="L502" s="5">
        <f t="shared" si="207"/>
        <v>9.5890410958904423E-2</v>
      </c>
      <c r="M502" s="5">
        <f t="shared" si="208"/>
        <v>-0.16568305838369857</v>
      </c>
      <c r="N502" s="5">
        <f t="shared" si="209"/>
        <v>6.0341421765776486</v>
      </c>
      <c r="O502" s="1">
        <f t="shared" si="210"/>
        <v>0</v>
      </c>
      <c r="P502" s="1">
        <f t="shared" si="211"/>
        <v>1762.11</v>
      </c>
      <c r="Q502" s="5">
        <f t="shared" si="212"/>
        <v>9.5890410958904423E-2</v>
      </c>
      <c r="R502" s="5">
        <f t="shared" si="213"/>
        <v>-0.16568305838369857</v>
      </c>
      <c r="S502" s="5">
        <f t="shared" si="196"/>
        <v>6.0341421765776486</v>
      </c>
      <c r="T502" s="5">
        <f t="shared" si="197"/>
        <v>-714.29654412183754</v>
      </c>
      <c r="U502" s="4">
        <f t="shared" si="198"/>
        <v>1293310.0975878628</v>
      </c>
      <c r="V502" s="4">
        <f t="shared" si="214"/>
        <v>62.610381984595982</v>
      </c>
      <c r="W502" s="4">
        <f t="shared" si="199"/>
        <v>1288999.9306843935</v>
      </c>
      <c r="X502" s="4">
        <f t="shared" si="203"/>
        <v>2151.8718805196695</v>
      </c>
      <c r="Y502" s="9">
        <f>SUM($X$6:X502)</f>
        <v>288999.9306843935</v>
      </c>
      <c r="Z502" s="16">
        <f t="shared" si="204"/>
        <v>0.2889999306843935</v>
      </c>
      <c r="AA502" s="16">
        <f t="shared" si="200"/>
        <v>0.43140494573473454</v>
      </c>
      <c r="AB502" s="16">
        <f t="shared" si="201"/>
        <v>1.6722035408903177E-3</v>
      </c>
      <c r="AC502" s="16">
        <f t="shared" si="202"/>
        <v>5.3180958247173614E-3</v>
      </c>
    </row>
    <row r="503" spans="1:29" x14ac:dyDescent="0.15">
      <c r="A503" s="8">
        <v>41632</v>
      </c>
      <c r="B503" s="4">
        <v>1833.32</v>
      </c>
      <c r="C503" s="1">
        <v>11.5884</v>
      </c>
      <c r="D503" s="1">
        <v>1.92</v>
      </c>
      <c r="E503" s="1">
        <v>0.24959999999999999</v>
      </c>
      <c r="F503" s="4">
        <f t="shared" si="192"/>
        <v>0.115884</v>
      </c>
      <c r="G503" s="4">
        <f t="shared" si="193"/>
        <v>1.9199999999999998E-2</v>
      </c>
      <c r="H503" s="4">
        <f t="shared" si="194"/>
        <v>2.496E-3</v>
      </c>
      <c r="I503" s="3">
        <f t="shared" si="195"/>
        <v>46.11634272446237</v>
      </c>
      <c r="J503" s="4">
        <f t="shared" si="205"/>
        <v>1293310.0975878628</v>
      </c>
      <c r="K503" s="1">
        <f t="shared" si="206"/>
        <v>1762.11</v>
      </c>
      <c r="L503" s="5">
        <f t="shared" si="207"/>
        <v>9.3150684931507161E-2</v>
      </c>
      <c r="M503" s="5">
        <f t="shared" si="208"/>
        <v>-0.13677651475947036</v>
      </c>
      <c r="N503" s="5">
        <f t="shared" si="209"/>
        <v>4.5670290790613066</v>
      </c>
      <c r="O503" s="1">
        <f t="shared" si="210"/>
        <v>0</v>
      </c>
      <c r="P503" s="1">
        <f t="shared" si="211"/>
        <v>1762.11</v>
      </c>
      <c r="Q503" s="5">
        <f t="shared" si="212"/>
        <v>9.3150684931507161E-2</v>
      </c>
      <c r="R503" s="5">
        <f t="shared" si="213"/>
        <v>-0.13677651475947036</v>
      </c>
      <c r="S503" s="5">
        <f t="shared" si="196"/>
        <v>4.5670290790613066</v>
      </c>
      <c r="T503" s="5">
        <f t="shared" si="197"/>
        <v>-714.29654412183754</v>
      </c>
      <c r="U503" s="4">
        <f t="shared" si="198"/>
        <v>1293372.7079698474</v>
      </c>
      <c r="V503" s="4">
        <f t="shared" si="214"/>
        <v>20.871137671075068</v>
      </c>
      <c r="W503" s="4">
        <f t="shared" si="199"/>
        <v>1290110.4948817699</v>
      </c>
      <c r="X503" s="4">
        <f t="shared" si="203"/>
        <v>1110.5641973763704</v>
      </c>
      <c r="Y503" s="9">
        <f>SUM($X$6:X503)</f>
        <v>290110.49488176988</v>
      </c>
      <c r="Z503" s="16">
        <f t="shared" si="204"/>
        <v>0.29011049488176988</v>
      </c>
      <c r="AA503" s="16">
        <f t="shared" si="200"/>
        <v>0.43557859458443615</v>
      </c>
      <c r="AB503" s="16">
        <f t="shared" si="201"/>
        <v>8.6157040891904259E-4</v>
      </c>
      <c r="AC503" s="16">
        <f t="shared" si="202"/>
        <v>2.9157708740200588E-3</v>
      </c>
    </row>
    <row r="504" spans="1:29" x14ac:dyDescent="0.15">
      <c r="A504" s="8">
        <v>41634</v>
      </c>
      <c r="B504" s="4">
        <v>1842.02</v>
      </c>
      <c r="C504" s="1">
        <v>11.5511</v>
      </c>
      <c r="D504" s="1">
        <v>1.9100000000000001</v>
      </c>
      <c r="E504" s="1">
        <v>0.24959999999999999</v>
      </c>
      <c r="F504" s="4">
        <f t="shared" si="192"/>
        <v>0.115511</v>
      </c>
      <c r="G504" s="4">
        <f t="shared" si="193"/>
        <v>1.9100000000000002E-2</v>
      </c>
      <c r="H504" s="4">
        <f t="shared" si="194"/>
        <v>2.496E-3</v>
      </c>
      <c r="I504" s="3">
        <f t="shared" si="195"/>
        <v>46.175465144023335</v>
      </c>
      <c r="J504" s="4">
        <f t="shared" si="205"/>
        <v>1293372.7079698474</v>
      </c>
      <c r="K504" s="1">
        <f t="shared" si="206"/>
        <v>1762.11</v>
      </c>
      <c r="L504" s="5">
        <f t="shared" si="207"/>
        <v>8.7671232876712635E-2</v>
      </c>
      <c r="M504" s="5">
        <f t="shared" si="208"/>
        <v>-0.10164584648060097</v>
      </c>
      <c r="N504" s="5">
        <f t="shared" si="209"/>
        <v>3.0868399455478528</v>
      </c>
      <c r="O504" s="1">
        <f t="shared" si="210"/>
        <v>0</v>
      </c>
      <c r="P504" s="1">
        <f t="shared" si="211"/>
        <v>1762.11</v>
      </c>
      <c r="Q504" s="5">
        <f t="shared" si="212"/>
        <v>8.7671232876712635E-2</v>
      </c>
      <c r="R504" s="5">
        <f t="shared" si="213"/>
        <v>-0.10164584648060097</v>
      </c>
      <c r="S504" s="5">
        <f t="shared" si="196"/>
        <v>3.0868399455478528</v>
      </c>
      <c r="T504" s="5">
        <f t="shared" si="197"/>
        <v>-714.29654412183754</v>
      </c>
      <c r="U504" s="4">
        <f t="shared" si="198"/>
        <v>1293393.5791075185</v>
      </c>
      <c r="V504" s="4">
        <f t="shared" si="214"/>
        <v>41.742948936675525</v>
      </c>
      <c r="W504" s="4">
        <f t="shared" si="199"/>
        <v>1291188.6600021564</v>
      </c>
      <c r="X504" s="4">
        <f t="shared" si="203"/>
        <v>1078.1651203865185</v>
      </c>
      <c r="Y504" s="9">
        <f>SUM($X$6:X504)</f>
        <v>291188.66000215639</v>
      </c>
      <c r="Z504" s="16">
        <f t="shared" si="204"/>
        <v>0.29118866000215637</v>
      </c>
      <c r="AA504" s="16">
        <f t="shared" si="200"/>
        <v>0.4423911170970824</v>
      </c>
      <c r="AB504" s="16">
        <f t="shared" si="201"/>
        <v>8.3571533187575941E-4</v>
      </c>
      <c r="AC504" s="16">
        <f t="shared" si="202"/>
        <v>4.7454890581022655E-3</v>
      </c>
    </row>
    <row r="505" spans="1:29" x14ac:dyDescent="0.15">
      <c r="A505" s="8">
        <v>41635</v>
      </c>
      <c r="B505" s="4">
        <v>1841.4</v>
      </c>
      <c r="C505" s="1">
        <v>11.6594</v>
      </c>
      <c r="D505" s="1">
        <v>1.9100000000000001</v>
      </c>
      <c r="E505" s="1">
        <v>0.24660000000000001</v>
      </c>
      <c r="F505" s="4">
        <f t="shared" si="192"/>
        <v>0.116594</v>
      </c>
      <c r="G505" s="4">
        <f t="shared" si="193"/>
        <v>1.9100000000000002E-2</v>
      </c>
      <c r="H505" s="4">
        <f t="shared" si="194"/>
        <v>2.4660000000000003E-3</v>
      </c>
      <c r="I505" s="3">
        <f t="shared" si="195"/>
        <v>46.562358653481397</v>
      </c>
      <c r="J505" s="4">
        <f t="shared" si="205"/>
        <v>1293393.5791075185</v>
      </c>
      <c r="K505" s="1">
        <f t="shared" si="206"/>
        <v>1762.11</v>
      </c>
      <c r="L505" s="5">
        <f t="shared" si="207"/>
        <v>8.4931506849315372E-2</v>
      </c>
      <c r="M505" s="5">
        <f t="shared" si="208"/>
        <v>-0.10174405683121698</v>
      </c>
      <c r="N505" s="5">
        <f t="shared" si="209"/>
        <v>3.0689337911922761</v>
      </c>
      <c r="O505" s="1">
        <f t="shared" si="210"/>
        <v>0</v>
      </c>
      <c r="P505" s="1">
        <f t="shared" si="211"/>
        <v>1762.11</v>
      </c>
      <c r="Q505" s="5">
        <f t="shared" si="212"/>
        <v>8.4931506849315372E-2</v>
      </c>
      <c r="R505" s="5">
        <f t="shared" si="213"/>
        <v>-0.10174405683121698</v>
      </c>
      <c r="S505" s="5">
        <f t="shared" si="196"/>
        <v>3.0689337911922761</v>
      </c>
      <c r="T505" s="5">
        <f t="shared" si="197"/>
        <v>-714.29654412183754</v>
      </c>
      <c r="U505" s="4">
        <f t="shared" si="198"/>
        <v>1293435.3220564553</v>
      </c>
      <c r="V505" s="4">
        <f t="shared" si="214"/>
        <v>20.872148073732934</v>
      </c>
      <c r="W505" s="4">
        <f t="shared" si="199"/>
        <v>1291243.193255268</v>
      </c>
      <c r="X505" s="4">
        <f t="shared" si="203"/>
        <v>54.533253111643717</v>
      </c>
      <c r="Y505" s="9">
        <f>SUM($X$6:X505)</f>
        <v>291243.19325526804</v>
      </c>
      <c r="Z505" s="16">
        <f t="shared" si="204"/>
        <v>0.29124319325526804</v>
      </c>
      <c r="AA505" s="16">
        <f t="shared" si="200"/>
        <v>0.44190562698698588</v>
      </c>
      <c r="AB505" s="16">
        <f t="shared" si="201"/>
        <v>4.2234922595705449E-5</v>
      </c>
      <c r="AC505" s="16">
        <f t="shared" si="202"/>
        <v>-3.3658700774144194E-4</v>
      </c>
    </row>
    <row r="506" spans="1:29" x14ac:dyDescent="0.15">
      <c r="A506" s="8">
        <v>41638</v>
      </c>
      <c r="B506" s="4">
        <v>1841.07</v>
      </c>
      <c r="C506" s="1">
        <v>12.232200000000001</v>
      </c>
      <c r="D506" s="1">
        <v>1.9100000000000001</v>
      </c>
      <c r="E506" s="1">
        <v>0.24660000000000001</v>
      </c>
      <c r="F506" s="4">
        <f t="shared" si="192"/>
        <v>0.122322</v>
      </c>
      <c r="G506" s="4">
        <f t="shared" si="193"/>
        <v>1.9100000000000002E-2</v>
      </c>
      <c r="H506" s="4">
        <f t="shared" si="194"/>
        <v>2.4660000000000003E-3</v>
      </c>
      <c r="I506" s="3">
        <f t="shared" si="195"/>
        <v>48.643053475516496</v>
      </c>
      <c r="J506" s="4">
        <f t="shared" si="205"/>
        <v>1293435.3220564553</v>
      </c>
      <c r="K506" s="1">
        <f t="shared" si="206"/>
        <v>1762.11</v>
      </c>
      <c r="L506" s="5">
        <f t="shared" si="207"/>
        <v>7.6712328767123597E-2</v>
      </c>
      <c r="M506" s="5">
        <f t="shared" si="208"/>
        <v>-0.10133829209229479</v>
      </c>
      <c r="N506" s="5">
        <f t="shared" si="209"/>
        <v>3.0444482316037664</v>
      </c>
      <c r="O506" s="1">
        <f t="shared" si="210"/>
        <v>0</v>
      </c>
      <c r="P506" s="1">
        <f t="shared" si="211"/>
        <v>1762.11</v>
      </c>
      <c r="Q506" s="5">
        <f t="shared" si="212"/>
        <v>7.6712328767123597E-2</v>
      </c>
      <c r="R506" s="5">
        <f t="shared" si="213"/>
        <v>-0.10133829209229479</v>
      </c>
      <c r="S506" s="5">
        <f t="shared" si="196"/>
        <v>3.0444482316037664</v>
      </c>
      <c r="T506" s="5">
        <f t="shared" si="197"/>
        <v>-714.29654412183754</v>
      </c>
      <c r="U506" s="4">
        <f t="shared" si="198"/>
        <v>1293456.194204529</v>
      </c>
      <c r="V506" s="4">
        <f t="shared" si="214"/>
        <v>62.617454661901448</v>
      </c>
      <c r="W506" s="4">
        <f t="shared" si="199"/>
        <v>1291281.5553539367</v>
      </c>
      <c r="X506" s="4">
        <f t="shared" si="203"/>
        <v>38.362098668701947</v>
      </c>
      <c r="Y506" s="9">
        <f>SUM($X$6:X506)</f>
        <v>291281.55535393674</v>
      </c>
      <c r="Z506" s="16">
        <f t="shared" si="204"/>
        <v>0.29128155535393674</v>
      </c>
      <c r="AA506" s="16">
        <f t="shared" si="200"/>
        <v>0.44164722096064402</v>
      </c>
      <c r="AB506" s="16">
        <f t="shared" si="201"/>
        <v>2.9709429539752145E-5</v>
      </c>
      <c r="AC506" s="16">
        <f t="shared" si="202"/>
        <v>-1.7921146953413412E-4</v>
      </c>
    </row>
    <row r="507" spans="1:29" x14ac:dyDescent="0.15">
      <c r="A507" s="8">
        <v>41639</v>
      </c>
      <c r="B507" s="4">
        <v>1848.36</v>
      </c>
      <c r="C507" s="1">
        <v>12.553800000000001</v>
      </c>
      <c r="D507" s="1">
        <v>1.9</v>
      </c>
      <c r="E507" s="1">
        <v>0.24610000000000001</v>
      </c>
      <c r="F507" s="4">
        <f t="shared" si="192"/>
        <v>0.12553800000000001</v>
      </c>
      <c r="G507" s="4">
        <f t="shared" si="193"/>
        <v>1.9E-2</v>
      </c>
      <c r="H507" s="4">
        <f t="shared" si="194"/>
        <v>2.4610000000000001E-3</v>
      </c>
      <c r="I507" s="3">
        <f t="shared" si="195"/>
        <v>49.991041892693936</v>
      </c>
      <c r="J507" s="4">
        <f t="shared" si="205"/>
        <v>1293456.194204529</v>
      </c>
      <c r="K507" s="1">
        <f t="shared" si="206"/>
        <v>1762.11</v>
      </c>
      <c r="L507" s="5">
        <f t="shared" si="207"/>
        <v>7.3972602739726334E-2</v>
      </c>
      <c r="M507" s="5">
        <f t="shared" si="208"/>
        <v>-8.3549842174778205E-2</v>
      </c>
      <c r="N507" s="5">
        <f t="shared" si="209"/>
        <v>2.4438629926000046</v>
      </c>
      <c r="O507" s="1">
        <f t="shared" si="210"/>
        <v>0</v>
      </c>
      <c r="P507" s="1">
        <f t="shared" si="211"/>
        <v>1762.11</v>
      </c>
      <c r="Q507" s="5">
        <f t="shared" si="212"/>
        <v>7.3972602739726334E-2</v>
      </c>
      <c r="R507" s="5">
        <f t="shared" si="213"/>
        <v>-8.3549842174778205E-2</v>
      </c>
      <c r="S507" s="5">
        <f t="shared" si="196"/>
        <v>2.4438629926000046</v>
      </c>
      <c r="T507" s="5">
        <f t="shared" si="197"/>
        <v>-714.29654412183754</v>
      </c>
      <c r="U507" s="4">
        <f t="shared" si="198"/>
        <v>1293518.811659191</v>
      </c>
      <c r="V507" s="4">
        <f t="shared" si="214"/>
        <v>20.873495344308587</v>
      </c>
      <c r="W507" s="4">
        <f t="shared" si="199"/>
        <v>1291773.1687692697</v>
      </c>
      <c r="X507" s="4">
        <f t="shared" si="203"/>
        <v>491.61341533297673</v>
      </c>
      <c r="Y507" s="9">
        <f>SUM($X$6:X507)</f>
        <v>291773.16876926972</v>
      </c>
      <c r="Z507" s="16">
        <f t="shared" si="204"/>
        <v>0.29177316876926973</v>
      </c>
      <c r="AA507" s="16">
        <f t="shared" si="200"/>
        <v>0.44735564499710273</v>
      </c>
      <c r="AB507" s="16">
        <f t="shared" si="201"/>
        <v>3.8071744562186274E-4</v>
      </c>
      <c r="AC507" s="16">
        <f t="shared" si="202"/>
        <v>3.9596538969186197E-3</v>
      </c>
    </row>
    <row r="508" spans="1:29" x14ac:dyDescent="0.15">
      <c r="A508" s="8">
        <v>41641</v>
      </c>
      <c r="B508" s="4">
        <v>1831.98</v>
      </c>
      <c r="C508" s="1">
        <v>12.6791</v>
      </c>
      <c r="D508" s="1">
        <v>2.0699999999999998</v>
      </c>
      <c r="E508" s="1">
        <v>0.2429</v>
      </c>
      <c r="F508" s="4">
        <f t="shared" si="192"/>
        <v>0.12679099999999999</v>
      </c>
      <c r="G508" s="4">
        <f t="shared" si="193"/>
        <v>2.07E-2</v>
      </c>
      <c r="H508" s="4">
        <f t="shared" si="194"/>
        <v>2.4290000000000002E-3</v>
      </c>
      <c r="I508" s="3">
        <f t="shared" si="195"/>
        <v>50.408421496518422</v>
      </c>
      <c r="J508" s="4">
        <f t="shared" si="205"/>
        <v>1293518.811659191</v>
      </c>
      <c r="K508" s="1">
        <f t="shared" si="206"/>
        <v>1762.11</v>
      </c>
      <c r="L508" s="5">
        <f t="shared" si="207"/>
        <v>6.8493150684931808E-2</v>
      </c>
      <c r="M508" s="5">
        <f t="shared" si="208"/>
        <v>-0.12474374812455331</v>
      </c>
      <c r="N508" s="5">
        <f t="shared" si="209"/>
        <v>3.8190058597688394</v>
      </c>
      <c r="O508" s="1">
        <f t="shared" si="210"/>
        <v>0</v>
      </c>
      <c r="P508" s="1">
        <f t="shared" si="211"/>
        <v>1762.11</v>
      </c>
      <c r="Q508" s="5">
        <f t="shared" si="212"/>
        <v>6.8493150684931808E-2</v>
      </c>
      <c r="R508" s="5">
        <f t="shared" si="213"/>
        <v>-0.12474374812455331</v>
      </c>
      <c r="S508" s="5">
        <f t="shared" si="196"/>
        <v>3.8190058597688394</v>
      </c>
      <c r="T508" s="5">
        <f t="shared" si="197"/>
        <v>-714.29654412183754</v>
      </c>
      <c r="U508" s="4">
        <f t="shared" si="198"/>
        <v>1293539.6851545353</v>
      </c>
      <c r="V508" s="4">
        <f t="shared" si="214"/>
        <v>41.747664359234037</v>
      </c>
      <c r="W508" s="4">
        <f t="shared" si="199"/>
        <v>1290811.7824669215</v>
      </c>
      <c r="X508" s="4">
        <f t="shared" si="203"/>
        <v>-961.38630234822631</v>
      </c>
      <c r="Y508" s="9">
        <f>SUM($X$6:X508)</f>
        <v>290811.78246692149</v>
      </c>
      <c r="Z508" s="16">
        <f t="shared" si="204"/>
        <v>0.29081178246692146</v>
      </c>
      <c r="AA508" s="16">
        <f t="shared" si="200"/>
        <v>0.43452930950777574</v>
      </c>
      <c r="AB508" s="16">
        <f t="shared" si="201"/>
        <v>-7.4423770797483134E-4</v>
      </c>
      <c r="AC508" s="16">
        <f t="shared" si="202"/>
        <v>-8.8619100175289893E-3</v>
      </c>
    </row>
    <row r="509" spans="1:29" x14ac:dyDescent="0.15">
      <c r="A509" s="8">
        <v>41642</v>
      </c>
      <c r="B509" s="4">
        <v>1831.37</v>
      </c>
      <c r="C509" s="1">
        <v>12.481199999999999</v>
      </c>
      <c r="D509" s="1">
        <v>2.0699999999999998</v>
      </c>
      <c r="E509" s="1">
        <v>0.23980000000000001</v>
      </c>
      <c r="F509" s="4">
        <f t="shared" si="192"/>
        <v>0.12481199999999999</v>
      </c>
      <c r="G509" s="4">
        <f t="shared" si="193"/>
        <v>2.07E-2</v>
      </c>
      <c r="H509" s="4">
        <f t="shared" si="194"/>
        <v>2.398E-3</v>
      </c>
      <c r="I509" s="3">
        <f t="shared" si="195"/>
        <v>49.681671911182967</v>
      </c>
      <c r="J509" s="4">
        <f t="shared" si="205"/>
        <v>1293539.6851545353</v>
      </c>
      <c r="K509" s="1">
        <f t="shared" si="206"/>
        <v>1762.11</v>
      </c>
      <c r="L509" s="5">
        <f t="shared" si="207"/>
        <v>6.5753424657534545E-2</v>
      </c>
      <c r="M509" s="5">
        <f t="shared" si="208"/>
        <v>-0.11824731373194616</v>
      </c>
      <c r="N509" s="5">
        <f t="shared" si="209"/>
        <v>3.4472534921628797</v>
      </c>
      <c r="O509" s="1">
        <f t="shared" si="210"/>
        <v>0</v>
      </c>
      <c r="P509" s="1">
        <f t="shared" si="211"/>
        <v>1762.11</v>
      </c>
      <c r="Q509" s="5">
        <f t="shared" si="212"/>
        <v>6.5753424657534545E-2</v>
      </c>
      <c r="R509" s="5">
        <f t="shared" si="213"/>
        <v>-0.11824731373194616</v>
      </c>
      <c r="S509" s="5">
        <f t="shared" si="196"/>
        <v>3.4472534921628797</v>
      </c>
      <c r="T509" s="5">
        <f t="shared" si="197"/>
        <v>-714.29654412183754</v>
      </c>
      <c r="U509" s="4">
        <f t="shared" si="198"/>
        <v>1293581.4328188945</v>
      </c>
      <c r="V509" s="4">
        <f t="shared" si="214"/>
        <v>20.874505861104897</v>
      </c>
      <c r="W509" s="4">
        <f t="shared" si="199"/>
        <v>1291119.0715627307</v>
      </c>
      <c r="X509" s="4">
        <f t="shared" si="203"/>
        <v>307.28909580921754</v>
      </c>
      <c r="Y509" s="9">
        <f>SUM($X$6:X509)</f>
        <v>291119.07156273071</v>
      </c>
      <c r="Z509" s="16">
        <f t="shared" si="204"/>
        <v>0.2911190715627307</v>
      </c>
      <c r="AA509" s="16">
        <f t="shared" si="200"/>
        <v>0.43405164988332573</v>
      </c>
      <c r="AB509" s="16">
        <f t="shared" si="201"/>
        <v>2.380587936855869E-4</v>
      </c>
      <c r="AC509" s="16">
        <f t="shared" si="202"/>
        <v>-3.3297306739163489E-4</v>
      </c>
    </row>
    <row r="510" spans="1:29" x14ac:dyDescent="0.15">
      <c r="A510" s="8">
        <v>41645</v>
      </c>
      <c r="B510" s="4">
        <v>1826.77</v>
      </c>
      <c r="C510" s="1">
        <v>12.3568</v>
      </c>
      <c r="D510" s="1">
        <v>2.0699999999999998</v>
      </c>
      <c r="E510" s="1">
        <v>0.2394</v>
      </c>
      <c r="F510" s="4">
        <f t="shared" si="192"/>
        <v>0.123568</v>
      </c>
      <c r="G510" s="4">
        <f t="shared" si="193"/>
        <v>2.07E-2</v>
      </c>
      <c r="H510" s="4">
        <f t="shared" si="194"/>
        <v>2.3939999999999999E-3</v>
      </c>
      <c r="I510" s="3">
        <f t="shared" si="195"/>
        <v>49.107929871822392</v>
      </c>
      <c r="J510" s="4">
        <f t="shared" si="205"/>
        <v>1293581.4328188945</v>
      </c>
      <c r="K510" s="1">
        <f t="shared" si="206"/>
        <v>1762.11</v>
      </c>
      <c r="L510" s="5">
        <f t="shared" si="207"/>
        <v>5.7534246575342764E-2</v>
      </c>
      <c r="M510" s="5">
        <f t="shared" si="208"/>
        <v>-0.11587655323089256</v>
      </c>
      <c r="N510" s="5">
        <f t="shared" si="209"/>
        <v>3.1034836084455546</v>
      </c>
      <c r="O510" s="1">
        <f t="shared" si="210"/>
        <v>0</v>
      </c>
      <c r="P510" s="1">
        <f t="shared" si="211"/>
        <v>1762.11</v>
      </c>
      <c r="Q510" s="5">
        <f t="shared" si="212"/>
        <v>5.7534246575342764E-2</v>
      </c>
      <c r="R510" s="5">
        <f t="shared" si="213"/>
        <v>-0.11587655323089256</v>
      </c>
      <c r="S510" s="5">
        <f t="shared" si="196"/>
        <v>3.1034836084455546</v>
      </c>
      <c r="T510" s="5">
        <f t="shared" si="197"/>
        <v>-714.29654412183754</v>
      </c>
      <c r="U510" s="4">
        <f t="shared" si="198"/>
        <v>1293602.3073247557</v>
      </c>
      <c r="V510" s="4">
        <f t="shared" si="214"/>
        <v>62.62452813816008</v>
      </c>
      <c r="W510" s="4">
        <f t="shared" si="199"/>
        <v>1291385.4997085042</v>
      </c>
      <c r="X510" s="4">
        <f t="shared" si="203"/>
        <v>266.42814577347599</v>
      </c>
      <c r="Y510" s="9">
        <f>SUM($X$6:X510)</f>
        <v>291385.49970850418</v>
      </c>
      <c r="Z510" s="16">
        <f t="shared" si="204"/>
        <v>0.29138549970850419</v>
      </c>
      <c r="AA510" s="16">
        <f t="shared" si="200"/>
        <v>0.43044962648583468</v>
      </c>
      <c r="AB510" s="16">
        <f t="shared" si="201"/>
        <v>2.063544344140154E-4</v>
      </c>
      <c r="AC510" s="16">
        <f t="shared" si="202"/>
        <v>-2.5117807979817891E-3</v>
      </c>
    </row>
    <row r="511" spans="1:29" x14ac:dyDescent="0.15">
      <c r="A511" s="8">
        <v>41646</v>
      </c>
      <c r="B511" s="4">
        <v>1837.88</v>
      </c>
      <c r="C511" s="1">
        <v>12.057499999999999</v>
      </c>
      <c r="D511" s="1">
        <v>2.06</v>
      </c>
      <c r="E511" s="1">
        <v>0.24210000000000001</v>
      </c>
      <c r="F511" s="4">
        <f t="shared" si="192"/>
        <v>0.12057499999999999</v>
      </c>
      <c r="G511" s="4">
        <f t="shared" si="193"/>
        <v>2.06E-2</v>
      </c>
      <c r="H511" s="4">
        <f t="shared" si="194"/>
        <v>2.421E-3</v>
      </c>
      <c r="I511" s="3">
        <f t="shared" si="195"/>
        <v>48.287244990441316</v>
      </c>
      <c r="J511" s="4">
        <f t="shared" si="205"/>
        <v>1293602.3073247557</v>
      </c>
      <c r="K511" s="1">
        <f t="shared" si="206"/>
        <v>1762.11</v>
      </c>
      <c r="L511" s="5">
        <f t="shared" si="207"/>
        <v>5.4794520547945501E-2</v>
      </c>
      <c r="M511" s="5">
        <f t="shared" si="208"/>
        <v>-7.0638722427617845E-2</v>
      </c>
      <c r="N511" s="5">
        <f t="shared" si="209"/>
        <v>1.6419454968242941</v>
      </c>
      <c r="O511" s="1">
        <f t="shared" si="210"/>
        <v>0</v>
      </c>
      <c r="P511" s="1">
        <f t="shared" si="211"/>
        <v>1762.11</v>
      </c>
      <c r="Q511" s="5">
        <f t="shared" si="212"/>
        <v>5.4794520547945501E-2</v>
      </c>
      <c r="R511" s="5">
        <f t="shared" si="213"/>
        <v>-7.0638722427617845E-2</v>
      </c>
      <c r="S511" s="5">
        <f t="shared" si="196"/>
        <v>1.6419454968242941</v>
      </c>
      <c r="T511" s="5">
        <f t="shared" si="197"/>
        <v>-714.29654412183754</v>
      </c>
      <c r="U511" s="4">
        <f t="shared" si="198"/>
        <v>1293664.9318528939</v>
      </c>
      <c r="V511" s="4">
        <f t="shared" si="214"/>
        <v>20.875853283872726</v>
      </c>
      <c r="W511" s="4">
        <f t="shared" si="199"/>
        <v>1292492.0958588759</v>
      </c>
      <c r="X511" s="4">
        <f t="shared" si="203"/>
        <v>1106.5961503717117</v>
      </c>
      <c r="Y511" s="9">
        <f>SUM($X$6:X511)</f>
        <v>292492.09585887589</v>
      </c>
      <c r="Z511" s="16">
        <f t="shared" si="204"/>
        <v>0.29249209585887592</v>
      </c>
      <c r="AA511" s="16">
        <f t="shared" si="200"/>
        <v>0.4391492960393405</v>
      </c>
      <c r="AB511" s="16">
        <f t="shared" si="201"/>
        <v>8.5690612959607817E-4</v>
      </c>
      <c r="AC511" s="16">
        <f t="shared" si="202"/>
        <v>6.0817727464322971E-3</v>
      </c>
    </row>
    <row r="512" spans="1:29" x14ac:dyDescent="0.15">
      <c r="A512" s="8">
        <v>41647</v>
      </c>
      <c r="B512" s="4">
        <v>1837.49</v>
      </c>
      <c r="C512" s="1">
        <v>12.1599</v>
      </c>
      <c r="D512" s="1">
        <v>2.06</v>
      </c>
      <c r="E512" s="1">
        <v>0.2404</v>
      </c>
      <c r="F512" s="4">
        <f t="shared" si="192"/>
        <v>0.121599</v>
      </c>
      <c r="G512" s="4">
        <f t="shared" si="193"/>
        <v>2.06E-2</v>
      </c>
      <c r="H512" s="4">
        <f t="shared" si="194"/>
        <v>2.4039999999999999E-3</v>
      </c>
      <c r="I512" s="3">
        <f t="shared" si="195"/>
        <v>48.653730984511725</v>
      </c>
      <c r="J512" s="4">
        <f t="shared" si="205"/>
        <v>1293664.9318528939</v>
      </c>
      <c r="K512" s="1">
        <f t="shared" si="206"/>
        <v>1762.11</v>
      </c>
      <c r="L512" s="5">
        <f t="shared" si="207"/>
        <v>5.2054794520548238E-2</v>
      </c>
      <c r="M512" s="5">
        <f t="shared" si="208"/>
        <v>-6.8093647587650907E-2</v>
      </c>
      <c r="N512" s="5">
        <f t="shared" si="209"/>
        <v>1.5449425012808076</v>
      </c>
      <c r="O512" s="1">
        <f t="shared" si="210"/>
        <v>0</v>
      </c>
      <c r="P512" s="1">
        <f t="shared" si="211"/>
        <v>1762.11</v>
      </c>
      <c r="Q512" s="5">
        <f t="shared" si="212"/>
        <v>5.2054794520548238E-2</v>
      </c>
      <c r="R512" s="5">
        <f t="shared" si="213"/>
        <v>-6.8093647587650907E-2</v>
      </c>
      <c r="S512" s="5">
        <f t="shared" si="196"/>
        <v>1.5449425012808076</v>
      </c>
      <c r="T512" s="5">
        <f t="shared" si="197"/>
        <v>-714.29654412183754</v>
      </c>
      <c r="U512" s="4">
        <f t="shared" si="198"/>
        <v>1293685.8077061777</v>
      </c>
      <c r="V512" s="4">
        <f t="shared" si="214"/>
        <v>20.876190157231196</v>
      </c>
      <c r="W512" s="4">
        <f t="shared" si="199"/>
        <v>1292582.2606166459</v>
      </c>
      <c r="X512" s="4">
        <f t="shared" si="203"/>
        <v>90.164757770020515</v>
      </c>
      <c r="Y512" s="9">
        <f>SUM($X$6:X512)</f>
        <v>292582.26061664592</v>
      </c>
      <c r="Z512" s="16">
        <f t="shared" si="204"/>
        <v>0.29258226061664594</v>
      </c>
      <c r="AA512" s="16">
        <f t="shared" si="200"/>
        <v>0.43884390709911836</v>
      </c>
      <c r="AB512" s="16">
        <f t="shared" si="201"/>
        <v>6.9760393938892909E-5</v>
      </c>
      <c r="AC512" s="16">
        <f t="shared" si="202"/>
        <v>-2.1220101421208132E-4</v>
      </c>
    </row>
    <row r="513" spans="1:29" x14ac:dyDescent="0.15">
      <c r="A513" s="8">
        <v>41648</v>
      </c>
      <c r="B513" s="4">
        <v>1838.13</v>
      </c>
      <c r="C513" s="1">
        <v>11.923400000000001</v>
      </c>
      <c r="D513" s="1">
        <v>2.06</v>
      </c>
      <c r="E513" s="1">
        <v>0.2417</v>
      </c>
      <c r="F513" s="4">
        <f t="shared" si="192"/>
        <v>0.11923400000000001</v>
      </c>
      <c r="G513" s="4">
        <f t="shared" si="193"/>
        <v>2.06E-2</v>
      </c>
      <c r="H513" s="4">
        <f t="shared" si="194"/>
        <v>2.4169999999999999E-3</v>
      </c>
      <c r="I513" s="3">
        <f t="shared" si="195"/>
        <v>47.80682440344129</v>
      </c>
      <c r="J513" s="4">
        <f t="shared" si="205"/>
        <v>1293685.8077061777</v>
      </c>
      <c r="K513" s="1">
        <f t="shared" si="206"/>
        <v>1762.11</v>
      </c>
      <c r="L513" s="5">
        <f t="shared" si="207"/>
        <v>4.9315068493150975E-2</v>
      </c>
      <c r="M513" s="5">
        <f t="shared" si="208"/>
        <v>-5.762484034560638E-2</v>
      </c>
      <c r="N513" s="5">
        <f t="shared" si="209"/>
        <v>1.211944025763821</v>
      </c>
      <c r="O513" s="1">
        <f t="shared" si="210"/>
        <v>0</v>
      </c>
      <c r="P513" s="1">
        <f t="shared" si="211"/>
        <v>1762.11</v>
      </c>
      <c r="Q513" s="5">
        <f t="shared" si="212"/>
        <v>4.9315068493150975E-2</v>
      </c>
      <c r="R513" s="5">
        <f t="shared" si="213"/>
        <v>-5.762484034560638E-2</v>
      </c>
      <c r="S513" s="5">
        <f t="shared" si="196"/>
        <v>1.211944025763821</v>
      </c>
      <c r="T513" s="5">
        <f t="shared" si="197"/>
        <v>-714.29654412183754</v>
      </c>
      <c r="U513" s="4">
        <f t="shared" si="198"/>
        <v>1293706.6838963348</v>
      </c>
      <c r="V513" s="4">
        <f t="shared" si="214"/>
        <v>20.876527036025784</v>
      </c>
      <c r="W513" s="4">
        <f t="shared" si="199"/>
        <v>1292840.9964670627</v>
      </c>
      <c r="X513" s="4">
        <f t="shared" si="203"/>
        <v>258.73585041682236</v>
      </c>
      <c r="Y513" s="9">
        <f>SUM($X$6:X513)</f>
        <v>292840.99646706274</v>
      </c>
      <c r="Z513" s="16">
        <f t="shared" si="204"/>
        <v>0.29284099646706274</v>
      </c>
      <c r="AA513" s="16">
        <f t="shared" si="200"/>
        <v>0.43934505818050851</v>
      </c>
      <c r="AB513" s="16">
        <f t="shared" si="201"/>
        <v>2.0016973642620511E-4</v>
      </c>
      <c r="AC513" s="16">
        <f t="shared" si="202"/>
        <v>3.4830121524476328E-4</v>
      </c>
    </row>
    <row r="514" spans="1:29" x14ac:dyDescent="0.15">
      <c r="A514" s="8">
        <v>41649</v>
      </c>
      <c r="B514" s="4">
        <v>1842.37</v>
      </c>
      <c r="C514" s="1">
        <v>11.695</v>
      </c>
      <c r="D514" s="1">
        <v>2.06</v>
      </c>
      <c r="E514" s="1">
        <v>0.2417</v>
      </c>
      <c r="F514" s="4">
        <f t="shared" si="192"/>
        <v>0.11695</v>
      </c>
      <c r="G514" s="4">
        <f t="shared" si="193"/>
        <v>2.06E-2</v>
      </c>
      <c r="H514" s="4">
        <f t="shared" si="194"/>
        <v>2.4169999999999999E-3</v>
      </c>
      <c r="I514" s="3">
        <f t="shared" si="195"/>
        <v>47.084111883951614</v>
      </c>
      <c r="J514" s="4">
        <f t="shared" si="205"/>
        <v>1293706.6838963348</v>
      </c>
      <c r="K514" s="1">
        <f t="shared" si="206"/>
        <v>1762.11</v>
      </c>
      <c r="L514" s="5">
        <f t="shared" si="207"/>
        <v>4.6575342465753712E-2</v>
      </c>
      <c r="M514" s="5">
        <f t="shared" si="208"/>
        <v>-4.0557786426076207E-2</v>
      </c>
      <c r="N514" s="5">
        <f t="shared" si="209"/>
        <v>0.77004300645885604</v>
      </c>
      <c r="O514" s="1">
        <f t="shared" si="210"/>
        <v>1</v>
      </c>
      <c r="P514" s="1">
        <f t="shared" si="211"/>
        <v>1842.37</v>
      </c>
      <c r="Q514" s="5">
        <f t="shared" si="212"/>
        <v>0.24931506849315069</v>
      </c>
      <c r="R514" s="5">
        <f t="shared" si="213"/>
        <v>-0.51665465642054353</v>
      </c>
      <c r="S514" s="5">
        <f t="shared" si="196"/>
        <v>47.084111883951614</v>
      </c>
      <c r="T514" s="5">
        <f t="shared" si="197"/>
        <v>-701.89844864929194</v>
      </c>
      <c r="U514" s="4">
        <f t="shared" si="198"/>
        <v>1326225.7864524075</v>
      </c>
      <c r="V514" s="4">
        <f t="shared" si="214"/>
        <v>21.401287348505971</v>
      </c>
      <c r="W514" s="4">
        <f t="shared" si="199"/>
        <v>1293177.5213650321</v>
      </c>
      <c r="X514" s="4">
        <f t="shared" si="203"/>
        <v>336.52489796932787</v>
      </c>
      <c r="Y514" s="9">
        <f>SUM($X$6:X514)</f>
        <v>293177.52136503207</v>
      </c>
      <c r="Z514" s="16">
        <f t="shared" si="204"/>
        <v>0.29317752136503206</v>
      </c>
      <c r="AA514" s="16">
        <f t="shared" si="200"/>
        <v>0.44266518409471756</v>
      </c>
      <c r="AB514" s="16">
        <f t="shared" si="201"/>
        <v>2.6029875204216683E-4</v>
      </c>
      <c r="AC514" s="16">
        <f t="shared" si="202"/>
        <v>2.3066921273249344E-3</v>
      </c>
    </row>
    <row r="515" spans="1:29" x14ac:dyDescent="0.15">
      <c r="A515" s="8">
        <v>41652</v>
      </c>
      <c r="B515" s="4">
        <v>1819.2</v>
      </c>
      <c r="C515" s="1">
        <v>12.6091</v>
      </c>
      <c r="D515" s="1">
        <v>2.08</v>
      </c>
      <c r="E515" s="1">
        <v>0.2389</v>
      </c>
      <c r="F515" s="4">
        <f t="shared" si="192"/>
        <v>0.12609100000000001</v>
      </c>
      <c r="G515" s="4">
        <f t="shared" si="193"/>
        <v>2.0799999999999999E-2</v>
      </c>
      <c r="H515" s="4">
        <f t="shared" si="194"/>
        <v>2.3890000000000001E-3</v>
      </c>
      <c r="I515" s="3">
        <f t="shared" si="195"/>
        <v>49.837735114729242</v>
      </c>
      <c r="J515" s="4">
        <f t="shared" si="205"/>
        <v>1326225.7864524075</v>
      </c>
      <c r="K515" s="1">
        <f t="shared" si="206"/>
        <v>1842.37</v>
      </c>
      <c r="L515" s="5">
        <f t="shared" si="207"/>
        <v>0.24109589041095891</v>
      </c>
      <c r="M515" s="5">
        <f t="shared" si="208"/>
        <v>-0.59384624698625255</v>
      </c>
      <c r="N515" s="5">
        <f t="shared" si="209"/>
        <v>62.398709570656315</v>
      </c>
      <c r="O515" s="1">
        <f t="shared" si="210"/>
        <v>0</v>
      </c>
      <c r="P515" s="1">
        <f t="shared" si="211"/>
        <v>1842.37</v>
      </c>
      <c r="Q515" s="5">
        <f t="shared" si="212"/>
        <v>0.24109589041095891</v>
      </c>
      <c r="R515" s="5">
        <f t="shared" si="213"/>
        <v>-0.59384624698625255</v>
      </c>
      <c r="S515" s="5">
        <f t="shared" si="196"/>
        <v>62.398709570656315</v>
      </c>
      <c r="T515" s="5">
        <f t="shared" si="197"/>
        <v>-701.89844864929194</v>
      </c>
      <c r="U515" s="4">
        <f t="shared" si="198"/>
        <v>1326247.187739756</v>
      </c>
      <c r="V515" s="4">
        <f t="shared" si="214"/>
        <v>64.204898102360232</v>
      </c>
      <c r="W515" s="4">
        <f t="shared" si="199"/>
        <v>1282449.6302943947</v>
      </c>
      <c r="X515" s="4">
        <f t="shared" si="203"/>
        <v>-10727.891070637386</v>
      </c>
      <c r="Y515" s="9">
        <f>SUM($X$6:X515)</f>
        <v>282449.63029439468</v>
      </c>
      <c r="Z515" s="16">
        <f t="shared" si="204"/>
        <v>0.28244963029439468</v>
      </c>
      <c r="AA515" s="16">
        <f t="shared" si="200"/>
        <v>0.42452194885126787</v>
      </c>
      <c r="AB515" s="16">
        <f t="shared" si="201"/>
        <v>-8.2957605536735646E-3</v>
      </c>
      <c r="AC515" s="16">
        <f t="shared" si="202"/>
        <v>-1.2576192621460319E-2</v>
      </c>
    </row>
    <row r="516" spans="1:29" x14ac:dyDescent="0.15">
      <c r="A516" s="8">
        <v>41653</v>
      </c>
      <c r="B516" s="4">
        <v>1838.88</v>
      </c>
      <c r="C516" s="1">
        <v>12.038399999999999</v>
      </c>
      <c r="D516" s="1">
        <v>2.06</v>
      </c>
      <c r="E516" s="1">
        <v>0.23680000000000001</v>
      </c>
      <c r="F516" s="4">
        <f t="shared" si="192"/>
        <v>0.12038399999999999</v>
      </c>
      <c r="G516" s="4">
        <f t="shared" si="193"/>
        <v>2.06E-2</v>
      </c>
      <c r="H516" s="4">
        <f t="shared" si="194"/>
        <v>2.3680000000000003E-3</v>
      </c>
      <c r="I516" s="3">
        <f t="shared" si="195"/>
        <v>48.257147327438894</v>
      </c>
      <c r="J516" s="4">
        <f t="shared" si="205"/>
        <v>1326247.187739756</v>
      </c>
      <c r="K516" s="1">
        <f t="shared" si="206"/>
        <v>1842.37</v>
      </c>
      <c r="L516" s="5">
        <f t="shared" si="207"/>
        <v>0.23835616438356166</v>
      </c>
      <c r="M516" s="5">
        <f t="shared" si="208"/>
        <v>-0.5280152941561268</v>
      </c>
      <c r="N516" s="5">
        <f t="shared" si="209"/>
        <v>49.004726516804546</v>
      </c>
      <c r="O516" s="1">
        <f t="shared" si="210"/>
        <v>0</v>
      </c>
      <c r="P516" s="1">
        <f t="shared" si="211"/>
        <v>1842.37</v>
      </c>
      <c r="Q516" s="5">
        <f t="shared" si="212"/>
        <v>0.23835616438356166</v>
      </c>
      <c r="R516" s="5">
        <f t="shared" si="213"/>
        <v>-0.5280152941561268</v>
      </c>
      <c r="S516" s="5">
        <f t="shared" si="196"/>
        <v>49.004726516804546</v>
      </c>
      <c r="T516" s="5">
        <f t="shared" si="197"/>
        <v>-701.89844864929194</v>
      </c>
      <c r="U516" s="4">
        <f t="shared" si="198"/>
        <v>1326311.3926378584</v>
      </c>
      <c r="V516" s="4">
        <f t="shared" si="214"/>
        <v>21.402668774347905</v>
      </c>
      <c r="W516" s="4">
        <f t="shared" si="199"/>
        <v>1291915.0511192305</v>
      </c>
      <c r="X516" s="4">
        <f t="shared" si="203"/>
        <v>9465.4208248357754</v>
      </c>
      <c r="Y516" s="9">
        <f>SUM($X$6:X516)</f>
        <v>291915.05111923045</v>
      </c>
      <c r="Z516" s="16">
        <f t="shared" si="204"/>
        <v>0.29191505111923044</v>
      </c>
      <c r="AA516" s="16">
        <f t="shared" si="200"/>
        <v>0.43993234460401248</v>
      </c>
      <c r="AB516" s="16">
        <f t="shared" si="201"/>
        <v>7.380734963183643E-3</v>
      </c>
      <c r="AC516" s="16">
        <f t="shared" si="202"/>
        <v>1.081794195250663E-2</v>
      </c>
    </row>
    <row r="517" spans="1:29" x14ac:dyDescent="0.15">
      <c r="A517" s="8">
        <v>41654</v>
      </c>
      <c r="B517" s="4">
        <v>1848.38</v>
      </c>
      <c r="C517" s="1">
        <v>12.0543</v>
      </c>
      <c r="D517" s="1">
        <v>2.0499999999999998</v>
      </c>
      <c r="E517" s="1">
        <v>0.23780000000000001</v>
      </c>
      <c r="F517" s="4">
        <f t="shared" si="192"/>
        <v>0.120543</v>
      </c>
      <c r="G517" s="4">
        <f t="shared" si="193"/>
        <v>2.0499999999999997E-2</v>
      </c>
      <c r="H517" s="4">
        <f t="shared" si="194"/>
        <v>2.3779999999999999E-3</v>
      </c>
      <c r="I517" s="3">
        <f t="shared" si="195"/>
        <v>48.538389199450087</v>
      </c>
      <c r="J517" s="4">
        <f t="shared" si="205"/>
        <v>1326311.3926378584</v>
      </c>
      <c r="K517" s="1">
        <f t="shared" si="206"/>
        <v>1842.37</v>
      </c>
      <c r="L517" s="5">
        <f t="shared" si="207"/>
        <v>0.23561643835616441</v>
      </c>
      <c r="M517" s="5">
        <f t="shared" si="208"/>
        <v>-0.49284946336021906</v>
      </c>
      <c r="N517" s="5">
        <f t="shared" si="209"/>
        <v>43.892930800120048</v>
      </c>
      <c r="O517" s="1">
        <f t="shared" si="210"/>
        <v>0</v>
      </c>
      <c r="P517" s="1">
        <f t="shared" si="211"/>
        <v>1842.37</v>
      </c>
      <c r="Q517" s="5">
        <f t="shared" si="212"/>
        <v>0.23561643835616441</v>
      </c>
      <c r="R517" s="5">
        <f t="shared" si="213"/>
        <v>-0.49284946336021906</v>
      </c>
      <c r="S517" s="5">
        <f t="shared" si="196"/>
        <v>43.892930800120048</v>
      </c>
      <c r="T517" s="5">
        <f t="shared" si="197"/>
        <v>-701.89844864929194</v>
      </c>
      <c r="U517" s="4">
        <f t="shared" si="198"/>
        <v>1326332.7953066328</v>
      </c>
      <c r="V517" s="4">
        <f t="shared" si="214"/>
        <v>21.403014148920729</v>
      </c>
      <c r="W517" s="4">
        <f t="shared" si="199"/>
        <v>1295524.4152713579</v>
      </c>
      <c r="X517" s="4">
        <f t="shared" si="203"/>
        <v>3609.3641521274112</v>
      </c>
      <c r="Y517" s="9">
        <f>SUM($X$6:X517)</f>
        <v>295524.41527135787</v>
      </c>
      <c r="Z517" s="16">
        <f t="shared" si="204"/>
        <v>0.29552441527135787</v>
      </c>
      <c r="AA517" s="16">
        <f t="shared" si="200"/>
        <v>0.4473713059683963</v>
      </c>
      <c r="AB517" s="16">
        <f t="shared" si="201"/>
        <v>2.793809197439487E-3</v>
      </c>
      <c r="AC517" s="16">
        <f t="shared" si="202"/>
        <v>5.1661881145044809E-3</v>
      </c>
    </row>
    <row r="518" spans="1:29" x14ac:dyDescent="0.15">
      <c r="A518" s="8">
        <v>41655</v>
      </c>
      <c r="B518" s="4">
        <v>1845.89</v>
      </c>
      <c r="C518" s="1">
        <v>12.145300000000001</v>
      </c>
      <c r="D518" s="1">
        <v>2.06</v>
      </c>
      <c r="E518" s="1">
        <v>0.23630000000000001</v>
      </c>
      <c r="F518" s="4">
        <f t="shared" si="192"/>
        <v>0.12145300000000001</v>
      </c>
      <c r="G518" s="4">
        <f t="shared" si="193"/>
        <v>2.06E-2</v>
      </c>
      <c r="H518" s="4">
        <f t="shared" si="194"/>
        <v>2.3630000000000001E-3</v>
      </c>
      <c r="I518" s="3">
        <f t="shared" si="195"/>
        <v>48.833011879356803</v>
      </c>
      <c r="J518" s="4">
        <f t="shared" si="205"/>
        <v>1326332.7953066328</v>
      </c>
      <c r="K518" s="1">
        <f t="shared" si="206"/>
        <v>1842.37</v>
      </c>
      <c r="L518" s="5">
        <f t="shared" si="207"/>
        <v>0.23287671232876717</v>
      </c>
      <c r="M518" s="5">
        <f t="shared" si="208"/>
        <v>-0.50181141941343632</v>
      </c>
      <c r="N518" s="5">
        <f t="shared" si="209"/>
        <v>45.182564149191577</v>
      </c>
      <c r="O518" s="1">
        <f t="shared" si="210"/>
        <v>0</v>
      </c>
      <c r="P518" s="1">
        <f t="shared" si="211"/>
        <v>1842.37</v>
      </c>
      <c r="Q518" s="5">
        <f t="shared" si="212"/>
        <v>0.23287671232876717</v>
      </c>
      <c r="R518" s="5">
        <f t="shared" si="213"/>
        <v>-0.50181141941343632</v>
      </c>
      <c r="S518" s="5">
        <f t="shared" si="196"/>
        <v>45.182564149191577</v>
      </c>
      <c r="T518" s="5">
        <f t="shared" si="197"/>
        <v>-701.89844864929194</v>
      </c>
      <c r="U518" s="4">
        <f t="shared" si="198"/>
        <v>1326354.1983207816</v>
      </c>
      <c r="V518" s="4">
        <f t="shared" si="214"/>
        <v>21.403359529066858</v>
      </c>
      <c r="W518" s="4">
        <f t="shared" si="199"/>
        <v>1294640.626638467</v>
      </c>
      <c r="X518" s="4">
        <f t="shared" si="203"/>
        <v>-883.78863289090805</v>
      </c>
      <c r="Y518" s="9">
        <f>SUM($X$6:X518)</f>
        <v>294640.62663846696</v>
      </c>
      <c r="Z518" s="16">
        <f t="shared" si="204"/>
        <v>0.29464062663846696</v>
      </c>
      <c r="AA518" s="16">
        <f t="shared" si="200"/>
        <v>0.44542151504236305</v>
      </c>
      <c r="AB518" s="16">
        <f t="shared" si="201"/>
        <v>-6.8218601091033198E-4</v>
      </c>
      <c r="AC518" s="16">
        <f t="shared" si="202"/>
        <v>-1.3471255910581206E-3</v>
      </c>
    </row>
    <row r="519" spans="1:29" x14ac:dyDescent="0.15">
      <c r="A519" s="8">
        <v>41656</v>
      </c>
      <c r="B519" s="4">
        <v>1838.7</v>
      </c>
      <c r="C519" s="1">
        <v>12.229800000000001</v>
      </c>
      <c r="D519" s="1">
        <v>2.0699999999999998</v>
      </c>
      <c r="E519" s="1">
        <v>0.2366</v>
      </c>
      <c r="F519" s="4">
        <f t="shared" ref="F519:F582" si="215">C519/100</f>
        <v>0.122298</v>
      </c>
      <c r="G519" s="4">
        <f t="shared" ref="G519:G582" si="216">D519/100</f>
        <v>2.07E-2</v>
      </c>
      <c r="H519" s="4">
        <f t="shared" ref="H519:H582" si="217">E519/100</f>
        <v>2.366E-3</v>
      </c>
      <c r="I519" s="3">
        <f t="shared" ref="I519:I582" si="218">BSM_Put(B519,B519,F519,H519,G519,$B$3,$F$3)</f>
        <v>48.973267755235526</v>
      </c>
      <c r="J519" s="4">
        <f t="shared" si="205"/>
        <v>1326354.1983207816</v>
      </c>
      <c r="K519" s="1">
        <f t="shared" si="206"/>
        <v>1842.37</v>
      </c>
      <c r="L519" s="5">
        <f t="shared" si="207"/>
        <v>0.23013698630136992</v>
      </c>
      <c r="M519" s="5">
        <f t="shared" si="208"/>
        <v>-0.5279954664669676</v>
      </c>
      <c r="N519" s="5">
        <f t="shared" si="209"/>
        <v>48.902320354614567</v>
      </c>
      <c r="O519" s="1">
        <f t="shared" si="210"/>
        <v>0</v>
      </c>
      <c r="P519" s="1">
        <f t="shared" si="211"/>
        <v>1842.37</v>
      </c>
      <c r="Q519" s="5">
        <f t="shared" si="212"/>
        <v>0.23013698630136992</v>
      </c>
      <c r="R519" s="5">
        <f t="shared" si="213"/>
        <v>-0.5279954664669676</v>
      </c>
      <c r="S519" s="5">
        <f t="shared" ref="S519:S582" si="219">BSM_Put(B519,P519,F519,H519,G519,Q519,$F$3)</f>
        <v>48.902320354614567</v>
      </c>
      <c r="T519" s="5">
        <f t="shared" si="197"/>
        <v>-701.89844864929194</v>
      </c>
      <c r="U519" s="4">
        <f t="shared" si="198"/>
        <v>1326375.6016803107</v>
      </c>
      <c r="V519" s="4">
        <f t="shared" si="214"/>
        <v>21.403704914786381</v>
      </c>
      <c r="W519" s="4">
        <f t="shared" si="199"/>
        <v>1292051.1388880559</v>
      </c>
      <c r="X519" s="4">
        <f t="shared" si="203"/>
        <v>-2589.4877504110336</v>
      </c>
      <c r="Y519" s="9">
        <f>SUM($X$6:X519)</f>
        <v>292051.13888805592</v>
      </c>
      <c r="Z519" s="16">
        <f t="shared" si="204"/>
        <v>0.29205113888805595</v>
      </c>
      <c r="AA519" s="16">
        <f t="shared" si="200"/>
        <v>0.43979139586237148</v>
      </c>
      <c r="AB519" s="16">
        <f t="shared" si="201"/>
        <v>-2.0001595015094156E-3</v>
      </c>
      <c r="AC519" s="16">
        <f t="shared" si="202"/>
        <v>-3.8951400137603293E-3</v>
      </c>
    </row>
    <row r="520" spans="1:29" x14ac:dyDescent="0.15">
      <c r="A520" s="8">
        <v>41660</v>
      </c>
      <c r="B520" s="4">
        <v>1843.8</v>
      </c>
      <c r="C520" s="1">
        <v>12.0526</v>
      </c>
      <c r="D520" s="1">
        <v>2.06</v>
      </c>
      <c r="E520" s="1">
        <v>0.2366</v>
      </c>
      <c r="F520" s="4">
        <f t="shared" si="215"/>
        <v>0.12052599999999999</v>
      </c>
      <c r="G520" s="4">
        <f t="shared" si="216"/>
        <v>2.06E-2</v>
      </c>
      <c r="H520" s="4">
        <f t="shared" si="217"/>
        <v>2.366E-3</v>
      </c>
      <c r="I520" s="3">
        <f t="shared" si="218"/>
        <v>48.438592400340006</v>
      </c>
      <c r="J520" s="4">
        <f t="shared" si="205"/>
        <v>1326375.6016803107</v>
      </c>
      <c r="K520" s="1">
        <f t="shared" si="206"/>
        <v>1842.37</v>
      </c>
      <c r="L520" s="5">
        <f t="shared" si="207"/>
        <v>0.21917808219178087</v>
      </c>
      <c r="M520" s="5">
        <f t="shared" si="208"/>
        <v>-0.50920910824392629</v>
      </c>
      <c r="N520" s="5">
        <f t="shared" si="209"/>
        <v>44.407285352306921</v>
      </c>
      <c r="O520" s="1">
        <f t="shared" si="210"/>
        <v>0</v>
      </c>
      <c r="P520" s="1">
        <f t="shared" si="211"/>
        <v>1842.37</v>
      </c>
      <c r="Q520" s="5">
        <f t="shared" si="212"/>
        <v>0.21917808219178087</v>
      </c>
      <c r="R520" s="5">
        <f t="shared" si="213"/>
        <v>-0.50920910824392629</v>
      </c>
      <c r="S520" s="5">
        <f t="shared" si="219"/>
        <v>44.407285352306921</v>
      </c>
      <c r="T520" s="5">
        <f t="shared" ref="T520:T583" si="220">IF(O520,-(J520+IF(L520&lt;=0.00001, MAX(K520-B520,0),N520)*T519)/P520,T519)</f>
        <v>-701.89844864929194</v>
      </c>
      <c r="U520" s="4">
        <f t="shared" ref="U520:U583" si="221">IF(O520,(J520+IF(L520&lt;=0.00001, MAX(K520-B520,0),N520)*T519)-(S520*T520),U519)+V519</f>
        <v>1326397.0053852254</v>
      </c>
      <c r="V520" s="4">
        <f t="shared" si="214"/>
        <v>85.61620122431755</v>
      </c>
      <c r="W520" s="4">
        <f t="shared" ref="W520:W583" si="222">S520*T520+U520</f>
        <v>1295227.6006877148</v>
      </c>
      <c r="X520" s="4">
        <f t="shared" si="203"/>
        <v>3176.4617996588349</v>
      </c>
      <c r="Y520" s="9">
        <f>SUM($X$6:X520)</f>
        <v>295227.60068771476</v>
      </c>
      <c r="Z520" s="16">
        <f t="shared" si="204"/>
        <v>0.29522760068771475</v>
      </c>
      <c r="AA520" s="16">
        <f t="shared" ref="AA520:AA583" si="223">(B520-$B$6)/$B$6</f>
        <v>0.4437849435421985</v>
      </c>
      <c r="AB520" s="16">
        <f t="shared" ref="AB520:AB583" si="224">X520/W519</f>
        <v>2.4584644555110335E-3</v>
      </c>
      <c r="AC520" s="16">
        <f t="shared" ref="AC520:AC583" si="225">(B520-B519)/B519</f>
        <v>2.7736988089410502E-3</v>
      </c>
    </row>
    <row r="521" spans="1:29" x14ac:dyDescent="0.15">
      <c r="A521" s="8">
        <v>41661</v>
      </c>
      <c r="B521" s="4">
        <v>1844.86</v>
      </c>
      <c r="C521" s="1">
        <v>11.9207</v>
      </c>
      <c r="D521" s="1">
        <v>2.06</v>
      </c>
      <c r="E521" s="1">
        <v>0.23710000000000001</v>
      </c>
      <c r="F521" s="4">
        <f t="shared" si="215"/>
        <v>0.11920700000000001</v>
      </c>
      <c r="G521" s="4">
        <f t="shared" si="216"/>
        <v>2.06E-2</v>
      </c>
      <c r="H521" s="4">
        <f t="shared" si="217"/>
        <v>2.3709999999999998E-3</v>
      </c>
      <c r="I521" s="3">
        <f t="shared" si="218"/>
        <v>47.983465356925407</v>
      </c>
      <c r="J521" s="4">
        <f t="shared" si="205"/>
        <v>1326397.0053852254</v>
      </c>
      <c r="K521" s="1">
        <f t="shared" si="206"/>
        <v>1842.37</v>
      </c>
      <c r="L521" s="5">
        <f t="shared" si="207"/>
        <v>0.21643835616438362</v>
      </c>
      <c r="M521" s="5">
        <f t="shared" si="208"/>
        <v>-0.50534504730018937</v>
      </c>
      <c r="N521" s="5">
        <f t="shared" si="209"/>
        <v>43.113635583145815</v>
      </c>
      <c r="O521" s="1">
        <f t="shared" si="210"/>
        <v>0</v>
      </c>
      <c r="P521" s="1">
        <f t="shared" si="211"/>
        <v>1842.37</v>
      </c>
      <c r="Q521" s="5">
        <f t="shared" si="212"/>
        <v>0.21643835616438362</v>
      </c>
      <c r="R521" s="5">
        <f t="shared" si="213"/>
        <v>-0.50534504730018937</v>
      </c>
      <c r="S521" s="5">
        <f t="shared" si="219"/>
        <v>43.113635583145815</v>
      </c>
      <c r="T521" s="5">
        <f t="shared" si="220"/>
        <v>-701.89844864929194</v>
      </c>
      <c r="U521" s="4">
        <f t="shared" si="221"/>
        <v>1326482.6215864497</v>
      </c>
      <c r="V521" s="4">
        <f t="shared" si="214"/>
        <v>21.405431893545721</v>
      </c>
      <c r="W521" s="4">
        <f t="shared" si="222"/>
        <v>1296221.2276550087</v>
      </c>
      <c r="X521" s="4">
        <f t="shared" ref="X521:X584" si="226">W521-W520</f>
        <v>993.62696729390882</v>
      </c>
      <c r="Y521" s="9">
        <f>SUM($X$6:X521)</f>
        <v>296221.22765500867</v>
      </c>
      <c r="Z521" s="16">
        <f t="shared" si="204"/>
        <v>0.29622122765500869</v>
      </c>
      <c r="AA521" s="16">
        <f t="shared" si="223"/>
        <v>0.44461497502075076</v>
      </c>
      <c r="AB521" s="16">
        <f t="shared" si="224"/>
        <v>7.671446831169534E-4</v>
      </c>
      <c r="AC521" s="16">
        <f t="shared" si="225"/>
        <v>5.7489966373790299E-4</v>
      </c>
    </row>
    <row r="522" spans="1:29" x14ac:dyDescent="0.15">
      <c r="A522" s="8">
        <v>41662</v>
      </c>
      <c r="B522" s="4">
        <v>1828.46</v>
      </c>
      <c r="C522" s="1">
        <v>12.4742</v>
      </c>
      <c r="D522" s="1">
        <v>2.08</v>
      </c>
      <c r="E522" s="1">
        <v>0.23860000000000001</v>
      </c>
      <c r="F522" s="4">
        <f t="shared" si="215"/>
        <v>0.12474199999999999</v>
      </c>
      <c r="G522" s="4">
        <f t="shared" si="216"/>
        <v>2.0799999999999999E-2</v>
      </c>
      <c r="H522" s="4">
        <f t="shared" si="217"/>
        <v>2.3860000000000001E-3</v>
      </c>
      <c r="I522" s="3">
        <f t="shared" si="218"/>
        <v>49.603789603877445</v>
      </c>
      <c r="J522" s="4">
        <f t="shared" si="205"/>
        <v>1326482.6215864497</v>
      </c>
      <c r="K522" s="1">
        <f t="shared" si="206"/>
        <v>1842.37</v>
      </c>
      <c r="L522" s="5">
        <f t="shared" si="207"/>
        <v>0.21369863013698637</v>
      </c>
      <c r="M522" s="5">
        <f t="shared" si="208"/>
        <v>-0.56530413296827586</v>
      </c>
      <c r="N522" s="5">
        <f t="shared" si="209"/>
        <v>53.490478882160609</v>
      </c>
      <c r="O522" s="1">
        <f t="shared" si="210"/>
        <v>0</v>
      </c>
      <c r="P522" s="1">
        <f t="shared" si="211"/>
        <v>1842.37</v>
      </c>
      <c r="Q522" s="5">
        <f t="shared" si="212"/>
        <v>0.21369863013698637</v>
      </c>
      <c r="R522" s="5">
        <f t="shared" si="213"/>
        <v>-0.56530413296827586</v>
      </c>
      <c r="S522" s="5">
        <f t="shared" si="219"/>
        <v>53.490478882160609</v>
      </c>
      <c r="T522" s="5">
        <f t="shared" si="220"/>
        <v>-701.89844864929194</v>
      </c>
      <c r="U522" s="4">
        <f t="shared" si="221"/>
        <v>1326504.0270183433</v>
      </c>
      <c r="V522" s="4">
        <f t="shared" si="214"/>
        <v>21.405777312706963</v>
      </c>
      <c r="W522" s="4">
        <f t="shared" si="222"/>
        <v>1288959.1428734472</v>
      </c>
      <c r="X522" s="4">
        <f t="shared" si="226"/>
        <v>-7262.0847815615125</v>
      </c>
      <c r="Y522" s="9">
        <f>SUM($X$6:X522)</f>
        <v>288959.14287344716</v>
      </c>
      <c r="Z522" s="16">
        <f t="shared" si="204"/>
        <v>0.28895914287344715</v>
      </c>
      <c r="AA522" s="16">
        <f t="shared" si="223"/>
        <v>0.43177297856013042</v>
      </c>
      <c r="AB522" s="16">
        <f t="shared" si="224"/>
        <v>-5.6025041301779452E-3</v>
      </c>
      <c r="AC522" s="16">
        <f t="shared" si="225"/>
        <v>-8.8895634357077855E-3</v>
      </c>
    </row>
    <row r="523" spans="1:29" x14ac:dyDescent="0.15">
      <c r="A523" s="8">
        <v>41663</v>
      </c>
      <c r="B523" s="4">
        <v>1790.29</v>
      </c>
      <c r="C523" s="1">
        <v>14.1241</v>
      </c>
      <c r="D523" s="1">
        <v>2.12</v>
      </c>
      <c r="E523" s="1">
        <v>0.23530000000000001</v>
      </c>
      <c r="F523" s="4">
        <f t="shared" si="215"/>
        <v>0.14124100000000001</v>
      </c>
      <c r="G523" s="4">
        <f t="shared" si="216"/>
        <v>2.12E-2</v>
      </c>
      <c r="H523" s="4">
        <f t="shared" si="217"/>
        <v>2.3530000000000001E-3</v>
      </c>
      <c r="I523" s="3">
        <f t="shared" si="218"/>
        <v>54.516841835276963</v>
      </c>
      <c r="J523" s="4">
        <f t="shared" si="205"/>
        <v>1326504.0270183433</v>
      </c>
      <c r="K523" s="1">
        <f t="shared" si="206"/>
        <v>1842.37</v>
      </c>
      <c r="L523" s="5">
        <f t="shared" si="207"/>
        <v>0.21095890410958912</v>
      </c>
      <c r="M523" s="5">
        <f t="shared" si="208"/>
        <v>-0.67809622866766228</v>
      </c>
      <c r="N523" s="5">
        <f t="shared" si="209"/>
        <v>82.274536894038917</v>
      </c>
      <c r="O523" s="1">
        <f t="shared" si="210"/>
        <v>0</v>
      </c>
      <c r="P523" s="1">
        <f t="shared" si="211"/>
        <v>1842.37</v>
      </c>
      <c r="Q523" s="5">
        <f t="shared" si="212"/>
        <v>0.21095890410958912</v>
      </c>
      <c r="R523" s="5">
        <f t="shared" si="213"/>
        <v>-0.67809622866766228</v>
      </c>
      <c r="S523" s="5">
        <f t="shared" si="219"/>
        <v>82.274536894038917</v>
      </c>
      <c r="T523" s="5">
        <f t="shared" si="220"/>
        <v>-701.89844864929194</v>
      </c>
      <c r="U523" s="4">
        <f t="shared" si="221"/>
        <v>1326525.4327956561</v>
      </c>
      <c r="V523" s="4">
        <f t="shared" si="214"/>
        <v>21.406122737442228</v>
      </c>
      <c r="W523" s="4">
        <f t="shared" si="222"/>
        <v>1268777.0629863914</v>
      </c>
      <c r="X523" s="4">
        <f t="shared" si="226"/>
        <v>-20182.079887055792</v>
      </c>
      <c r="Y523" s="9">
        <f>SUM($X$6:X523)</f>
        <v>268777.06298639136</v>
      </c>
      <c r="Z523" s="16">
        <f t="shared" si="204"/>
        <v>0.26877706298639137</v>
      </c>
      <c r="AA523" s="16">
        <f t="shared" si="223"/>
        <v>0.4018840148466008</v>
      </c>
      <c r="AB523" s="16">
        <f t="shared" si="224"/>
        <v>-1.5657656799007873E-2</v>
      </c>
      <c r="AC523" s="16">
        <f t="shared" si="225"/>
        <v>-2.0875490850223725E-2</v>
      </c>
    </row>
    <row r="524" spans="1:29" x14ac:dyDescent="0.15">
      <c r="A524" s="8">
        <v>41666</v>
      </c>
      <c r="B524" s="4">
        <v>1781.56</v>
      </c>
      <c r="C524" s="1">
        <v>13.9354</v>
      </c>
      <c r="D524" s="1">
        <v>2.13</v>
      </c>
      <c r="E524" s="1">
        <v>0.2361</v>
      </c>
      <c r="F524" s="4">
        <f t="shared" si="215"/>
        <v>0.13935400000000001</v>
      </c>
      <c r="G524" s="4">
        <f t="shared" si="216"/>
        <v>2.1299999999999999E-2</v>
      </c>
      <c r="H524" s="4">
        <f t="shared" si="217"/>
        <v>2.3610000000000003E-3</v>
      </c>
      <c r="I524" s="3">
        <f t="shared" si="218"/>
        <v>53.605960195658319</v>
      </c>
      <c r="J524" s="4">
        <f t="shared" si="205"/>
        <v>1326525.4327956561</v>
      </c>
      <c r="K524" s="1">
        <f t="shared" si="206"/>
        <v>1842.37</v>
      </c>
      <c r="L524" s="5">
        <f t="shared" si="207"/>
        <v>0.20273972602739734</v>
      </c>
      <c r="M524" s="5">
        <f t="shared" si="208"/>
        <v>-0.71079385734427936</v>
      </c>
      <c r="N524" s="5">
        <f t="shared" si="209"/>
        <v>86.850158464141344</v>
      </c>
      <c r="O524" s="1">
        <f t="shared" si="210"/>
        <v>0</v>
      </c>
      <c r="P524" s="1">
        <f t="shared" si="211"/>
        <v>1842.37</v>
      </c>
      <c r="Q524" s="5">
        <f t="shared" si="212"/>
        <v>0.20273972602739734</v>
      </c>
      <c r="R524" s="5">
        <f t="shared" si="213"/>
        <v>-0.71079385734427936</v>
      </c>
      <c r="S524" s="5">
        <f t="shared" si="219"/>
        <v>86.850158464141344</v>
      </c>
      <c r="T524" s="5">
        <f t="shared" si="220"/>
        <v>-701.89844864929194</v>
      </c>
      <c r="U524" s="4">
        <f t="shared" si="221"/>
        <v>1326546.8389183935</v>
      </c>
      <c r="V524" s="4">
        <f t="shared" si="214"/>
        <v>64.219404503254822</v>
      </c>
      <c r="W524" s="4">
        <f t="shared" si="222"/>
        <v>1265586.8474274676</v>
      </c>
      <c r="X524" s="4">
        <f t="shared" si="226"/>
        <v>-3190.2155589237809</v>
      </c>
      <c r="Y524" s="9">
        <f>SUM($X$6:X524)</f>
        <v>265586.84742746758</v>
      </c>
      <c r="Z524" s="16">
        <f t="shared" si="204"/>
        <v>0.26558684742746758</v>
      </c>
      <c r="AA524" s="16">
        <f t="shared" si="223"/>
        <v>0.39504800087701442</v>
      </c>
      <c r="AB524" s="16">
        <f t="shared" si="224"/>
        <v>-2.514401979662836E-3</v>
      </c>
      <c r="AC524" s="16">
        <f t="shared" si="225"/>
        <v>-4.8763049561802935E-3</v>
      </c>
    </row>
    <row r="525" spans="1:29" x14ac:dyDescent="0.15">
      <c r="A525" s="8">
        <v>41667</v>
      </c>
      <c r="B525" s="4">
        <v>1792.5</v>
      </c>
      <c r="C525" s="1">
        <v>13.629899999999999</v>
      </c>
      <c r="D525" s="1">
        <v>2.12</v>
      </c>
      <c r="E525" s="1">
        <v>0.2361</v>
      </c>
      <c r="F525" s="4">
        <f t="shared" si="215"/>
        <v>0.136299</v>
      </c>
      <c r="G525" s="4">
        <f t="shared" si="216"/>
        <v>2.12E-2</v>
      </c>
      <c r="H525" s="4">
        <f t="shared" si="217"/>
        <v>2.3610000000000003E-3</v>
      </c>
      <c r="I525" s="3">
        <f t="shared" si="218"/>
        <v>52.827875281407053</v>
      </c>
      <c r="J525" s="4">
        <f t="shared" si="205"/>
        <v>1326546.8389183935</v>
      </c>
      <c r="K525" s="1">
        <f t="shared" si="206"/>
        <v>1842.37</v>
      </c>
      <c r="L525" s="5">
        <f t="shared" si="207"/>
        <v>0.20000000000000009</v>
      </c>
      <c r="M525" s="5">
        <f t="shared" si="208"/>
        <v>-0.68203212824164572</v>
      </c>
      <c r="N525" s="5">
        <f t="shared" si="209"/>
        <v>78.031161148068549</v>
      </c>
      <c r="O525" s="1">
        <f t="shared" si="210"/>
        <v>0</v>
      </c>
      <c r="P525" s="1">
        <f t="shared" si="211"/>
        <v>1842.37</v>
      </c>
      <c r="Q525" s="5">
        <f t="shared" si="212"/>
        <v>0.20000000000000009</v>
      </c>
      <c r="R525" s="5">
        <f t="shared" si="213"/>
        <v>-0.68203212824164572</v>
      </c>
      <c r="S525" s="5">
        <f t="shared" si="219"/>
        <v>78.031161148068549</v>
      </c>
      <c r="T525" s="5">
        <f t="shared" si="220"/>
        <v>-701.89844864929194</v>
      </c>
      <c r="U525" s="4">
        <f t="shared" si="221"/>
        <v>1326611.0583228967</v>
      </c>
      <c r="V525" s="4">
        <f t="shared" si="214"/>
        <v>21.407504475402359</v>
      </c>
      <c r="W525" s="4">
        <f t="shared" si="222"/>
        <v>1271841.1073667645</v>
      </c>
      <c r="X525" s="4">
        <f t="shared" si="226"/>
        <v>6254.2599392968696</v>
      </c>
      <c r="Y525" s="9">
        <f>SUM($X$6:X525)</f>
        <v>271841.10736676445</v>
      </c>
      <c r="Z525" s="16">
        <f t="shared" si="204"/>
        <v>0.27184110736676448</v>
      </c>
      <c r="AA525" s="16">
        <f t="shared" si="223"/>
        <v>0.40361455217452591</v>
      </c>
      <c r="AB525" s="16">
        <f t="shared" si="224"/>
        <v>4.9417864542522514E-3</v>
      </c>
      <c r="AC525" s="16">
        <f t="shared" si="225"/>
        <v>6.1406856911920202E-3</v>
      </c>
    </row>
    <row r="526" spans="1:29" x14ac:dyDescent="0.15">
      <c r="A526" s="8">
        <v>41668</v>
      </c>
      <c r="B526" s="4">
        <v>1774.2</v>
      </c>
      <c r="C526" s="1">
        <v>14.4505</v>
      </c>
      <c r="D526" s="1">
        <v>2.15</v>
      </c>
      <c r="E526" s="1">
        <v>0.23300000000000001</v>
      </c>
      <c r="F526" s="4">
        <f t="shared" si="215"/>
        <v>0.14450499999999999</v>
      </c>
      <c r="G526" s="4">
        <f t="shared" si="216"/>
        <v>2.1499999999999998E-2</v>
      </c>
      <c r="H526" s="4">
        <f t="shared" si="217"/>
        <v>2.33E-3</v>
      </c>
      <c r="I526" s="3">
        <f t="shared" si="218"/>
        <v>55.246878644135158</v>
      </c>
      <c r="J526" s="4">
        <f t="shared" si="205"/>
        <v>1326611.0583228967</v>
      </c>
      <c r="K526" s="1">
        <f t="shared" si="206"/>
        <v>1842.37</v>
      </c>
      <c r="L526" s="5">
        <f t="shared" si="207"/>
        <v>0.19726027397260285</v>
      </c>
      <c r="M526" s="5">
        <f t="shared" si="208"/>
        <v>-0.72739500386361278</v>
      </c>
      <c r="N526" s="5">
        <f t="shared" si="209"/>
        <v>92.921789097963739</v>
      </c>
      <c r="O526" s="1">
        <f t="shared" si="210"/>
        <v>0</v>
      </c>
      <c r="P526" s="1">
        <f t="shared" si="211"/>
        <v>1842.37</v>
      </c>
      <c r="Q526" s="5">
        <f t="shared" si="212"/>
        <v>0.19726027397260285</v>
      </c>
      <c r="R526" s="5">
        <f t="shared" si="213"/>
        <v>-0.72739500386361278</v>
      </c>
      <c r="S526" s="5">
        <f t="shared" si="219"/>
        <v>92.921789097963739</v>
      </c>
      <c r="T526" s="5">
        <f t="shared" si="220"/>
        <v>-701.89844864929194</v>
      </c>
      <c r="U526" s="4">
        <f t="shared" si="221"/>
        <v>1326632.4658273722</v>
      </c>
      <c r="V526" s="4">
        <f t="shared" si="214"/>
        <v>21.407849928008826</v>
      </c>
      <c r="W526" s="4">
        <f t="shared" si="222"/>
        <v>1261410.8062137947</v>
      </c>
      <c r="X526" s="4">
        <f t="shared" si="226"/>
        <v>-10430.301152969711</v>
      </c>
      <c r="Y526" s="9">
        <f>SUM($X$6:X526)</f>
        <v>261410.80621379474</v>
      </c>
      <c r="Z526" s="16">
        <f t="shared" si="204"/>
        <v>0.26141080621379476</v>
      </c>
      <c r="AA526" s="16">
        <f t="shared" si="223"/>
        <v>0.38928476344102869</v>
      </c>
      <c r="AB526" s="16">
        <f t="shared" si="224"/>
        <v>-8.2009467161859046E-3</v>
      </c>
      <c r="AC526" s="16">
        <f t="shared" si="225"/>
        <v>-1.0209205020920476E-2</v>
      </c>
    </row>
    <row r="527" spans="1:29" x14ac:dyDescent="0.15">
      <c r="A527" s="8">
        <v>41669</v>
      </c>
      <c r="B527" s="4">
        <v>1794.19</v>
      </c>
      <c r="C527" s="1">
        <v>14.2789</v>
      </c>
      <c r="D527" s="1">
        <v>2.12</v>
      </c>
      <c r="E527" s="1">
        <v>0.23499999999999999</v>
      </c>
      <c r="F527" s="4">
        <f t="shared" si="215"/>
        <v>0.142789</v>
      </c>
      <c r="G527" s="4">
        <f t="shared" si="216"/>
        <v>2.12E-2</v>
      </c>
      <c r="H527" s="4">
        <f t="shared" si="217"/>
        <v>2.3499999999999997E-3</v>
      </c>
      <c r="I527" s="3">
        <f t="shared" si="218"/>
        <v>55.18640239179615</v>
      </c>
      <c r="J527" s="4">
        <f t="shared" si="205"/>
        <v>1326632.4658273722</v>
      </c>
      <c r="K527" s="1">
        <f t="shared" si="206"/>
        <v>1842.37</v>
      </c>
      <c r="L527" s="5">
        <f t="shared" si="207"/>
        <v>0.1945205479452056</v>
      </c>
      <c r="M527" s="5">
        <f t="shared" si="208"/>
        <v>-0.66997954939093718</v>
      </c>
      <c r="N527" s="5">
        <f t="shared" si="209"/>
        <v>78.060475261051522</v>
      </c>
      <c r="O527" s="1">
        <f t="shared" si="210"/>
        <v>0</v>
      </c>
      <c r="P527" s="1">
        <f t="shared" si="211"/>
        <v>1842.37</v>
      </c>
      <c r="Q527" s="5">
        <f t="shared" si="212"/>
        <v>0.1945205479452056</v>
      </c>
      <c r="R527" s="5">
        <f t="shared" si="213"/>
        <v>-0.66997954939093718</v>
      </c>
      <c r="S527" s="5">
        <f t="shared" si="219"/>
        <v>78.060475261051522</v>
      </c>
      <c r="T527" s="5">
        <f t="shared" si="220"/>
        <v>-701.89844864929194</v>
      </c>
      <c r="U527" s="4">
        <f t="shared" si="221"/>
        <v>1326653.8736773001</v>
      </c>
      <c r="V527" s="4">
        <f t="shared" si="214"/>
        <v>21.408195386189853</v>
      </c>
      <c r="W527" s="4">
        <f t="shared" si="222"/>
        <v>1271863.3471907414</v>
      </c>
      <c r="X527" s="4">
        <f t="shared" si="226"/>
        <v>10452.540976946708</v>
      </c>
      <c r="Y527" s="9">
        <f>SUM($X$6:X527)</f>
        <v>271863.34719074145</v>
      </c>
      <c r="Z527" s="16">
        <f t="shared" si="204"/>
        <v>0.27186334719074146</v>
      </c>
      <c r="AA527" s="16">
        <f t="shared" si="223"/>
        <v>0.40493790424882159</v>
      </c>
      <c r="AB527" s="16">
        <f t="shared" si="224"/>
        <v>8.2863892757670896E-3</v>
      </c>
      <c r="AC527" s="16">
        <f t="shared" si="225"/>
        <v>1.1267049938000231E-2</v>
      </c>
    </row>
    <row r="528" spans="1:29" x14ac:dyDescent="0.15">
      <c r="A528" s="8">
        <v>41670</v>
      </c>
      <c r="B528" s="4">
        <v>1782.59</v>
      </c>
      <c r="C528" s="1">
        <v>15.0913</v>
      </c>
      <c r="D528" s="1">
        <v>2.14</v>
      </c>
      <c r="E528" s="1">
        <v>0.23400000000000001</v>
      </c>
      <c r="F528" s="4">
        <f t="shared" si="215"/>
        <v>0.15091299999999999</v>
      </c>
      <c r="G528" s="4">
        <f t="shared" si="216"/>
        <v>2.1400000000000002E-2</v>
      </c>
      <c r="H528" s="4">
        <f t="shared" si="217"/>
        <v>2.3400000000000001E-3</v>
      </c>
      <c r="I528" s="3">
        <f t="shared" si="218"/>
        <v>57.745536057012586</v>
      </c>
      <c r="J528" s="4">
        <f t="shared" si="205"/>
        <v>1326653.8736773001</v>
      </c>
      <c r="K528" s="1">
        <f t="shared" si="206"/>
        <v>1842.37</v>
      </c>
      <c r="L528" s="5">
        <f t="shared" si="207"/>
        <v>0.19178082191780835</v>
      </c>
      <c r="M528" s="5">
        <f t="shared" si="208"/>
        <v>-0.69608312458432142</v>
      </c>
      <c r="N528" s="5">
        <f t="shared" si="209"/>
        <v>87.939551840167027</v>
      </c>
      <c r="O528" s="1">
        <f t="shared" si="210"/>
        <v>0</v>
      </c>
      <c r="P528" s="1">
        <f t="shared" si="211"/>
        <v>1842.37</v>
      </c>
      <c r="Q528" s="5">
        <f t="shared" si="212"/>
        <v>0.19178082191780835</v>
      </c>
      <c r="R528" s="5">
        <f t="shared" si="213"/>
        <v>-0.69608312458432142</v>
      </c>
      <c r="S528" s="5">
        <f t="shared" si="219"/>
        <v>87.939551840167027</v>
      </c>
      <c r="T528" s="5">
        <f t="shared" si="220"/>
        <v>-701.89844864929194</v>
      </c>
      <c r="U528" s="4">
        <f t="shared" si="221"/>
        <v>1326675.2818726862</v>
      </c>
      <c r="V528" s="4">
        <f t="shared" si="214"/>
        <v>21.408540849945538</v>
      </c>
      <c r="W528" s="4">
        <f t="shared" si="222"/>
        <v>1264950.646861159</v>
      </c>
      <c r="X528" s="4">
        <f t="shared" si="226"/>
        <v>-6912.7003295824397</v>
      </c>
      <c r="Y528" s="9">
        <f>SUM($X$6:X528)</f>
        <v>264950.64686115901</v>
      </c>
      <c r="Z528" s="16">
        <f t="shared" si="204"/>
        <v>0.26495064686115899</v>
      </c>
      <c r="AA528" s="16">
        <f t="shared" si="223"/>
        <v>0.39585454089862654</v>
      </c>
      <c r="AB528" s="16">
        <f t="shared" si="224"/>
        <v>-5.4350967380662647E-3</v>
      </c>
      <c r="AC528" s="16">
        <f t="shared" si="225"/>
        <v>-6.465313038195585E-3</v>
      </c>
    </row>
    <row r="529" spans="1:29" x14ac:dyDescent="0.15">
      <c r="A529" s="8">
        <v>41673</v>
      </c>
      <c r="B529" s="4">
        <v>1741.89</v>
      </c>
      <c r="C529" s="1">
        <v>16.8202</v>
      </c>
      <c r="D529" s="1">
        <v>2.2000000000000002</v>
      </c>
      <c r="E529" s="1">
        <v>0.23300000000000001</v>
      </c>
      <c r="F529" s="4">
        <f t="shared" si="215"/>
        <v>0.16820199999999999</v>
      </c>
      <c r="G529" s="4">
        <f t="shared" si="216"/>
        <v>2.2000000000000002E-2</v>
      </c>
      <c r="H529" s="4">
        <f t="shared" si="217"/>
        <v>2.33E-3</v>
      </c>
      <c r="I529" s="3">
        <f t="shared" si="218"/>
        <v>62.52643555887564</v>
      </c>
      <c r="J529" s="4">
        <f t="shared" si="205"/>
        <v>1326675.2818726862</v>
      </c>
      <c r="K529" s="1">
        <f t="shared" si="206"/>
        <v>1842.37</v>
      </c>
      <c r="L529" s="5">
        <f t="shared" si="207"/>
        <v>0.18356164383561657</v>
      </c>
      <c r="M529" s="5">
        <f t="shared" si="208"/>
        <v>-0.78273674662535531</v>
      </c>
      <c r="N529" s="5">
        <f t="shared" si="209"/>
        <v>121.4325911094852</v>
      </c>
      <c r="O529" s="1">
        <f t="shared" si="210"/>
        <v>0</v>
      </c>
      <c r="P529" s="1">
        <f t="shared" si="211"/>
        <v>1842.37</v>
      </c>
      <c r="Q529" s="5">
        <f t="shared" si="212"/>
        <v>0.18356164383561657</v>
      </c>
      <c r="R529" s="5">
        <f t="shared" si="213"/>
        <v>-0.78273674662535531</v>
      </c>
      <c r="S529" s="5">
        <f t="shared" si="219"/>
        <v>121.4325911094852</v>
      </c>
      <c r="T529" s="5">
        <f t="shared" si="220"/>
        <v>-701.89844864929194</v>
      </c>
      <c r="U529" s="4">
        <f t="shared" si="221"/>
        <v>1326696.6904135363</v>
      </c>
      <c r="V529" s="4">
        <f t="shared" si="214"/>
        <v>64.226658957827894</v>
      </c>
      <c r="W529" s="4">
        <f t="shared" si="222"/>
        <v>1241463.3430983247</v>
      </c>
      <c r="X529" s="4">
        <f t="shared" si="226"/>
        <v>-23487.303762834286</v>
      </c>
      <c r="Y529" s="9">
        <f>SUM($X$6:X529)</f>
        <v>241463.34309832472</v>
      </c>
      <c r="Z529" s="16">
        <f t="shared" si="204"/>
        <v>0.24146334309832473</v>
      </c>
      <c r="AA529" s="16">
        <f t="shared" si="223"/>
        <v>0.36398446431647702</v>
      </c>
      <c r="AB529" s="16">
        <f t="shared" si="224"/>
        <v>-1.8567762956693639E-2</v>
      </c>
      <c r="AC529" s="16">
        <f t="shared" si="225"/>
        <v>-2.2831946774075823E-2</v>
      </c>
    </row>
    <row r="530" spans="1:29" x14ac:dyDescent="0.15">
      <c r="A530" s="8">
        <v>41674</v>
      </c>
      <c r="B530" s="4">
        <v>1755.2</v>
      </c>
      <c r="C530" s="1">
        <v>15.734299999999999</v>
      </c>
      <c r="D530" s="1">
        <v>2.1800000000000002</v>
      </c>
      <c r="E530" s="1">
        <v>0.23380000000000001</v>
      </c>
      <c r="F530" s="4">
        <f t="shared" si="215"/>
        <v>0.15734299999999998</v>
      </c>
      <c r="G530" s="4">
        <f t="shared" si="216"/>
        <v>2.18E-2</v>
      </c>
      <c r="H530" s="4">
        <f t="shared" si="217"/>
        <v>2.3380000000000002E-3</v>
      </c>
      <c r="I530" s="3">
        <f t="shared" si="218"/>
        <v>59.182860860196271</v>
      </c>
      <c r="J530" s="4">
        <f t="shared" si="205"/>
        <v>1326696.6904135363</v>
      </c>
      <c r="K530" s="1">
        <f t="shared" si="206"/>
        <v>1842.37</v>
      </c>
      <c r="L530" s="5">
        <f t="shared" si="207"/>
        <v>0.18082191780821932</v>
      </c>
      <c r="M530" s="5">
        <f t="shared" si="208"/>
        <v>-0.7683996427047739</v>
      </c>
      <c r="N530" s="5">
        <f t="shared" si="209"/>
        <v>108.31633961098477</v>
      </c>
      <c r="O530" s="1">
        <f t="shared" si="210"/>
        <v>0</v>
      </c>
      <c r="P530" s="1">
        <f t="shared" si="211"/>
        <v>1842.37</v>
      </c>
      <c r="Q530" s="5">
        <f t="shared" si="212"/>
        <v>0.18082191780821932</v>
      </c>
      <c r="R530" s="5">
        <f t="shared" si="213"/>
        <v>-0.7683996427047739</v>
      </c>
      <c r="S530" s="5">
        <f t="shared" si="219"/>
        <v>108.31633961098477</v>
      </c>
      <c r="T530" s="5">
        <f t="shared" si="220"/>
        <v>-701.89844864929194</v>
      </c>
      <c r="U530" s="4">
        <f t="shared" si="221"/>
        <v>1326760.917072494</v>
      </c>
      <c r="V530" s="4">
        <f t="shared" si="214"/>
        <v>21.40992274399175</v>
      </c>
      <c r="W530" s="4">
        <f t="shared" si="222"/>
        <v>1250733.8463361741</v>
      </c>
      <c r="X530" s="4">
        <f t="shared" si="226"/>
        <v>9270.5032378493343</v>
      </c>
      <c r="Y530" s="9">
        <f>SUM($X$6:X530)</f>
        <v>250733.84633617406</v>
      </c>
      <c r="Z530" s="16">
        <f t="shared" ref="Z530:Z593" si="227">Y530/$H$3</f>
        <v>0.25073384633617407</v>
      </c>
      <c r="AA530" s="16">
        <f t="shared" si="223"/>
        <v>0.37440684071226105</v>
      </c>
      <c r="AB530" s="16">
        <f t="shared" si="224"/>
        <v>7.4673998949601724E-3</v>
      </c>
      <c r="AC530" s="16">
        <f t="shared" si="225"/>
        <v>7.6411254442013818E-3</v>
      </c>
    </row>
    <row r="531" spans="1:29" x14ac:dyDescent="0.15">
      <c r="A531" s="8">
        <v>41675</v>
      </c>
      <c r="B531" s="4">
        <v>1751.64</v>
      </c>
      <c r="C531" s="1">
        <v>16.3033</v>
      </c>
      <c r="D531" s="1">
        <v>2.19</v>
      </c>
      <c r="E531" s="1">
        <v>0.23369999999999999</v>
      </c>
      <c r="F531" s="4">
        <f t="shared" si="215"/>
        <v>0.16303300000000001</v>
      </c>
      <c r="G531" s="4">
        <f t="shared" si="216"/>
        <v>2.1899999999999999E-2</v>
      </c>
      <c r="H531" s="4">
        <f t="shared" si="217"/>
        <v>2.3370000000000001E-3</v>
      </c>
      <c r="I531" s="3">
        <f t="shared" si="218"/>
        <v>61.059290932152614</v>
      </c>
      <c r="J531" s="4">
        <f t="shared" si="205"/>
        <v>1326760.917072494</v>
      </c>
      <c r="K531" s="1">
        <f t="shared" si="206"/>
        <v>1842.37</v>
      </c>
      <c r="L531" s="5">
        <f t="shared" si="207"/>
        <v>0.17808219178082207</v>
      </c>
      <c r="M531" s="5">
        <f t="shared" si="208"/>
        <v>-0.77043971924007748</v>
      </c>
      <c r="N531" s="5">
        <f t="shared" si="209"/>
        <v>112.00613377844083</v>
      </c>
      <c r="O531" s="1">
        <f t="shared" si="210"/>
        <v>0</v>
      </c>
      <c r="P531" s="1">
        <f t="shared" si="211"/>
        <v>1842.37</v>
      </c>
      <c r="Q531" s="5">
        <f t="shared" si="212"/>
        <v>0.17808219178082207</v>
      </c>
      <c r="R531" s="5">
        <f t="shared" si="213"/>
        <v>-0.77043971924007748</v>
      </c>
      <c r="S531" s="5">
        <f t="shared" si="219"/>
        <v>112.00613377844083</v>
      </c>
      <c r="T531" s="5">
        <f t="shared" si="220"/>
        <v>-701.89844864929194</v>
      </c>
      <c r="U531" s="4">
        <f t="shared" si="221"/>
        <v>1326782.326995238</v>
      </c>
      <c r="V531" s="4">
        <f t="shared" si="214"/>
        <v>21.410268235621782</v>
      </c>
      <c r="W531" s="4">
        <f t="shared" si="222"/>
        <v>1248165.3954569453</v>
      </c>
      <c r="X531" s="4">
        <f t="shared" si="226"/>
        <v>-2568.450879228767</v>
      </c>
      <c r="Y531" s="9">
        <f>SUM($X$6:X531)</f>
        <v>248165.39545694529</v>
      </c>
      <c r="Z531" s="16">
        <f t="shared" si="227"/>
        <v>0.2481653954569453</v>
      </c>
      <c r="AA531" s="16">
        <f t="shared" si="223"/>
        <v>0.37161918782202885</v>
      </c>
      <c r="AB531" s="16">
        <f t="shared" si="224"/>
        <v>-2.0535551082691457E-3</v>
      </c>
      <c r="AC531" s="16">
        <f t="shared" si="225"/>
        <v>-2.0282588878759943E-3</v>
      </c>
    </row>
    <row r="532" spans="1:29" x14ac:dyDescent="0.15">
      <c r="A532" s="8">
        <v>41676</v>
      </c>
      <c r="B532" s="4">
        <v>1773.43</v>
      </c>
      <c r="C532" s="1">
        <v>14.6745</v>
      </c>
      <c r="D532" s="1">
        <v>2.16</v>
      </c>
      <c r="E532" s="1">
        <v>0.23430000000000001</v>
      </c>
      <c r="F532" s="4">
        <f t="shared" si="215"/>
        <v>0.14674500000000001</v>
      </c>
      <c r="G532" s="4">
        <f t="shared" si="216"/>
        <v>2.1600000000000001E-2</v>
      </c>
      <c r="H532" s="4">
        <f t="shared" si="217"/>
        <v>2.343E-3</v>
      </c>
      <c r="I532" s="3">
        <f t="shared" si="218"/>
        <v>56.029028462627245</v>
      </c>
      <c r="J532" s="4">
        <f t="shared" si="205"/>
        <v>1326782.326995238</v>
      </c>
      <c r="K532" s="1">
        <f t="shared" si="206"/>
        <v>1842.37</v>
      </c>
      <c r="L532" s="5">
        <f t="shared" si="207"/>
        <v>0.17534246575342483</v>
      </c>
      <c r="M532" s="5">
        <f t="shared" si="208"/>
        <v>-0.7376951460114537</v>
      </c>
      <c r="N532" s="5">
        <f t="shared" si="209"/>
        <v>91.384326631926498</v>
      </c>
      <c r="O532" s="1">
        <f t="shared" si="210"/>
        <v>0</v>
      </c>
      <c r="P532" s="1">
        <f t="shared" si="211"/>
        <v>1842.37</v>
      </c>
      <c r="Q532" s="5">
        <f t="shared" si="212"/>
        <v>0.17534246575342483</v>
      </c>
      <c r="R532" s="5">
        <f t="shared" si="213"/>
        <v>-0.7376951460114537</v>
      </c>
      <c r="S532" s="5">
        <f t="shared" si="219"/>
        <v>91.384326631926498</v>
      </c>
      <c r="T532" s="5">
        <f t="shared" si="220"/>
        <v>-701.89844864929194</v>
      </c>
      <c r="U532" s="4">
        <f t="shared" si="221"/>
        <v>1326803.7372634737</v>
      </c>
      <c r="V532" s="4">
        <f t="shared" si="214"/>
        <v>21.410613732827013</v>
      </c>
      <c r="W532" s="4">
        <f t="shared" si="222"/>
        <v>1262661.2201696644</v>
      </c>
      <c r="X532" s="4">
        <f t="shared" si="226"/>
        <v>14495.82471271907</v>
      </c>
      <c r="Y532" s="9">
        <f>SUM($X$6:X532)</f>
        <v>262661.22016966436</v>
      </c>
      <c r="Z532" s="16">
        <f t="shared" si="227"/>
        <v>0.26266122016966437</v>
      </c>
      <c r="AA532" s="16">
        <f t="shared" si="223"/>
        <v>0.38868181604623131</v>
      </c>
      <c r="AB532" s="16">
        <f t="shared" si="224"/>
        <v>1.1613705014960972E-2</v>
      </c>
      <c r="AC532" s="16">
        <f t="shared" si="225"/>
        <v>1.2439770729145237E-2</v>
      </c>
    </row>
    <row r="533" spans="1:29" x14ac:dyDescent="0.15">
      <c r="A533" s="8">
        <v>41677</v>
      </c>
      <c r="B533" s="4">
        <v>1797.02</v>
      </c>
      <c r="C533" s="1">
        <v>13.480499999999999</v>
      </c>
      <c r="D533" s="1">
        <v>2.14</v>
      </c>
      <c r="E533" s="1">
        <v>0.23130000000000001</v>
      </c>
      <c r="F533" s="4">
        <f t="shared" si="215"/>
        <v>0.13480499999999998</v>
      </c>
      <c r="G533" s="4">
        <f t="shared" si="216"/>
        <v>2.1400000000000002E-2</v>
      </c>
      <c r="H533" s="4">
        <f t="shared" si="217"/>
        <v>2.313E-3</v>
      </c>
      <c r="I533" s="3">
        <f t="shared" si="218"/>
        <v>52.48694792476212</v>
      </c>
      <c r="J533" s="4">
        <f t="shared" si="205"/>
        <v>1326803.7372634737</v>
      </c>
      <c r="K533" s="1">
        <f t="shared" si="206"/>
        <v>1842.37</v>
      </c>
      <c r="L533" s="5">
        <f t="shared" si="207"/>
        <v>0.17260273972602758</v>
      </c>
      <c r="M533" s="5">
        <f t="shared" si="208"/>
        <v>-0.68038554495496284</v>
      </c>
      <c r="N533" s="5">
        <f t="shared" si="209"/>
        <v>71.231141727507008</v>
      </c>
      <c r="O533" s="1">
        <f t="shared" si="210"/>
        <v>0</v>
      </c>
      <c r="P533" s="1">
        <f t="shared" si="211"/>
        <v>1842.37</v>
      </c>
      <c r="Q533" s="5">
        <f t="shared" si="212"/>
        <v>0.17260273972602758</v>
      </c>
      <c r="R533" s="5">
        <f t="shared" si="213"/>
        <v>-0.68038554495496284</v>
      </c>
      <c r="S533" s="5">
        <f t="shared" si="219"/>
        <v>71.231141727507008</v>
      </c>
      <c r="T533" s="5">
        <f t="shared" si="220"/>
        <v>-701.89844864929194</v>
      </c>
      <c r="U533" s="4">
        <f t="shared" si="221"/>
        <v>1326825.1478772066</v>
      </c>
      <c r="V533" s="4">
        <f t="shared" si="214"/>
        <v>21.410959235607525</v>
      </c>
      <c r="W533" s="4">
        <f t="shared" si="222"/>
        <v>1276828.1200031515</v>
      </c>
      <c r="X533" s="4">
        <f t="shared" si="226"/>
        <v>14166.899833487114</v>
      </c>
      <c r="Y533" s="9">
        <f>SUM($X$6:X533)</f>
        <v>276828.12000315147</v>
      </c>
      <c r="Z533" s="16">
        <f t="shared" si="227"/>
        <v>0.27682812000315149</v>
      </c>
      <c r="AA533" s="16">
        <f t="shared" si="223"/>
        <v>0.40715393168684327</v>
      </c>
      <c r="AB533" s="16">
        <f t="shared" si="224"/>
        <v>1.1219874030488955E-2</v>
      </c>
      <c r="AC533" s="16">
        <f t="shared" si="225"/>
        <v>1.3301906475022931E-2</v>
      </c>
    </row>
    <row r="534" spans="1:29" x14ac:dyDescent="0.15">
      <c r="A534" s="8">
        <v>41680</v>
      </c>
      <c r="B534" s="4">
        <v>1799.84</v>
      </c>
      <c r="C534" s="1">
        <v>13.426</v>
      </c>
      <c r="D534" s="1">
        <v>2.14</v>
      </c>
      <c r="E534" s="1">
        <v>0.23130000000000001</v>
      </c>
      <c r="F534" s="4">
        <f t="shared" si="215"/>
        <v>0.13425999999999999</v>
      </c>
      <c r="G534" s="4">
        <f t="shared" si="216"/>
        <v>2.1400000000000002E-2</v>
      </c>
      <c r="H534" s="4">
        <f t="shared" si="217"/>
        <v>2.313E-3</v>
      </c>
      <c r="I534" s="3">
        <f t="shared" si="218"/>
        <v>52.37509281051495</v>
      </c>
      <c r="J534" s="4">
        <f t="shared" si="205"/>
        <v>1326825.1478772066</v>
      </c>
      <c r="K534" s="1">
        <f t="shared" si="206"/>
        <v>1842.37</v>
      </c>
      <c r="L534" s="5">
        <f t="shared" si="207"/>
        <v>0.1643835616438358</v>
      </c>
      <c r="M534" s="5">
        <f t="shared" si="208"/>
        <v>-0.67467359675083016</v>
      </c>
      <c r="N534" s="5">
        <f t="shared" si="209"/>
        <v>68.124064701252593</v>
      </c>
      <c r="O534" s="1">
        <f t="shared" si="210"/>
        <v>0</v>
      </c>
      <c r="P534" s="1">
        <f t="shared" si="211"/>
        <v>1842.37</v>
      </c>
      <c r="Q534" s="5">
        <f t="shared" si="212"/>
        <v>0.1643835616438358</v>
      </c>
      <c r="R534" s="5">
        <f t="shared" si="213"/>
        <v>-0.67467359675083016</v>
      </c>
      <c r="S534" s="5">
        <f t="shared" si="219"/>
        <v>68.124064701252593</v>
      </c>
      <c r="T534" s="5">
        <f t="shared" si="220"/>
        <v>-701.89844864929194</v>
      </c>
      <c r="U534" s="4">
        <f t="shared" si="221"/>
        <v>1326846.5588364422</v>
      </c>
      <c r="V534" s="4">
        <f t="shared" si="214"/>
        <v>64.233914231890225</v>
      </c>
      <c r="W534" s="4">
        <f t="shared" si="222"/>
        <v>1279030.3835069491</v>
      </c>
      <c r="X534" s="4">
        <f t="shared" si="226"/>
        <v>2202.2635037975851</v>
      </c>
      <c r="Y534" s="9">
        <f>SUM($X$6:X534)</f>
        <v>279030.38350694906</v>
      </c>
      <c r="Z534" s="16">
        <f t="shared" si="227"/>
        <v>0.27903038350694909</v>
      </c>
      <c r="AA534" s="16">
        <f t="shared" si="223"/>
        <v>0.40936212863921823</v>
      </c>
      <c r="AB534" s="16">
        <f t="shared" si="224"/>
        <v>1.7247924519332716E-3</v>
      </c>
      <c r="AC534" s="16">
        <f t="shared" si="225"/>
        <v>1.5692646715116895E-3</v>
      </c>
    </row>
    <row r="535" spans="1:29" x14ac:dyDescent="0.15">
      <c r="A535" s="8">
        <v>41681</v>
      </c>
      <c r="B535" s="4">
        <v>1819.75</v>
      </c>
      <c r="C535" s="1">
        <v>12.898300000000001</v>
      </c>
      <c r="D535" s="1">
        <v>2.11</v>
      </c>
      <c r="E535" s="1">
        <v>0.23400000000000001</v>
      </c>
      <c r="F535" s="4">
        <f t="shared" si="215"/>
        <v>0.12898300000000001</v>
      </c>
      <c r="G535" s="4">
        <f t="shared" si="216"/>
        <v>2.1099999999999997E-2</v>
      </c>
      <c r="H535" s="4">
        <f t="shared" si="217"/>
        <v>2.3400000000000001E-3</v>
      </c>
      <c r="I535" s="3">
        <f t="shared" si="218"/>
        <v>50.976732949839921</v>
      </c>
      <c r="J535" s="4">
        <f t="shared" si="205"/>
        <v>1326846.5588364422</v>
      </c>
      <c r="K535" s="1">
        <f t="shared" si="206"/>
        <v>1842.37</v>
      </c>
      <c r="L535" s="5">
        <f t="shared" si="207"/>
        <v>0.16164383561643855</v>
      </c>
      <c r="M535" s="5">
        <f t="shared" si="208"/>
        <v>-0.60465040311435991</v>
      </c>
      <c r="N535" s="5">
        <f t="shared" si="209"/>
        <v>53.516906470984225</v>
      </c>
      <c r="O535" s="1">
        <f t="shared" si="210"/>
        <v>0</v>
      </c>
      <c r="P535" s="1">
        <f t="shared" si="211"/>
        <v>1842.37</v>
      </c>
      <c r="Q535" s="5">
        <f t="shared" si="212"/>
        <v>0.16164383561643855</v>
      </c>
      <c r="R535" s="5">
        <f t="shared" si="213"/>
        <v>-0.60465040311435991</v>
      </c>
      <c r="S535" s="5">
        <f t="shared" si="219"/>
        <v>53.516906470984225</v>
      </c>
      <c r="T535" s="5">
        <f t="shared" si="220"/>
        <v>-701.89844864929194</v>
      </c>
      <c r="U535" s="4">
        <f t="shared" si="221"/>
        <v>1326910.7927506741</v>
      </c>
      <c r="V535" s="4">
        <f t="shared" si="214"/>
        <v>21.412341285757449</v>
      </c>
      <c r="W535" s="4">
        <f t="shared" si="222"/>
        <v>1289347.3591221811</v>
      </c>
      <c r="X535" s="4">
        <f t="shared" si="226"/>
        <v>10316.975615232019</v>
      </c>
      <c r="Y535" s="9">
        <f>SUM($X$6:X535)</f>
        <v>289347.35912218108</v>
      </c>
      <c r="Z535" s="16">
        <f t="shared" si="227"/>
        <v>0.28934735912218107</v>
      </c>
      <c r="AA535" s="16">
        <f t="shared" si="223"/>
        <v>0.42495262556183738</v>
      </c>
      <c r="AB535" s="16">
        <f t="shared" si="224"/>
        <v>8.0662474858056929E-3</v>
      </c>
      <c r="AC535" s="16">
        <f t="shared" si="225"/>
        <v>1.1062094408391903E-2</v>
      </c>
    </row>
    <row r="536" spans="1:29" x14ac:dyDescent="0.15">
      <c r="A536" s="8">
        <v>41682</v>
      </c>
      <c r="B536" s="4">
        <v>1819.26</v>
      </c>
      <c r="C536" s="1">
        <v>12.9094</v>
      </c>
      <c r="D536" s="1">
        <v>2.11</v>
      </c>
      <c r="E536" s="1">
        <v>0.23350000000000001</v>
      </c>
      <c r="F536" s="4">
        <f t="shared" si="215"/>
        <v>0.12909399999999999</v>
      </c>
      <c r="G536" s="4">
        <f t="shared" si="216"/>
        <v>2.1099999999999997E-2</v>
      </c>
      <c r="H536" s="4">
        <f t="shared" si="217"/>
        <v>2.3350000000000003E-3</v>
      </c>
      <c r="I536" s="3">
        <f t="shared" si="218"/>
        <v>51.004216310514813</v>
      </c>
      <c r="J536" s="4">
        <f t="shared" si="205"/>
        <v>1326910.7927506741</v>
      </c>
      <c r="K536" s="1">
        <f t="shared" si="206"/>
        <v>1842.37</v>
      </c>
      <c r="L536" s="5">
        <f t="shared" si="207"/>
        <v>0.1589041095890413</v>
      </c>
      <c r="M536" s="5">
        <f t="shared" si="208"/>
        <v>-0.60726561126780398</v>
      </c>
      <c r="N536" s="5">
        <f t="shared" si="209"/>
        <v>53.481738996790732</v>
      </c>
      <c r="O536" s="1">
        <f t="shared" si="210"/>
        <v>0</v>
      </c>
      <c r="P536" s="1">
        <f t="shared" si="211"/>
        <v>1842.37</v>
      </c>
      <c r="Q536" s="5">
        <f t="shared" si="212"/>
        <v>0.1589041095890413</v>
      </c>
      <c r="R536" s="5">
        <f t="shared" si="213"/>
        <v>-0.60726561126780398</v>
      </c>
      <c r="S536" s="5">
        <f t="shared" si="219"/>
        <v>53.481738996790732</v>
      </c>
      <c r="T536" s="5">
        <f t="shared" si="220"/>
        <v>-701.89844864929194</v>
      </c>
      <c r="U536" s="4">
        <f t="shared" si="221"/>
        <v>1326932.2050919598</v>
      </c>
      <c r="V536" s="4">
        <f t="shared" si="214"/>
        <v>21.412686816415459</v>
      </c>
      <c r="W536" s="4">
        <f t="shared" si="222"/>
        <v>1289393.4554590459</v>
      </c>
      <c r="X536" s="4">
        <f t="shared" si="226"/>
        <v>46.096336864866316</v>
      </c>
      <c r="Y536" s="9">
        <f>SUM($X$6:X536)</f>
        <v>289393.45545904594</v>
      </c>
      <c r="Z536" s="16">
        <f t="shared" si="227"/>
        <v>0.28939345545904593</v>
      </c>
      <c r="AA536" s="16">
        <f t="shared" si="223"/>
        <v>0.42456893176514815</v>
      </c>
      <c r="AB536" s="16">
        <f t="shared" si="224"/>
        <v>3.5751682072897576E-5</v>
      </c>
      <c r="AC536" s="16">
        <f t="shared" si="225"/>
        <v>-2.6926775655997201E-4</v>
      </c>
    </row>
    <row r="537" spans="1:29" x14ac:dyDescent="0.15">
      <c r="A537" s="8">
        <v>41683</v>
      </c>
      <c r="B537" s="4">
        <v>1829.83</v>
      </c>
      <c r="C537" s="1">
        <v>12.6927</v>
      </c>
      <c r="D537" s="1">
        <v>2.1</v>
      </c>
      <c r="E537" s="1">
        <v>0.23330000000000001</v>
      </c>
      <c r="F537" s="4">
        <f t="shared" si="215"/>
        <v>0.12692700000000001</v>
      </c>
      <c r="G537" s="4">
        <f t="shared" si="216"/>
        <v>2.1000000000000001E-2</v>
      </c>
      <c r="H537" s="4">
        <f t="shared" si="217"/>
        <v>2.333E-3</v>
      </c>
      <c r="I537" s="3">
        <f t="shared" si="218"/>
        <v>50.492542990880906</v>
      </c>
      <c r="J537" s="4">
        <f t="shared" si="205"/>
        <v>1326932.2050919598</v>
      </c>
      <c r="K537" s="1">
        <f t="shared" si="206"/>
        <v>1842.37</v>
      </c>
      <c r="L537" s="5">
        <f t="shared" si="207"/>
        <v>0.15616438356164405</v>
      </c>
      <c r="M537" s="5">
        <f t="shared" si="208"/>
        <v>-0.56532390981359448</v>
      </c>
      <c r="N537" s="5">
        <f t="shared" si="209"/>
        <v>46.290231311662133</v>
      </c>
      <c r="O537" s="1">
        <f t="shared" si="210"/>
        <v>0</v>
      </c>
      <c r="P537" s="1">
        <f t="shared" si="211"/>
        <v>1842.37</v>
      </c>
      <c r="Q537" s="5">
        <f t="shared" si="212"/>
        <v>0.15616438356164405</v>
      </c>
      <c r="R537" s="5">
        <f t="shared" si="213"/>
        <v>-0.56532390981359448</v>
      </c>
      <c r="S537" s="5">
        <f t="shared" si="219"/>
        <v>46.290231311662133</v>
      </c>
      <c r="T537" s="5">
        <f t="shared" si="220"/>
        <v>-701.89844864929194</v>
      </c>
      <c r="U537" s="4">
        <f t="shared" si="221"/>
        <v>1326953.6177787762</v>
      </c>
      <c r="V537" s="4">
        <f t="shared" si="214"/>
        <v>21.413032352649292</v>
      </c>
      <c r="W537" s="4">
        <f t="shared" si="222"/>
        <v>1294462.5762335036</v>
      </c>
      <c r="X537" s="4">
        <f t="shared" si="226"/>
        <v>5069.1207744576968</v>
      </c>
      <c r="Y537" s="9">
        <f>SUM($X$6:X537)</f>
        <v>294462.57623350364</v>
      </c>
      <c r="Z537" s="16">
        <f t="shared" si="227"/>
        <v>0.29446257623350364</v>
      </c>
      <c r="AA537" s="16">
        <f t="shared" si="223"/>
        <v>0.43284575509373091</v>
      </c>
      <c r="AB537" s="16">
        <f t="shared" si="224"/>
        <v>3.9313994909746181E-3</v>
      </c>
      <c r="AC537" s="16">
        <f t="shared" si="225"/>
        <v>5.8100546375998681E-3</v>
      </c>
    </row>
    <row r="538" spans="1:29" x14ac:dyDescent="0.15">
      <c r="A538" s="8">
        <v>41684</v>
      </c>
      <c r="B538" s="4">
        <v>1838.63</v>
      </c>
      <c r="C538" s="1">
        <v>12.382199999999999</v>
      </c>
      <c r="D538" s="1">
        <v>2.09</v>
      </c>
      <c r="E538" s="1">
        <v>0.23330000000000001</v>
      </c>
      <c r="F538" s="4">
        <f t="shared" si="215"/>
        <v>0.12382199999999999</v>
      </c>
      <c r="G538" s="4">
        <f t="shared" si="216"/>
        <v>2.0899999999999998E-2</v>
      </c>
      <c r="H538" s="4">
        <f t="shared" si="217"/>
        <v>2.333E-3</v>
      </c>
      <c r="I538" s="3">
        <f t="shared" si="218"/>
        <v>49.581545001444439</v>
      </c>
      <c r="J538" s="4">
        <f t="shared" si="205"/>
        <v>1326953.6177787762</v>
      </c>
      <c r="K538" s="1">
        <f t="shared" si="206"/>
        <v>1842.37</v>
      </c>
      <c r="L538" s="5">
        <f t="shared" si="207"/>
        <v>0.15342465753424681</v>
      </c>
      <c r="M538" s="5">
        <f t="shared" si="208"/>
        <v>-0.52874414249782098</v>
      </c>
      <c r="N538" s="5">
        <f t="shared" si="209"/>
        <v>40.208026361230466</v>
      </c>
      <c r="O538" s="1">
        <f t="shared" si="210"/>
        <v>0</v>
      </c>
      <c r="P538" s="1">
        <f t="shared" si="211"/>
        <v>1842.37</v>
      </c>
      <c r="Q538" s="5">
        <f t="shared" si="212"/>
        <v>0.15342465753424681</v>
      </c>
      <c r="R538" s="5">
        <f t="shared" si="213"/>
        <v>-0.52874414249782098</v>
      </c>
      <c r="S538" s="5">
        <f t="shared" si="219"/>
        <v>40.208026361230466</v>
      </c>
      <c r="T538" s="5">
        <f t="shared" si="220"/>
        <v>-701.89844864929194</v>
      </c>
      <c r="U538" s="4">
        <f t="shared" si="221"/>
        <v>1326975.0308111289</v>
      </c>
      <c r="V538" s="4">
        <f t="shared" si="214"/>
        <v>21.413377894459035</v>
      </c>
      <c r="W538" s="4">
        <f t="shared" si="222"/>
        <v>1298753.0794849314</v>
      </c>
      <c r="X538" s="4">
        <f t="shared" si="226"/>
        <v>4290.5032514277846</v>
      </c>
      <c r="Y538" s="9">
        <f>SUM($X$6:X538)</f>
        <v>298753.07948493143</v>
      </c>
      <c r="Z538" s="16">
        <f t="shared" si="227"/>
        <v>0.29875307948493141</v>
      </c>
      <c r="AA538" s="16">
        <f t="shared" si="223"/>
        <v>0.43973658246284447</v>
      </c>
      <c r="AB538" s="16">
        <f t="shared" si="224"/>
        <v>3.3145054404831518E-3</v>
      </c>
      <c r="AC538" s="16">
        <f t="shared" si="225"/>
        <v>4.8091899247472069E-3</v>
      </c>
    </row>
    <row r="539" spans="1:29" x14ac:dyDescent="0.15">
      <c r="A539" s="8">
        <v>41688</v>
      </c>
      <c r="B539" s="4">
        <v>1840.76</v>
      </c>
      <c r="C539" s="1">
        <v>12.448600000000001</v>
      </c>
      <c r="D539" s="1">
        <v>2.09</v>
      </c>
      <c r="E539" s="1">
        <v>0.2319</v>
      </c>
      <c r="F539" s="4">
        <f t="shared" si="215"/>
        <v>0.12448600000000001</v>
      </c>
      <c r="G539" s="4">
        <f t="shared" si="216"/>
        <v>2.0899999999999998E-2</v>
      </c>
      <c r="H539" s="4">
        <f t="shared" si="217"/>
        <v>2.3189999999999999E-3</v>
      </c>
      <c r="I539" s="3">
        <f t="shared" si="218"/>
        <v>49.88444044703391</v>
      </c>
      <c r="J539" s="4">
        <f t="shared" si="205"/>
        <v>1326975.0308111289</v>
      </c>
      <c r="K539" s="1">
        <f t="shared" si="206"/>
        <v>1842.37</v>
      </c>
      <c r="L539" s="5">
        <f t="shared" si="207"/>
        <v>0.14246575342465775</v>
      </c>
      <c r="M539" s="5">
        <f t="shared" si="208"/>
        <v>-0.51896951300888372</v>
      </c>
      <c r="N539" s="5">
        <f t="shared" si="209"/>
        <v>37.793808877439893</v>
      </c>
      <c r="O539" s="1">
        <f t="shared" si="210"/>
        <v>0</v>
      </c>
      <c r="P539" s="1">
        <f t="shared" si="211"/>
        <v>1842.37</v>
      </c>
      <c r="Q539" s="5">
        <f t="shared" si="212"/>
        <v>0.14246575342465775</v>
      </c>
      <c r="R539" s="5">
        <f t="shared" si="213"/>
        <v>-0.51896951300888372</v>
      </c>
      <c r="S539" s="5">
        <f t="shared" si="219"/>
        <v>37.793808877439893</v>
      </c>
      <c r="T539" s="5">
        <f t="shared" si="220"/>
        <v>-701.89844864929194</v>
      </c>
      <c r="U539" s="4">
        <f t="shared" si="221"/>
        <v>1326996.4441890235</v>
      </c>
      <c r="V539" s="4">
        <f t="shared" si="214"/>
        <v>85.65489376737915</v>
      </c>
      <c r="W539" s="4">
        <f t="shared" si="222"/>
        <v>1300469.0283694007</v>
      </c>
      <c r="X539" s="4">
        <f t="shared" si="226"/>
        <v>1715.9488844692241</v>
      </c>
      <c r="Y539" s="9">
        <f>SUM($X$6:X539)</f>
        <v>300469.02836940065</v>
      </c>
      <c r="Z539" s="16">
        <f t="shared" si="227"/>
        <v>0.30046902836940065</v>
      </c>
      <c r="AA539" s="16">
        <f t="shared" si="223"/>
        <v>0.44140447590559573</v>
      </c>
      <c r="AB539" s="16">
        <f t="shared" si="224"/>
        <v>1.321227962092492E-3</v>
      </c>
      <c r="AC539" s="16">
        <f t="shared" si="225"/>
        <v>1.1584712530524801E-3</v>
      </c>
    </row>
    <row r="540" spans="1:29" x14ac:dyDescent="0.15">
      <c r="A540" s="8">
        <v>41689</v>
      </c>
      <c r="B540" s="4">
        <v>1828.75</v>
      </c>
      <c r="C540" s="1">
        <v>13.2621</v>
      </c>
      <c r="D540" s="1">
        <v>2.1</v>
      </c>
      <c r="E540" s="1">
        <v>0.23100000000000001</v>
      </c>
      <c r="F540" s="4">
        <f t="shared" si="215"/>
        <v>0.13262099999999999</v>
      </c>
      <c r="G540" s="4">
        <f t="shared" si="216"/>
        <v>2.1000000000000001E-2</v>
      </c>
      <c r="H540" s="4">
        <f t="shared" si="217"/>
        <v>2.31E-3</v>
      </c>
      <c r="I540" s="3">
        <f t="shared" si="218"/>
        <v>52.530202470700395</v>
      </c>
      <c r="J540" s="4">
        <f t="shared" ref="J540:J603" si="228">U539</f>
        <v>1326996.4441890235</v>
      </c>
      <c r="K540" s="1">
        <f t="shared" ref="K540:K603" si="229">P539</f>
        <v>1842.37</v>
      </c>
      <c r="L540" s="5">
        <f t="shared" ref="L540:L603" si="230">Q539-(A540-A539)/365</f>
        <v>0.1397260273972605</v>
      </c>
      <c r="M540" s="5">
        <f t="shared" ref="M540:M603" si="231">BSM_Put(B540,K540,F540,H540,G540,L540,$G$3)</f>
        <v>-0.56879840470670828</v>
      </c>
      <c r="N540" s="5">
        <f t="shared" ref="N540:N603" si="232">BSM_Put(B540,K540,F540,H540,G540,L540,$F$3)</f>
        <v>46.170428056866967</v>
      </c>
      <c r="O540" s="1">
        <f t="shared" ref="O540:O603" si="233">IF(OR(M540&gt;-0.05,L540&lt;=0.00001),1,0)</f>
        <v>0</v>
      </c>
      <c r="P540" s="1">
        <f t="shared" ref="P540:P603" si="234">IF(O540,B540,K540)</f>
        <v>1842.37</v>
      </c>
      <c r="Q540" s="5">
        <f t="shared" ref="Q540:Q603" si="235">IF(O540,$B$3,L540)</f>
        <v>0.1397260273972605</v>
      </c>
      <c r="R540" s="5">
        <f t="shared" ref="R540:R603" si="236">IF(O540,BSM_Put(B540,P540,F540,H540,G540,Q540,$G$3),M540)</f>
        <v>-0.56879840470670828</v>
      </c>
      <c r="S540" s="5">
        <f t="shared" si="219"/>
        <v>46.170428056866967</v>
      </c>
      <c r="T540" s="5">
        <f t="shared" si="220"/>
        <v>-701.89844864929194</v>
      </c>
      <c r="U540" s="4">
        <f t="shared" si="221"/>
        <v>1327082.0990827908</v>
      </c>
      <c r="V540" s="4">
        <f t="shared" ref="V540:V603" si="237">U540*$H$6*(A540-A539)/365</f>
        <v>21.415105653692155</v>
      </c>
      <c r="W540" s="4">
        <f t="shared" si="222"/>
        <v>1294675.1472562021</v>
      </c>
      <c r="X540" s="4">
        <f t="shared" si="226"/>
        <v>-5793.8811131985858</v>
      </c>
      <c r="Y540" s="9">
        <f>SUM($X$6:X540)</f>
        <v>294675.14725620206</v>
      </c>
      <c r="Z540" s="16">
        <f t="shared" si="227"/>
        <v>0.29467514725620209</v>
      </c>
      <c r="AA540" s="16">
        <f t="shared" si="223"/>
        <v>0.43200006264388524</v>
      </c>
      <c r="AB540" s="16">
        <f t="shared" si="224"/>
        <v>-4.4552242204977935E-3</v>
      </c>
      <c r="AC540" s="16">
        <f t="shared" si="225"/>
        <v>-6.5244790195354042E-3</v>
      </c>
    </row>
    <row r="541" spans="1:29" x14ac:dyDescent="0.15">
      <c r="A541" s="8">
        <v>41690</v>
      </c>
      <c r="B541" s="4">
        <v>1839.78</v>
      </c>
      <c r="C541" s="1">
        <v>12.7242</v>
      </c>
      <c r="D541" s="1">
        <v>2.09</v>
      </c>
      <c r="E541" s="1">
        <v>0.2331</v>
      </c>
      <c r="F541" s="4">
        <f t="shared" si="215"/>
        <v>0.12724199999999999</v>
      </c>
      <c r="G541" s="4">
        <f t="shared" si="216"/>
        <v>2.0899999999999998E-2</v>
      </c>
      <c r="H541" s="4">
        <f t="shared" si="217"/>
        <v>2.3310000000000002E-3</v>
      </c>
      <c r="I541" s="3">
        <f t="shared" si="218"/>
        <v>50.858773880847245</v>
      </c>
      <c r="J541" s="4">
        <f t="shared" si="228"/>
        <v>1327082.0990827908</v>
      </c>
      <c r="K541" s="1">
        <f t="shared" si="229"/>
        <v>1842.37</v>
      </c>
      <c r="L541" s="5">
        <f t="shared" si="230"/>
        <v>0.13698630136986326</v>
      </c>
      <c r="M541" s="5">
        <f t="shared" si="231"/>
        <v>-0.52255824984341004</v>
      </c>
      <c r="N541" s="5">
        <f t="shared" si="232"/>
        <v>38.284065864432549</v>
      </c>
      <c r="O541" s="1">
        <f t="shared" si="233"/>
        <v>0</v>
      </c>
      <c r="P541" s="1">
        <f t="shared" si="234"/>
        <v>1842.37</v>
      </c>
      <c r="Q541" s="5">
        <f t="shared" si="235"/>
        <v>0.13698630136986326</v>
      </c>
      <c r="R541" s="5">
        <f t="shared" si="236"/>
        <v>-0.52255824984341004</v>
      </c>
      <c r="S541" s="5">
        <f t="shared" si="219"/>
        <v>38.284065864432549</v>
      </c>
      <c r="T541" s="5">
        <f t="shared" si="220"/>
        <v>-701.89844864929194</v>
      </c>
      <c r="U541" s="4">
        <f t="shared" si="221"/>
        <v>1327103.5141884445</v>
      </c>
      <c r="V541" s="4">
        <f t="shared" si="237"/>
        <v>21.415451228958734</v>
      </c>
      <c r="W541" s="4">
        <f t="shared" si="222"/>
        <v>1300231.987750212</v>
      </c>
      <c r="X541" s="4">
        <f t="shared" si="226"/>
        <v>5556.840494009899</v>
      </c>
      <c r="Y541" s="9">
        <f>SUM($X$6:X541)</f>
        <v>300231.98775021196</v>
      </c>
      <c r="Z541" s="16">
        <f t="shared" si="227"/>
        <v>0.30023198775021198</v>
      </c>
      <c r="AA541" s="16">
        <f t="shared" si="223"/>
        <v>0.44063708831221715</v>
      </c>
      <c r="AB541" s="16">
        <f t="shared" si="224"/>
        <v>4.2920731936397175E-3</v>
      </c>
      <c r="AC541" s="16">
        <f t="shared" si="225"/>
        <v>6.031442241968543E-3</v>
      </c>
    </row>
    <row r="542" spans="1:29" x14ac:dyDescent="0.15">
      <c r="A542" s="8">
        <v>41691</v>
      </c>
      <c r="B542" s="4">
        <v>1836.25</v>
      </c>
      <c r="C542" s="1">
        <v>12.5861</v>
      </c>
      <c r="D542" s="1">
        <v>2.1</v>
      </c>
      <c r="E542" s="1">
        <v>0.23230000000000001</v>
      </c>
      <c r="F542" s="4">
        <f t="shared" si="215"/>
        <v>0.125861</v>
      </c>
      <c r="G542" s="4">
        <f t="shared" si="216"/>
        <v>2.1000000000000001E-2</v>
      </c>
      <c r="H542" s="4">
        <f t="shared" si="217"/>
        <v>2.323E-3</v>
      </c>
      <c r="I542" s="3">
        <f t="shared" si="218"/>
        <v>50.28464024971467</v>
      </c>
      <c r="J542" s="4">
        <f t="shared" si="228"/>
        <v>1327103.5141884445</v>
      </c>
      <c r="K542" s="1">
        <f t="shared" si="229"/>
        <v>1842.37</v>
      </c>
      <c r="L542" s="5">
        <f t="shared" si="230"/>
        <v>0.13424657534246601</v>
      </c>
      <c r="M542" s="5">
        <f t="shared" si="231"/>
        <v>-0.53968001161444612</v>
      </c>
      <c r="N542" s="5">
        <f t="shared" si="232"/>
        <v>39.409884507314167</v>
      </c>
      <c r="O542" s="1">
        <f t="shared" si="233"/>
        <v>0</v>
      </c>
      <c r="P542" s="1">
        <f t="shared" si="234"/>
        <v>1842.37</v>
      </c>
      <c r="Q542" s="5">
        <f t="shared" si="235"/>
        <v>0.13424657534246601</v>
      </c>
      <c r="R542" s="5">
        <f t="shared" si="236"/>
        <v>-0.53968001161444612</v>
      </c>
      <c r="S542" s="5">
        <f t="shared" si="219"/>
        <v>39.409884507314167</v>
      </c>
      <c r="T542" s="5">
        <f t="shared" si="220"/>
        <v>-701.89844864929194</v>
      </c>
      <c r="U542" s="4">
        <f t="shared" si="221"/>
        <v>1327124.9296396733</v>
      </c>
      <c r="V542" s="4">
        <f t="shared" si="237"/>
        <v>21.415796809801847</v>
      </c>
      <c r="W542" s="4">
        <f t="shared" si="222"/>
        <v>1299463.1928425417</v>
      </c>
      <c r="X542" s="4">
        <f t="shared" si="226"/>
        <v>-768.79490767023526</v>
      </c>
      <c r="Y542" s="9">
        <f>SUM($X$6:X542)</f>
        <v>299463.19284254173</v>
      </c>
      <c r="Z542" s="16">
        <f t="shared" si="227"/>
        <v>0.29946319284254175</v>
      </c>
      <c r="AA542" s="16">
        <f t="shared" si="223"/>
        <v>0.4378729268789251</v>
      </c>
      <c r="AB542" s="16">
        <f t="shared" si="224"/>
        <v>-5.912751839004354E-4</v>
      </c>
      <c r="AC542" s="16">
        <f t="shared" si="225"/>
        <v>-1.918707671569412E-3</v>
      </c>
    </row>
    <row r="543" spans="1:29" x14ac:dyDescent="0.15">
      <c r="A543" s="8">
        <v>41694</v>
      </c>
      <c r="B543" s="4">
        <v>1847.61</v>
      </c>
      <c r="C543" s="1">
        <v>12.5883</v>
      </c>
      <c r="D543" s="1">
        <v>2.08</v>
      </c>
      <c r="E543" s="1">
        <v>0.23180000000000001</v>
      </c>
      <c r="F543" s="4">
        <f t="shared" si="215"/>
        <v>0.12588299999999999</v>
      </c>
      <c r="G543" s="4">
        <f t="shared" si="216"/>
        <v>2.0799999999999999E-2</v>
      </c>
      <c r="H543" s="4">
        <f t="shared" si="217"/>
        <v>2.3180000000000002E-3</v>
      </c>
      <c r="I543" s="3">
        <f t="shared" si="218"/>
        <v>50.557652540070343</v>
      </c>
      <c r="J543" s="4">
        <f t="shared" si="228"/>
        <v>1327124.9296396733</v>
      </c>
      <c r="K543" s="1">
        <f t="shared" si="229"/>
        <v>1842.37</v>
      </c>
      <c r="L543" s="5">
        <f t="shared" si="230"/>
        <v>0.12602739726027423</v>
      </c>
      <c r="M543" s="5">
        <f t="shared" si="231"/>
        <v>-0.4852539755512843</v>
      </c>
      <c r="N543" s="5">
        <f t="shared" si="232"/>
        <v>32.373906773100586</v>
      </c>
      <c r="O543" s="1">
        <f t="shared" si="233"/>
        <v>0</v>
      </c>
      <c r="P543" s="1">
        <f t="shared" si="234"/>
        <v>1842.37</v>
      </c>
      <c r="Q543" s="5">
        <f t="shared" si="235"/>
        <v>0.12602739726027423</v>
      </c>
      <c r="R543" s="5">
        <f t="shared" si="236"/>
        <v>-0.4852539755512843</v>
      </c>
      <c r="S543" s="5">
        <f t="shared" si="219"/>
        <v>32.373906773100586</v>
      </c>
      <c r="T543" s="5">
        <f t="shared" si="220"/>
        <v>-701.89844864929194</v>
      </c>
      <c r="U543" s="4">
        <f t="shared" si="221"/>
        <v>1327146.3454364832</v>
      </c>
      <c r="V543" s="4">
        <f t="shared" si="237"/>
        <v>64.248427188664806</v>
      </c>
      <c r="W543" s="4">
        <f t="shared" si="222"/>
        <v>1304423.1504957271</v>
      </c>
      <c r="X543" s="4">
        <f t="shared" si="226"/>
        <v>4959.9576531853527</v>
      </c>
      <c r="Y543" s="9">
        <f>SUM($X$6:X543)</f>
        <v>304423.15049572708</v>
      </c>
      <c r="Z543" s="16">
        <f t="shared" si="227"/>
        <v>0.3044231504957271</v>
      </c>
      <c r="AA543" s="16">
        <f t="shared" si="223"/>
        <v>0.4467683585735987</v>
      </c>
      <c r="AB543" s="16">
        <f t="shared" si="224"/>
        <v>3.8169281596468884E-3</v>
      </c>
      <c r="AC543" s="16">
        <f t="shared" si="225"/>
        <v>6.1865214431585571E-3</v>
      </c>
    </row>
    <row r="544" spans="1:29" x14ac:dyDescent="0.15">
      <c r="A544" s="8">
        <v>41695</v>
      </c>
      <c r="B544" s="4">
        <v>1845.12</v>
      </c>
      <c r="C544" s="1">
        <v>12.5686</v>
      </c>
      <c r="D544" s="1">
        <v>2.09</v>
      </c>
      <c r="E544" s="1">
        <v>0.23100000000000001</v>
      </c>
      <c r="F544" s="4">
        <f t="shared" si="215"/>
        <v>0.12568599999999999</v>
      </c>
      <c r="G544" s="4">
        <f t="shared" si="216"/>
        <v>2.0899999999999998E-2</v>
      </c>
      <c r="H544" s="4">
        <f t="shared" si="217"/>
        <v>2.31E-3</v>
      </c>
      <c r="I544" s="3">
        <f t="shared" si="218"/>
        <v>50.443194118816791</v>
      </c>
      <c r="J544" s="4">
        <f t="shared" si="228"/>
        <v>1327146.3454364832</v>
      </c>
      <c r="K544" s="1">
        <f t="shared" si="229"/>
        <v>1842.37</v>
      </c>
      <c r="L544" s="5">
        <f t="shared" si="230"/>
        <v>0.12328767123287697</v>
      </c>
      <c r="M544" s="5">
        <f t="shared" si="231"/>
        <v>-0.4971498424019134</v>
      </c>
      <c r="N544" s="5">
        <f t="shared" si="232"/>
        <v>33.1537664229987</v>
      </c>
      <c r="O544" s="1">
        <f t="shared" si="233"/>
        <v>0</v>
      </c>
      <c r="P544" s="1">
        <f t="shared" si="234"/>
        <v>1842.37</v>
      </c>
      <c r="Q544" s="5">
        <f t="shared" si="235"/>
        <v>0.12328767123287697</v>
      </c>
      <c r="R544" s="5">
        <f t="shared" si="236"/>
        <v>-0.4971498424019134</v>
      </c>
      <c r="S544" s="5">
        <f t="shared" si="219"/>
        <v>33.1537664229987</v>
      </c>
      <c r="T544" s="5">
        <f t="shared" si="220"/>
        <v>-701.89844864929194</v>
      </c>
      <c r="U544" s="4">
        <f t="shared" si="221"/>
        <v>1327210.5938636719</v>
      </c>
      <c r="V544" s="4">
        <f t="shared" si="237"/>
        <v>21.417179172211032</v>
      </c>
      <c r="W544" s="4">
        <f t="shared" si="222"/>
        <v>1303940.0166444881</v>
      </c>
      <c r="X544" s="4">
        <f t="shared" si="226"/>
        <v>-483.13385123899207</v>
      </c>
      <c r="Y544" s="9">
        <f>SUM($X$6:X544)</f>
        <v>303940.01664448809</v>
      </c>
      <c r="Z544" s="16">
        <f t="shared" si="227"/>
        <v>0.30394001664448811</v>
      </c>
      <c r="AA544" s="16">
        <f t="shared" si="223"/>
        <v>0.4448185676475655</v>
      </c>
      <c r="AB544" s="16">
        <f t="shared" si="224"/>
        <v>-3.7038123024371659E-4</v>
      </c>
      <c r="AC544" s="16">
        <f t="shared" si="225"/>
        <v>-1.347687011869393E-3</v>
      </c>
    </row>
    <row r="545" spans="1:29" x14ac:dyDescent="0.15">
      <c r="A545" s="8">
        <v>41696</v>
      </c>
      <c r="B545" s="4">
        <v>1845.16</v>
      </c>
      <c r="C545" s="1">
        <v>12.8691</v>
      </c>
      <c r="D545" s="1">
        <v>2.09</v>
      </c>
      <c r="E545" s="1">
        <v>0.23080000000000001</v>
      </c>
      <c r="F545" s="4">
        <f t="shared" si="215"/>
        <v>0.128691</v>
      </c>
      <c r="G545" s="4">
        <f t="shared" si="216"/>
        <v>2.0899999999999998E-2</v>
      </c>
      <c r="H545" s="4">
        <f t="shared" si="217"/>
        <v>2.3080000000000002E-3</v>
      </c>
      <c r="I545" s="3">
        <f t="shared" si="218"/>
        <v>51.542604296182716</v>
      </c>
      <c r="J545" s="4">
        <f t="shared" si="228"/>
        <v>1327210.5938636719</v>
      </c>
      <c r="K545" s="1">
        <f t="shared" si="229"/>
        <v>1842.37</v>
      </c>
      <c r="L545" s="5">
        <f t="shared" si="230"/>
        <v>0.12054794520547971</v>
      </c>
      <c r="M545" s="5">
        <f t="shared" si="231"/>
        <v>-0.49633543855198325</v>
      </c>
      <c r="N545" s="5">
        <f t="shared" si="232"/>
        <v>33.491648723733356</v>
      </c>
      <c r="O545" s="1">
        <f t="shared" si="233"/>
        <v>0</v>
      </c>
      <c r="P545" s="1">
        <f t="shared" si="234"/>
        <v>1842.37</v>
      </c>
      <c r="Q545" s="5">
        <f t="shared" si="235"/>
        <v>0.12054794520547971</v>
      </c>
      <c r="R545" s="5">
        <f t="shared" si="236"/>
        <v>-0.49633543855198325</v>
      </c>
      <c r="S545" s="5">
        <f t="shared" si="219"/>
        <v>33.491648723733356</v>
      </c>
      <c r="T545" s="5">
        <f t="shared" si="220"/>
        <v>-701.89844864929194</v>
      </c>
      <c r="U545" s="4">
        <f t="shared" si="221"/>
        <v>1327232.011042844</v>
      </c>
      <c r="V545" s="4">
        <f t="shared" si="237"/>
        <v>21.417524780937946</v>
      </c>
      <c r="W545" s="4">
        <f t="shared" si="222"/>
        <v>1303724.2747609485</v>
      </c>
      <c r="X545" s="4">
        <f t="shared" si="226"/>
        <v>-215.74188353959471</v>
      </c>
      <c r="Y545" s="9">
        <f>SUM($X$6:X545)</f>
        <v>303724.27476094849</v>
      </c>
      <c r="Z545" s="16">
        <f t="shared" si="227"/>
        <v>0.30372427476094849</v>
      </c>
      <c r="AA545" s="16">
        <f t="shared" si="223"/>
        <v>0.44484988959015248</v>
      </c>
      <c r="AB545" s="16">
        <f t="shared" si="224"/>
        <v>-1.654538405031675E-4</v>
      </c>
      <c r="AC545" s="16">
        <f t="shared" si="225"/>
        <v>2.1678806798577326E-5</v>
      </c>
    </row>
    <row r="546" spans="1:29" x14ac:dyDescent="0.15">
      <c r="A546" s="8">
        <v>41697</v>
      </c>
      <c r="B546" s="4">
        <v>1854.29</v>
      </c>
      <c r="C546" s="1">
        <v>12.49</v>
      </c>
      <c r="D546" s="1">
        <v>2.09</v>
      </c>
      <c r="E546" s="1">
        <v>0.24129999999999999</v>
      </c>
      <c r="F546" s="4">
        <f t="shared" si="215"/>
        <v>0.1249</v>
      </c>
      <c r="G546" s="4">
        <f t="shared" si="216"/>
        <v>2.0899999999999998E-2</v>
      </c>
      <c r="H546" s="4">
        <f t="shared" si="217"/>
        <v>2.4129999999999998E-3</v>
      </c>
      <c r="I546" s="3">
        <f t="shared" si="218"/>
        <v>50.379548409499705</v>
      </c>
      <c r="J546" s="4">
        <f t="shared" si="228"/>
        <v>1327232.011042844</v>
      </c>
      <c r="K546" s="1">
        <f t="shared" si="229"/>
        <v>1842.37</v>
      </c>
      <c r="L546" s="5">
        <f t="shared" si="230"/>
        <v>0.11780821917808244</v>
      </c>
      <c r="M546" s="5">
        <f t="shared" si="231"/>
        <v>-0.45070818297536641</v>
      </c>
      <c r="N546" s="5">
        <f t="shared" si="232"/>
        <v>27.77990861878521</v>
      </c>
      <c r="O546" s="1">
        <f t="shared" si="233"/>
        <v>0</v>
      </c>
      <c r="P546" s="1">
        <f t="shared" si="234"/>
        <v>1842.37</v>
      </c>
      <c r="Q546" s="5">
        <f t="shared" si="235"/>
        <v>0.11780821917808244</v>
      </c>
      <c r="R546" s="5">
        <f t="shared" si="236"/>
        <v>-0.45070818297536641</v>
      </c>
      <c r="S546" s="5">
        <f t="shared" si="219"/>
        <v>27.77990861878521</v>
      </c>
      <c r="T546" s="5">
        <f t="shared" si="220"/>
        <v>-701.89844864929194</v>
      </c>
      <c r="U546" s="4">
        <f t="shared" si="221"/>
        <v>1327253.4285676249</v>
      </c>
      <c r="V546" s="4">
        <f t="shared" si="237"/>
        <v>21.417870395241945</v>
      </c>
      <c r="W546" s="4">
        <f t="shared" si="222"/>
        <v>1307754.7538044804</v>
      </c>
      <c r="X546" s="4">
        <f t="shared" si="226"/>
        <v>4030.4790435319301</v>
      </c>
      <c r="Y546" s="9">
        <f>SUM($X$6:X546)</f>
        <v>307754.75380448042</v>
      </c>
      <c r="Z546" s="16">
        <f t="shared" si="227"/>
        <v>0.30775475380448042</v>
      </c>
      <c r="AA546" s="16">
        <f t="shared" si="223"/>
        <v>0.45199912298560763</v>
      </c>
      <c r="AB546" s="16">
        <f t="shared" si="224"/>
        <v>3.0915118492144057E-3</v>
      </c>
      <c r="AC546" s="16">
        <f t="shared" si="225"/>
        <v>4.9480803832729313E-3</v>
      </c>
    </row>
    <row r="547" spans="1:29" x14ac:dyDescent="0.15">
      <c r="A547" s="8">
        <v>41698</v>
      </c>
      <c r="B547" s="4">
        <v>1859.45</v>
      </c>
      <c r="C547" s="1">
        <v>12.4955</v>
      </c>
      <c r="D547" s="1">
        <v>2.08</v>
      </c>
      <c r="E547" s="1">
        <v>0.2409</v>
      </c>
      <c r="F547" s="4">
        <f t="shared" si="215"/>
        <v>0.124955</v>
      </c>
      <c r="G547" s="4">
        <f t="shared" si="216"/>
        <v>2.0799999999999999E-2</v>
      </c>
      <c r="H547" s="4">
        <f t="shared" si="217"/>
        <v>2.4090000000000001E-3</v>
      </c>
      <c r="I547" s="3">
        <f t="shared" si="218"/>
        <v>50.517152274231506</v>
      </c>
      <c r="J547" s="4">
        <f t="shared" si="228"/>
        <v>1327253.4285676249</v>
      </c>
      <c r="K547" s="1">
        <f t="shared" si="229"/>
        <v>1842.37</v>
      </c>
      <c r="L547" s="5">
        <f t="shared" si="230"/>
        <v>0.11506849315068518</v>
      </c>
      <c r="M547" s="5">
        <f t="shared" si="231"/>
        <v>-0.42404015995494776</v>
      </c>
      <c r="N547" s="5">
        <f t="shared" si="232"/>
        <v>25.12059391185117</v>
      </c>
      <c r="O547" s="1">
        <f t="shared" si="233"/>
        <v>0</v>
      </c>
      <c r="P547" s="1">
        <f t="shared" si="234"/>
        <v>1842.37</v>
      </c>
      <c r="Q547" s="5">
        <f t="shared" si="235"/>
        <v>0.11506849315068518</v>
      </c>
      <c r="R547" s="5">
        <f t="shared" si="236"/>
        <v>-0.42404015995494776</v>
      </c>
      <c r="S547" s="5">
        <f t="shared" si="219"/>
        <v>25.12059391185117</v>
      </c>
      <c r="T547" s="5">
        <f t="shared" si="220"/>
        <v>-701.89844864929194</v>
      </c>
      <c r="U547" s="4">
        <f t="shared" si="221"/>
        <v>1327274.8464380202</v>
      </c>
      <c r="V547" s="4">
        <f t="shared" si="237"/>
        <v>21.418216015123122</v>
      </c>
      <c r="W547" s="4">
        <f t="shared" si="222"/>
        <v>1309642.7405421431</v>
      </c>
      <c r="X547" s="4">
        <f t="shared" si="226"/>
        <v>1887.9867376626935</v>
      </c>
      <c r="Y547" s="9">
        <f>SUM($X$6:X547)</f>
        <v>309642.74054214312</v>
      </c>
      <c r="Z547" s="16">
        <f t="shared" si="227"/>
        <v>0.30964274054214314</v>
      </c>
      <c r="AA547" s="16">
        <f t="shared" si="223"/>
        <v>0.45603965357931509</v>
      </c>
      <c r="AB547" s="16">
        <f t="shared" si="224"/>
        <v>1.4436856239063325E-3</v>
      </c>
      <c r="AC547" s="16">
        <f t="shared" si="225"/>
        <v>2.7827362494540131E-3</v>
      </c>
    </row>
    <row r="548" spans="1:29" x14ac:dyDescent="0.15">
      <c r="A548" s="8">
        <v>41701</v>
      </c>
      <c r="B548" s="4">
        <v>1845.73</v>
      </c>
      <c r="C548" s="1">
        <v>13.646100000000001</v>
      </c>
      <c r="D548" s="1">
        <v>2.1</v>
      </c>
      <c r="E548" s="1">
        <v>0.2409</v>
      </c>
      <c r="F548" s="4">
        <f t="shared" si="215"/>
        <v>0.136461</v>
      </c>
      <c r="G548" s="4">
        <f t="shared" si="216"/>
        <v>2.1000000000000001E-2</v>
      </c>
      <c r="H548" s="4">
        <f t="shared" si="217"/>
        <v>2.4090000000000001E-3</v>
      </c>
      <c r="I548" s="3">
        <f t="shared" si="218"/>
        <v>54.396890248087125</v>
      </c>
      <c r="J548" s="4">
        <f t="shared" si="228"/>
        <v>1327274.8464380202</v>
      </c>
      <c r="K548" s="1">
        <f t="shared" si="229"/>
        <v>1842.37</v>
      </c>
      <c r="L548" s="5">
        <f t="shared" si="230"/>
        <v>0.10684931506849341</v>
      </c>
      <c r="M548" s="5">
        <f t="shared" si="231"/>
        <v>-0.49146875241651983</v>
      </c>
      <c r="N548" s="5">
        <f t="shared" si="232"/>
        <v>32.923192005332247</v>
      </c>
      <c r="O548" s="1">
        <f t="shared" si="233"/>
        <v>0</v>
      </c>
      <c r="P548" s="1">
        <f t="shared" si="234"/>
        <v>1842.37</v>
      </c>
      <c r="Q548" s="5">
        <f t="shared" si="235"/>
        <v>0.10684931506849341</v>
      </c>
      <c r="R548" s="5">
        <f t="shared" si="236"/>
        <v>-0.49146875241651983</v>
      </c>
      <c r="S548" s="5">
        <f t="shared" si="219"/>
        <v>32.923192005332247</v>
      </c>
      <c r="T548" s="5">
        <f t="shared" si="220"/>
        <v>-701.89844864929194</v>
      </c>
      <c r="U548" s="4">
        <f t="shared" si="221"/>
        <v>1327296.2646540354</v>
      </c>
      <c r="V548" s="4">
        <f t="shared" si="237"/>
        <v>64.255684921744674</v>
      </c>
      <c r="W548" s="4">
        <f t="shared" si="222"/>
        <v>1304187.52726091</v>
      </c>
      <c r="X548" s="4">
        <f t="shared" si="226"/>
        <v>-5455.2132812330965</v>
      </c>
      <c r="Y548" s="9">
        <f>SUM($X$6:X548)</f>
        <v>304187.52726091002</v>
      </c>
      <c r="Z548" s="16">
        <f t="shared" si="227"/>
        <v>0.30418752726091003</v>
      </c>
      <c r="AA548" s="16">
        <f t="shared" si="223"/>
        <v>0.44529622727201551</v>
      </c>
      <c r="AB548" s="16">
        <f t="shared" si="224"/>
        <v>-4.1654209292030604E-3</v>
      </c>
      <c r="AC548" s="16">
        <f t="shared" si="225"/>
        <v>-7.3785259081986755E-3</v>
      </c>
    </row>
    <row r="549" spans="1:29" x14ac:dyDescent="0.15">
      <c r="A549" s="8">
        <v>41702</v>
      </c>
      <c r="B549" s="4">
        <v>1873.91</v>
      </c>
      <c r="C549" s="1">
        <v>12.644</v>
      </c>
      <c r="D549" s="1">
        <v>2.0699999999999998</v>
      </c>
      <c r="E549" s="1">
        <v>0.24060000000000001</v>
      </c>
      <c r="F549" s="4">
        <f t="shared" si="215"/>
        <v>0.12644</v>
      </c>
      <c r="G549" s="4">
        <f t="shared" si="216"/>
        <v>2.07E-2</v>
      </c>
      <c r="H549" s="4">
        <f t="shared" si="217"/>
        <v>2.4060000000000002E-3</v>
      </c>
      <c r="I549" s="3">
        <f t="shared" si="218"/>
        <v>51.437733047078659</v>
      </c>
      <c r="J549" s="4">
        <f t="shared" si="228"/>
        <v>1327296.2646540354</v>
      </c>
      <c r="K549" s="1">
        <f t="shared" si="229"/>
        <v>1842.37</v>
      </c>
      <c r="L549" s="5">
        <f t="shared" si="230"/>
        <v>0.10410958904109614</v>
      </c>
      <c r="M549" s="5">
        <f t="shared" si="231"/>
        <v>-0.34759898798634586</v>
      </c>
      <c r="N549" s="5">
        <f t="shared" si="232"/>
        <v>18.257304421115894</v>
      </c>
      <c r="O549" s="1">
        <f t="shared" si="233"/>
        <v>0</v>
      </c>
      <c r="P549" s="1">
        <f t="shared" si="234"/>
        <v>1842.37</v>
      </c>
      <c r="Q549" s="5">
        <f t="shared" si="235"/>
        <v>0.10410958904109614</v>
      </c>
      <c r="R549" s="5">
        <f t="shared" si="236"/>
        <v>-0.34759898798634586</v>
      </c>
      <c r="S549" s="5">
        <f t="shared" si="219"/>
        <v>18.257304421115894</v>
      </c>
      <c r="T549" s="5">
        <f t="shared" si="220"/>
        <v>-701.89844864929194</v>
      </c>
      <c r="U549" s="4">
        <f t="shared" si="221"/>
        <v>1327360.5203389572</v>
      </c>
      <c r="V549" s="4">
        <f t="shared" si="237"/>
        <v>21.419598533688923</v>
      </c>
      <c r="W549" s="4">
        <f t="shared" si="222"/>
        <v>1314545.7466892581</v>
      </c>
      <c r="X549" s="4">
        <f t="shared" si="226"/>
        <v>10358.219428348122</v>
      </c>
      <c r="Y549" s="9">
        <f>SUM($X$6:X549)</f>
        <v>314545.74668925814</v>
      </c>
      <c r="Z549" s="16">
        <f t="shared" si="227"/>
        <v>0.31454574668925817</v>
      </c>
      <c r="AA549" s="16">
        <f t="shared" si="223"/>
        <v>0.46736253582447196</v>
      </c>
      <c r="AB549" s="16">
        <f t="shared" si="224"/>
        <v>7.9422776340322271E-3</v>
      </c>
      <c r="AC549" s="16">
        <f t="shared" si="225"/>
        <v>1.5267671869666778E-2</v>
      </c>
    </row>
    <row r="550" spans="1:29" x14ac:dyDescent="0.15">
      <c r="A550" s="8">
        <v>41703</v>
      </c>
      <c r="B550" s="4">
        <v>1873.81</v>
      </c>
      <c r="C550" s="1">
        <v>12.687799999999999</v>
      </c>
      <c r="D550" s="1">
        <v>2.0699999999999998</v>
      </c>
      <c r="E550" s="1">
        <v>0.23949999999999999</v>
      </c>
      <c r="F550" s="4">
        <f t="shared" si="215"/>
        <v>0.12687799999999999</v>
      </c>
      <c r="G550" s="4">
        <f t="shared" si="216"/>
        <v>2.07E-2</v>
      </c>
      <c r="H550" s="4">
        <f t="shared" si="217"/>
        <v>2.395E-3</v>
      </c>
      <c r="I550" s="3">
        <f t="shared" si="218"/>
        <v>51.600280485910829</v>
      </c>
      <c r="J550" s="4">
        <f t="shared" si="228"/>
        <v>1327360.5203389572</v>
      </c>
      <c r="K550" s="1">
        <f t="shared" si="229"/>
        <v>1842.37</v>
      </c>
      <c r="L550" s="5">
        <f t="shared" si="230"/>
        <v>0.10136986301369888</v>
      </c>
      <c r="M550" s="5">
        <f t="shared" si="231"/>
        <v>-0.34638057440732678</v>
      </c>
      <c r="N550" s="5">
        <f t="shared" si="232"/>
        <v>17.983255271762719</v>
      </c>
      <c r="O550" s="1">
        <f t="shared" si="233"/>
        <v>0</v>
      </c>
      <c r="P550" s="1">
        <f t="shared" si="234"/>
        <v>1842.37</v>
      </c>
      <c r="Q550" s="5">
        <f t="shared" si="235"/>
        <v>0.10136986301369888</v>
      </c>
      <c r="R550" s="5">
        <f t="shared" si="236"/>
        <v>-0.34638057440732678</v>
      </c>
      <c r="S550" s="5">
        <f t="shared" si="219"/>
        <v>17.983255271762719</v>
      </c>
      <c r="T550" s="5">
        <f t="shared" si="220"/>
        <v>-701.89844864929194</v>
      </c>
      <c r="U550" s="4">
        <f t="shared" si="221"/>
        <v>1327381.939937491</v>
      </c>
      <c r="V550" s="4">
        <f t="shared" si="237"/>
        <v>21.419944181457044</v>
      </c>
      <c r="W550" s="4">
        <f t="shared" si="222"/>
        <v>1314759.5209605766</v>
      </c>
      <c r="X550" s="4">
        <f t="shared" si="226"/>
        <v>213.77427131845616</v>
      </c>
      <c r="Y550" s="9">
        <f>SUM($X$6:X550)</f>
        <v>314759.5209605766</v>
      </c>
      <c r="Z550" s="16">
        <f t="shared" si="227"/>
        <v>0.31475952096057658</v>
      </c>
      <c r="AA550" s="16">
        <f t="shared" si="223"/>
        <v>0.46728423096800464</v>
      </c>
      <c r="AB550" s="16">
        <f t="shared" si="224"/>
        <v>1.6262216195735764E-4</v>
      </c>
      <c r="AC550" s="16">
        <f t="shared" si="225"/>
        <v>-5.336435581225161E-5</v>
      </c>
    </row>
    <row r="551" spans="1:29" x14ac:dyDescent="0.15">
      <c r="A551" s="8">
        <v>41704</v>
      </c>
      <c r="B551" s="4">
        <v>1877.03</v>
      </c>
      <c r="C551" s="1">
        <v>12.799099999999999</v>
      </c>
      <c r="D551" s="1">
        <v>2.06</v>
      </c>
      <c r="E551" s="1">
        <v>0.24030000000000001</v>
      </c>
      <c r="F551" s="4">
        <f t="shared" si="215"/>
        <v>0.12799099999999999</v>
      </c>
      <c r="G551" s="4">
        <f t="shared" si="216"/>
        <v>2.06E-2</v>
      </c>
      <c r="H551" s="4">
        <f t="shared" si="217"/>
        <v>2.4030000000000002E-3</v>
      </c>
      <c r="I551" s="3">
        <f t="shared" si="218"/>
        <v>52.07659903637839</v>
      </c>
      <c r="J551" s="4">
        <f t="shared" si="228"/>
        <v>1327381.939937491</v>
      </c>
      <c r="K551" s="1">
        <f t="shared" si="229"/>
        <v>1842.37</v>
      </c>
      <c r="L551" s="5">
        <f t="shared" si="230"/>
        <v>9.8630136986301617E-2</v>
      </c>
      <c r="M551" s="5">
        <f t="shared" si="231"/>
        <v>-0.32961581499830661</v>
      </c>
      <c r="N551" s="5">
        <f t="shared" si="232"/>
        <v>16.719511924466751</v>
      </c>
      <c r="O551" s="1">
        <f t="shared" si="233"/>
        <v>0</v>
      </c>
      <c r="P551" s="1">
        <f t="shared" si="234"/>
        <v>1842.37</v>
      </c>
      <c r="Q551" s="5">
        <f t="shared" si="235"/>
        <v>9.8630136986301617E-2</v>
      </c>
      <c r="R551" s="5">
        <f t="shared" si="236"/>
        <v>-0.32961581499830661</v>
      </c>
      <c r="S551" s="5">
        <f t="shared" si="219"/>
        <v>16.719511924466751</v>
      </c>
      <c r="T551" s="5">
        <f t="shared" si="220"/>
        <v>-701.89844864929194</v>
      </c>
      <c r="U551" s="4">
        <f t="shared" si="221"/>
        <v>1327403.3598816725</v>
      </c>
      <c r="V551" s="4">
        <f t="shared" si="237"/>
        <v>21.42028983480288</v>
      </c>
      <c r="W551" s="4">
        <f t="shared" si="222"/>
        <v>1315667.9603997159</v>
      </c>
      <c r="X551" s="4">
        <f t="shared" si="226"/>
        <v>908.4394391393289</v>
      </c>
      <c r="Y551" s="9">
        <f>SUM($X$6:X551)</f>
        <v>315667.96039971593</v>
      </c>
      <c r="Z551" s="16">
        <f t="shared" si="227"/>
        <v>0.31566796039971595</v>
      </c>
      <c r="AA551" s="16">
        <f t="shared" si="223"/>
        <v>0.46980564734624847</v>
      </c>
      <c r="AB551" s="16">
        <f t="shared" si="224"/>
        <v>6.9095482835949637E-4</v>
      </c>
      <c r="AC551" s="16">
        <f t="shared" si="225"/>
        <v>1.7184239597397961E-3</v>
      </c>
    </row>
    <row r="552" spans="1:29" x14ac:dyDescent="0.15">
      <c r="A552" s="8">
        <v>41705</v>
      </c>
      <c r="B552" s="4">
        <v>1878.04</v>
      </c>
      <c r="C552" s="1">
        <v>12.771100000000001</v>
      </c>
      <c r="D552" s="1">
        <v>2.06</v>
      </c>
      <c r="E552" s="1">
        <v>0.2409</v>
      </c>
      <c r="F552" s="4">
        <f t="shared" si="215"/>
        <v>0.12771100000000002</v>
      </c>
      <c r="G552" s="4">
        <f t="shared" si="216"/>
        <v>2.06E-2</v>
      </c>
      <c r="H552" s="4">
        <f t="shared" si="217"/>
        <v>2.4090000000000001E-3</v>
      </c>
      <c r="I552" s="3">
        <f t="shared" si="218"/>
        <v>51.998969684172103</v>
      </c>
      <c r="J552" s="4">
        <f t="shared" si="228"/>
        <v>1327403.3598816725</v>
      </c>
      <c r="K552" s="1">
        <f t="shared" si="229"/>
        <v>1842.37</v>
      </c>
      <c r="L552" s="5">
        <f t="shared" si="230"/>
        <v>9.5890410958904354E-2</v>
      </c>
      <c r="M552" s="5">
        <f t="shared" si="231"/>
        <v>-0.32192354853297334</v>
      </c>
      <c r="N552" s="5">
        <f t="shared" si="232"/>
        <v>15.921310432519514</v>
      </c>
      <c r="O552" s="1">
        <f t="shared" si="233"/>
        <v>0</v>
      </c>
      <c r="P552" s="1">
        <f t="shared" si="234"/>
        <v>1842.37</v>
      </c>
      <c r="Q552" s="5">
        <f t="shared" si="235"/>
        <v>9.5890410958904354E-2</v>
      </c>
      <c r="R552" s="5">
        <f t="shared" si="236"/>
        <v>-0.32192354853297334</v>
      </c>
      <c r="S552" s="5">
        <f t="shared" si="219"/>
        <v>15.921310432519514</v>
      </c>
      <c r="T552" s="5">
        <f t="shared" si="220"/>
        <v>-701.89844864929194</v>
      </c>
      <c r="U552" s="4">
        <f t="shared" si="221"/>
        <v>1327424.7801715073</v>
      </c>
      <c r="V552" s="4">
        <f t="shared" si="237"/>
        <v>21.420635493726515</v>
      </c>
      <c r="W552" s="4">
        <f t="shared" si="222"/>
        <v>1316249.637078458</v>
      </c>
      <c r="X552" s="4">
        <f t="shared" si="226"/>
        <v>581.67667874204926</v>
      </c>
      <c r="Y552" s="9">
        <f>SUM($X$6:X552)</f>
        <v>316249.63707845798</v>
      </c>
      <c r="Z552" s="16">
        <f t="shared" si="227"/>
        <v>0.31624963707845799</v>
      </c>
      <c r="AA552" s="16">
        <f t="shared" si="223"/>
        <v>0.47059652639656713</v>
      </c>
      <c r="AB552" s="16">
        <f t="shared" si="224"/>
        <v>4.4211510521646269E-4</v>
      </c>
      <c r="AC552" s="16">
        <f t="shared" si="225"/>
        <v>5.3808410094670356E-4</v>
      </c>
    </row>
    <row r="553" spans="1:29" x14ac:dyDescent="0.15">
      <c r="A553" s="8">
        <v>41708</v>
      </c>
      <c r="B553" s="4">
        <v>1877.17</v>
      </c>
      <c r="C553" s="1">
        <v>12.8391</v>
      </c>
      <c r="D553" s="1">
        <v>2.0699999999999998</v>
      </c>
      <c r="E553" s="1">
        <v>0.23960000000000001</v>
      </c>
      <c r="F553" s="4">
        <f t="shared" si="215"/>
        <v>0.12839100000000001</v>
      </c>
      <c r="G553" s="4">
        <f t="shared" si="216"/>
        <v>2.07E-2</v>
      </c>
      <c r="H553" s="4">
        <f t="shared" si="217"/>
        <v>2.3960000000000001E-3</v>
      </c>
      <c r="I553" s="3">
        <f t="shared" si="218"/>
        <v>52.254950146050071</v>
      </c>
      <c r="J553" s="4">
        <f t="shared" si="228"/>
        <v>1327424.7801715073</v>
      </c>
      <c r="K553" s="1">
        <f t="shared" si="229"/>
        <v>1842.37</v>
      </c>
      <c r="L553" s="5">
        <f t="shared" si="230"/>
        <v>8.7671232876712579E-2</v>
      </c>
      <c r="M553" s="5">
        <f t="shared" si="231"/>
        <v>-0.31894577956825587</v>
      </c>
      <c r="N553" s="5">
        <f t="shared" si="232"/>
        <v>15.088627967591831</v>
      </c>
      <c r="O553" s="1">
        <f t="shared" si="233"/>
        <v>0</v>
      </c>
      <c r="P553" s="1">
        <f t="shared" si="234"/>
        <v>1842.37</v>
      </c>
      <c r="Q553" s="5">
        <f t="shared" si="235"/>
        <v>8.7671232876712579E-2</v>
      </c>
      <c r="R553" s="5">
        <f t="shared" si="236"/>
        <v>-0.31894577956825587</v>
      </c>
      <c r="S553" s="5">
        <f t="shared" si="219"/>
        <v>15.088627967591831</v>
      </c>
      <c r="T553" s="5">
        <f t="shared" si="220"/>
        <v>-701.89844864929194</v>
      </c>
      <c r="U553" s="4">
        <f t="shared" si="221"/>
        <v>1327446.200807001</v>
      </c>
      <c r="V553" s="4">
        <f t="shared" si="237"/>
        <v>64.262943474684121</v>
      </c>
      <c r="W553" s="4">
        <f t="shared" si="222"/>
        <v>1316855.516244302</v>
      </c>
      <c r="X553" s="4">
        <f t="shared" si="226"/>
        <v>605.87916584406048</v>
      </c>
      <c r="Y553" s="9">
        <f>SUM($X$6:X553)</f>
        <v>316855.51624430204</v>
      </c>
      <c r="Z553" s="16">
        <f t="shared" si="227"/>
        <v>0.31685551624430203</v>
      </c>
      <c r="AA553" s="16">
        <f t="shared" si="223"/>
        <v>0.4699152741453026</v>
      </c>
      <c r="AB553" s="16">
        <f t="shared" si="224"/>
        <v>4.6030718548866406E-4</v>
      </c>
      <c r="AC553" s="16">
        <f t="shared" si="225"/>
        <v>-4.6324891908579736E-4</v>
      </c>
    </row>
    <row r="554" spans="1:29" x14ac:dyDescent="0.15">
      <c r="A554" s="8">
        <v>41709</v>
      </c>
      <c r="B554" s="4">
        <v>1867.63</v>
      </c>
      <c r="C554" s="1">
        <v>13.1769</v>
      </c>
      <c r="D554" s="1">
        <v>2.08</v>
      </c>
      <c r="E554" s="1">
        <v>0.23849999999999999</v>
      </c>
      <c r="F554" s="4">
        <f t="shared" si="215"/>
        <v>0.131769</v>
      </c>
      <c r="G554" s="4">
        <f t="shared" si="216"/>
        <v>2.0799999999999999E-2</v>
      </c>
      <c r="H554" s="4">
        <f t="shared" si="217"/>
        <v>2.385E-3</v>
      </c>
      <c r="I554" s="3">
        <f t="shared" si="218"/>
        <v>53.265339071537184</v>
      </c>
      <c r="J554" s="4">
        <f t="shared" si="228"/>
        <v>1327446.200807001</v>
      </c>
      <c r="K554" s="1">
        <f t="shared" si="229"/>
        <v>1842.37</v>
      </c>
      <c r="L554" s="5">
        <f t="shared" si="230"/>
        <v>8.4931506849315316E-2</v>
      </c>
      <c r="M554" s="5">
        <f t="shared" si="231"/>
        <v>-0.368884444174923</v>
      </c>
      <c r="N554" s="5">
        <f t="shared" si="232"/>
        <v>18.607174592585345</v>
      </c>
      <c r="O554" s="1">
        <f t="shared" si="233"/>
        <v>0</v>
      </c>
      <c r="P554" s="1">
        <f t="shared" si="234"/>
        <v>1842.37</v>
      </c>
      <c r="Q554" s="5">
        <f t="shared" si="235"/>
        <v>8.4931506849315316E-2</v>
      </c>
      <c r="R554" s="5">
        <f t="shared" si="236"/>
        <v>-0.368884444174923</v>
      </c>
      <c r="S554" s="5">
        <f t="shared" si="219"/>
        <v>18.607174592585345</v>
      </c>
      <c r="T554" s="5">
        <f t="shared" si="220"/>
        <v>-701.89844864929194</v>
      </c>
      <c r="U554" s="4">
        <f t="shared" si="221"/>
        <v>1327510.4637504756</v>
      </c>
      <c r="V554" s="4">
        <f t="shared" si="237"/>
        <v>21.422018168466575</v>
      </c>
      <c r="W554" s="4">
        <f t="shared" si="222"/>
        <v>1314450.1167701934</v>
      </c>
      <c r="X554" s="4">
        <f t="shared" si="226"/>
        <v>-2405.3994741085917</v>
      </c>
      <c r="Y554" s="9">
        <f>SUM($X$6:X554)</f>
        <v>314450.11677019345</v>
      </c>
      <c r="Z554" s="16">
        <f t="shared" si="227"/>
        <v>0.31445011677019347</v>
      </c>
      <c r="AA554" s="16">
        <f t="shared" si="223"/>
        <v>0.46244499083833196</v>
      </c>
      <c r="AB554" s="16">
        <f t="shared" si="224"/>
        <v>-1.8266236837954999E-3</v>
      </c>
      <c r="AC554" s="16">
        <f t="shared" si="225"/>
        <v>-5.0821182950931262E-3</v>
      </c>
    </row>
    <row r="555" spans="1:29" x14ac:dyDescent="0.15">
      <c r="A555" s="8">
        <v>41710</v>
      </c>
      <c r="B555" s="4">
        <v>1868.2</v>
      </c>
      <c r="C555" s="1">
        <v>13.0192</v>
      </c>
      <c r="D555" s="1">
        <v>2.08</v>
      </c>
      <c r="E555" s="1">
        <v>0.2392</v>
      </c>
      <c r="F555" s="4">
        <f t="shared" si="215"/>
        <v>0.130192</v>
      </c>
      <c r="G555" s="4">
        <f t="shared" si="216"/>
        <v>2.0799999999999999E-2</v>
      </c>
      <c r="H555" s="4">
        <f t="shared" si="217"/>
        <v>2.392E-3</v>
      </c>
      <c r="I555" s="3">
        <f t="shared" si="218"/>
        <v>52.696411893704436</v>
      </c>
      <c r="J555" s="4">
        <f t="shared" si="228"/>
        <v>1327510.4637504756</v>
      </c>
      <c r="K555" s="1">
        <f t="shared" si="229"/>
        <v>1842.37</v>
      </c>
      <c r="L555" s="5">
        <f t="shared" si="230"/>
        <v>8.2191780821918053E-2</v>
      </c>
      <c r="M555" s="5">
        <f t="shared" si="231"/>
        <v>-0.3621226442116543</v>
      </c>
      <c r="N555" s="5">
        <f t="shared" si="232"/>
        <v>17.608740681876363</v>
      </c>
      <c r="O555" s="1">
        <f t="shared" si="233"/>
        <v>0</v>
      </c>
      <c r="P555" s="1">
        <f t="shared" si="234"/>
        <v>1842.37</v>
      </c>
      <c r="Q555" s="5">
        <f t="shared" si="235"/>
        <v>8.2191780821918053E-2</v>
      </c>
      <c r="R555" s="5">
        <f t="shared" si="236"/>
        <v>-0.3621226442116543</v>
      </c>
      <c r="S555" s="5">
        <f t="shared" si="219"/>
        <v>17.608740681876363</v>
      </c>
      <c r="T555" s="5">
        <f t="shared" si="220"/>
        <v>-701.89844864929194</v>
      </c>
      <c r="U555" s="4">
        <f t="shared" si="221"/>
        <v>1327531.885768644</v>
      </c>
      <c r="V555" s="4">
        <f t="shared" si="237"/>
        <v>21.42236385528031</v>
      </c>
      <c r="W555" s="4">
        <f t="shared" si="222"/>
        <v>1315172.3380013674</v>
      </c>
      <c r="X555" s="4">
        <f t="shared" si="226"/>
        <v>722.22123117395677</v>
      </c>
      <c r="Y555" s="9">
        <f>SUM($X$6:X555)</f>
        <v>315172.3380013674</v>
      </c>
      <c r="Z555" s="16">
        <f t="shared" si="227"/>
        <v>0.3151723380013674</v>
      </c>
      <c r="AA555" s="16">
        <f t="shared" si="223"/>
        <v>0.46289132852019493</v>
      </c>
      <c r="AB555" s="16">
        <f t="shared" si="224"/>
        <v>5.4944742440935347E-4</v>
      </c>
      <c r="AC555" s="16">
        <f t="shared" si="225"/>
        <v>3.0519963804390393E-4</v>
      </c>
    </row>
    <row r="556" spans="1:29" x14ac:dyDescent="0.15">
      <c r="A556" s="8">
        <v>41711</v>
      </c>
      <c r="B556" s="4">
        <v>1846.34</v>
      </c>
      <c r="C556" s="1">
        <v>14.024699999999999</v>
      </c>
      <c r="D556" s="1">
        <v>2.1</v>
      </c>
      <c r="E556" s="1">
        <v>0.23849999999999999</v>
      </c>
      <c r="F556" s="4">
        <f t="shared" si="215"/>
        <v>0.14024699999999998</v>
      </c>
      <c r="G556" s="4">
        <f t="shared" si="216"/>
        <v>2.1000000000000001E-2</v>
      </c>
      <c r="H556" s="4">
        <f t="shared" si="217"/>
        <v>2.385E-3</v>
      </c>
      <c r="I556" s="3">
        <f t="shared" si="218"/>
        <v>55.805268556195081</v>
      </c>
      <c r="J556" s="4">
        <f t="shared" si="228"/>
        <v>1327531.885768644</v>
      </c>
      <c r="K556" s="1">
        <f t="shared" si="229"/>
        <v>1842.37</v>
      </c>
      <c r="L556" s="5">
        <f t="shared" si="230"/>
        <v>7.9452054794520791E-2</v>
      </c>
      <c r="M556" s="5">
        <f t="shared" si="231"/>
        <v>-0.48451188568494258</v>
      </c>
      <c r="N556" s="5">
        <f t="shared" si="232"/>
        <v>28.441897534743735</v>
      </c>
      <c r="O556" s="1">
        <f t="shared" si="233"/>
        <v>0</v>
      </c>
      <c r="P556" s="1">
        <f t="shared" si="234"/>
        <v>1842.37</v>
      </c>
      <c r="Q556" s="5">
        <f t="shared" si="235"/>
        <v>7.9452054794520791E-2</v>
      </c>
      <c r="R556" s="5">
        <f t="shared" si="236"/>
        <v>-0.48451188568494258</v>
      </c>
      <c r="S556" s="5">
        <f t="shared" si="219"/>
        <v>28.441897534743735</v>
      </c>
      <c r="T556" s="5">
        <f t="shared" si="220"/>
        <v>-701.89844864929194</v>
      </c>
      <c r="U556" s="4">
        <f t="shared" si="221"/>
        <v>1327553.3081324992</v>
      </c>
      <c r="V556" s="4">
        <f t="shared" si="237"/>
        <v>21.422709547672383</v>
      </c>
      <c r="W556" s="4">
        <f t="shared" si="222"/>
        <v>1307589.9843762205</v>
      </c>
      <c r="X556" s="4">
        <f t="shared" si="226"/>
        <v>-7582.353625146905</v>
      </c>
      <c r="Y556" s="9">
        <f>SUM($X$6:X556)</f>
        <v>307589.9843762205</v>
      </c>
      <c r="Z556" s="16">
        <f t="shared" si="227"/>
        <v>0.30758998437622048</v>
      </c>
      <c r="AA556" s="16">
        <f t="shared" si="223"/>
        <v>0.4457738868964653</v>
      </c>
      <c r="AB556" s="16">
        <f t="shared" si="224"/>
        <v>-5.7652928107274574E-3</v>
      </c>
      <c r="AC556" s="16">
        <f t="shared" si="225"/>
        <v>-1.1701102665667555E-2</v>
      </c>
    </row>
    <row r="557" spans="1:29" x14ac:dyDescent="0.15">
      <c r="A557" s="8">
        <v>41712</v>
      </c>
      <c r="B557" s="4">
        <v>1841.13</v>
      </c>
      <c r="C557" s="1">
        <v>14.5794</v>
      </c>
      <c r="D557" s="1">
        <v>2.11</v>
      </c>
      <c r="E557" s="1">
        <v>0.24010000000000001</v>
      </c>
      <c r="F557" s="4">
        <f t="shared" si="215"/>
        <v>0.14579400000000001</v>
      </c>
      <c r="G557" s="4">
        <f t="shared" si="216"/>
        <v>2.1099999999999997E-2</v>
      </c>
      <c r="H557" s="4">
        <f t="shared" si="217"/>
        <v>2.4009999999999999E-3</v>
      </c>
      <c r="I557" s="3">
        <f t="shared" si="218"/>
        <v>57.690029401221558</v>
      </c>
      <c r="J557" s="4">
        <f t="shared" si="228"/>
        <v>1327553.3081324992</v>
      </c>
      <c r="K557" s="1">
        <f t="shared" si="229"/>
        <v>1842.37</v>
      </c>
      <c r="L557" s="5">
        <f t="shared" si="230"/>
        <v>7.6712328767123528E-2</v>
      </c>
      <c r="M557" s="5">
        <f t="shared" si="231"/>
        <v>-0.51193708129951732</v>
      </c>
      <c r="N557" s="5">
        <f t="shared" si="232"/>
        <v>31.620514493712395</v>
      </c>
      <c r="O557" s="1">
        <f t="shared" si="233"/>
        <v>0</v>
      </c>
      <c r="P557" s="1">
        <f t="shared" si="234"/>
        <v>1842.37</v>
      </c>
      <c r="Q557" s="5">
        <f t="shared" si="235"/>
        <v>7.6712328767123528E-2</v>
      </c>
      <c r="R557" s="5">
        <f t="shared" si="236"/>
        <v>-0.51193708129951732</v>
      </c>
      <c r="S557" s="5">
        <f t="shared" si="219"/>
        <v>31.620514493712395</v>
      </c>
      <c r="T557" s="5">
        <f t="shared" si="220"/>
        <v>-701.89844864929194</v>
      </c>
      <c r="U557" s="4">
        <f t="shared" si="221"/>
        <v>1327574.7308420469</v>
      </c>
      <c r="V557" s="4">
        <f t="shared" si="237"/>
        <v>21.423055245642892</v>
      </c>
      <c r="W557" s="4">
        <f t="shared" si="222"/>
        <v>1305380.3407734176</v>
      </c>
      <c r="X557" s="4">
        <f t="shared" si="226"/>
        <v>-2209.6436028028838</v>
      </c>
      <c r="Y557" s="9">
        <f>SUM($X$6:X557)</f>
        <v>305380.34077341761</v>
      </c>
      <c r="Z557" s="16">
        <f t="shared" si="227"/>
        <v>0.30538034077341764</v>
      </c>
      <c r="AA557" s="16">
        <f t="shared" si="223"/>
        <v>0.44169420387452446</v>
      </c>
      <c r="AB557" s="16">
        <f t="shared" si="224"/>
        <v>-1.6898596878263668E-3</v>
      </c>
      <c r="AC557" s="16">
        <f t="shared" si="225"/>
        <v>-2.8217988019540331E-3</v>
      </c>
    </row>
    <row r="558" spans="1:29" x14ac:dyDescent="0.15">
      <c r="A558" s="8">
        <v>41715</v>
      </c>
      <c r="B558" s="4">
        <v>1858.83</v>
      </c>
      <c r="C558" s="1">
        <v>13.486700000000001</v>
      </c>
      <c r="D558" s="1">
        <v>2.09</v>
      </c>
      <c r="E558" s="1">
        <v>0.2397</v>
      </c>
      <c r="F558" s="4">
        <f t="shared" si="215"/>
        <v>0.13486700000000001</v>
      </c>
      <c r="G558" s="4">
        <f t="shared" si="216"/>
        <v>2.0899999999999998E-2</v>
      </c>
      <c r="H558" s="4">
        <f t="shared" si="217"/>
        <v>2.3969999999999998E-3</v>
      </c>
      <c r="I558" s="3">
        <f t="shared" si="218"/>
        <v>54.175495834327045</v>
      </c>
      <c r="J558" s="4">
        <f t="shared" si="228"/>
        <v>1327574.7308420469</v>
      </c>
      <c r="K558" s="1">
        <f t="shared" si="229"/>
        <v>1842.37</v>
      </c>
      <c r="L558" s="5">
        <f t="shared" si="230"/>
        <v>6.8493150684931753E-2</v>
      </c>
      <c r="M558" s="5">
        <f t="shared" si="231"/>
        <v>-0.40701147744803251</v>
      </c>
      <c r="N558" s="5">
        <f t="shared" si="232"/>
        <v>19.590190593120841</v>
      </c>
      <c r="O558" s="1">
        <f t="shared" si="233"/>
        <v>0</v>
      </c>
      <c r="P558" s="1">
        <f t="shared" si="234"/>
        <v>1842.37</v>
      </c>
      <c r="Q558" s="5">
        <f t="shared" si="235"/>
        <v>6.8493150684931753E-2</v>
      </c>
      <c r="R558" s="5">
        <f t="shared" si="236"/>
        <v>-0.40701147744803251</v>
      </c>
      <c r="S558" s="5">
        <f t="shared" si="219"/>
        <v>19.590190593120841</v>
      </c>
      <c r="T558" s="5">
        <f t="shared" si="220"/>
        <v>-701.89844864929194</v>
      </c>
      <c r="U558" s="4">
        <f t="shared" si="221"/>
        <v>1327596.1538972924</v>
      </c>
      <c r="V558" s="4">
        <f t="shared" si="237"/>
        <v>64.270202847575774</v>
      </c>
      <c r="W558" s="4">
        <f t="shared" si="222"/>
        <v>1313845.8295112369</v>
      </c>
      <c r="X558" s="4">
        <f t="shared" si="226"/>
        <v>8465.4887378192507</v>
      </c>
      <c r="Y558" s="9">
        <f>SUM($X$6:X558)</f>
        <v>313845.82951123687</v>
      </c>
      <c r="Z558" s="16">
        <f t="shared" si="227"/>
        <v>0.31384582951123685</v>
      </c>
      <c r="AA558" s="16">
        <f t="shared" si="223"/>
        <v>0.45555416346921834</v>
      </c>
      <c r="AB558" s="16">
        <f t="shared" si="224"/>
        <v>6.4850744824328978E-3</v>
      </c>
      <c r="AC558" s="16">
        <f t="shared" si="225"/>
        <v>9.6136611754736589E-3</v>
      </c>
    </row>
    <row r="559" spans="1:29" x14ac:dyDescent="0.15">
      <c r="A559" s="8">
        <v>41716</v>
      </c>
      <c r="B559" s="4">
        <v>1872.25</v>
      </c>
      <c r="C559" s="1">
        <v>12.992100000000001</v>
      </c>
      <c r="D559" s="1">
        <v>2.0699999999999998</v>
      </c>
      <c r="E559" s="1">
        <v>0.24010000000000001</v>
      </c>
      <c r="F559" s="4">
        <f t="shared" si="215"/>
        <v>0.12992100000000001</v>
      </c>
      <c r="G559" s="4">
        <f t="shared" si="216"/>
        <v>2.07E-2</v>
      </c>
      <c r="H559" s="4">
        <f t="shared" si="217"/>
        <v>2.4009999999999999E-3</v>
      </c>
      <c r="I559" s="3">
        <f t="shared" si="218"/>
        <v>52.683981993099003</v>
      </c>
      <c r="J559" s="4">
        <f t="shared" si="228"/>
        <v>1327596.1538972924</v>
      </c>
      <c r="K559" s="1">
        <f t="shared" si="229"/>
        <v>1842.37</v>
      </c>
      <c r="L559" s="5">
        <f t="shared" si="230"/>
        <v>6.575342465753449E-2</v>
      </c>
      <c r="M559" s="5">
        <f t="shared" si="231"/>
        <v>-0.32108297862221685</v>
      </c>
      <c r="N559" s="5">
        <f t="shared" si="232"/>
        <v>13.274311766432113</v>
      </c>
      <c r="O559" s="1">
        <f t="shared" si="233"/>
        <v>0</v>
      </c>
      <c r="P559" s="1">
        <f t="shared" si="234"/>
        <v>1842.37</v>
      </c>
      <c r="Q559" s="5">
        <f t="shared" si="235"/>
        <v>6.575342465753449E-2</v>
      </c>
      <c r="R559" s="5">
        <f t="shared" si="236"/>
        <v>-0.32108297862221685</v>
      </c>
      <c r="S559" s="5">
        <f t="shared" si="219"/>
        <v>13.274311766432113</v>
      </c>
      <c r="T559" s="5">
        <f t="shared" si="220"/>
        <v>-701.89844864929194</v>
      </c>
      <c r="U559" s="4">
        <f t="shared" si="221"/>
        <v>1327660.4241001401</v>
      </c>
      <c r="V559" s="4">
        <f t="shared" si="237"/>
        <v>21.424438076574862</v>
      </c>
      <c r="W559" s="4">
        <f t="shared" si="222"/>
        <v>1318343.2052643944</v>
      </c>
      <c r="X559" s="4">
        <f t="shared" si="226"/>
        <v>4497.3757531575393</v>
      </c>
      <c r="Y559" s="9">
        <f>SUM($X$6:X559)</f>
        <v>318343.2052643944</v>
      </c>
      <c r="Z559" s="16">
        <f t="shared" si="227"/>
        <v>0.31834320526439441</v>
      </c>
      <c r="AA559" s="16">
        <f t="shared" si="223"/>
        <v>0.46606267520711642</v>
      </c>
      <c r="AB559" s="16">
        <f t="shared" si="224"/>
        <v>3.4230620154501734E-3</v>
      </c>
      <c r="AC559" s="16">
        <f t="shared" si="225"/>
        <v>7.2195951216625903E-3</v>
      </c>
    </row>
    <row r="560" spans="1:29" x14ac:dyDescent="0.15">
      <c r="A560" s="8">
        <v>41717</v>
      </c>
      <c r="B560" s="4">
        <v>1860.77</v>
      </c>
      <c r="C560" s="1">
        <v>13.238200000000001</v>
      </c>
      <c r="D560" s="1">
        <v>2.09</v>
      </c>
      <c r="E560" s="1">
        <v>0.2389</v>
      </c>
      <c r="F560" s="4">
        <f t="shared" si="215"/>
        <v>0.132382</v>
      </c>
      <c r="G560" s="4">
        <f t="shared" si="216"/>
        <v>2.0899999999999998E-2</v>
      </c>
      <c r="H560" s="4">
        <f t="shared" si="217"/>
        <v>2.3890000000000001E-3</v>
      </c>
      <c r="I560" s="3">
        <f t="shared" si="218"/>
        <v>53.318324236858757</v>
      </c>
      <c r="J560" s="4">
        <f t="shared" si="228"/>
        <v>1327660.4241001401</v>
      </c>
      <c r="K560" s="1">
        <f t="shared" si="229"/>
        <v>1842.37</v>
      </c>
      <c r="L560" s="5">
        <f t="shared" si="230"/>
        <v>6.3013698630137227E-2</v>
      </c>
      <c r="M560" s="5">
        <f t="shared" si="231"/>
        <v>-0.38901185465806865</v>
      </c>
      <c r="N560" s="5">
        <f t="shared" si="232"/>
        <v>17.262892100286059</v>
      </c>
      <c r="O560" s="1">
        <f t="shared" si="233"/>
        <v>0</v>
      </c>
      <c r="P560" s="1">
        <f t="shared" si="234"/>
        <v>1842.37</v>
      </c>
      <c r="Q560" s="5">
        <f t="shared" si="235"/>
        <v>6.3013698630137227E-2</v>
      </c>
      <c r="R560" s="5">
        <f t="shared" si="236"/>
        <v>-0.38901185465806865</v>
      </c>
      <c r="S560" s="5">
        <f t="shared" si="219"/>
        <v>17.262892100286059</v>
      </c>
      <c r="T560" s="5">
        <f t="shared" si="220"/>
        <v>-701.89844864929194</v>
      </c>
      <c r="U560" s="4">
        <f t="shared" si="221"/>
        <v>1327681.8485382167</v>
      </c>
      <c r="V560" s="4">
        <f t="shared" si="237"/>
        <v>21.424783802438618</v>
      </c>
      <c r="W560" s="4">
        <f t="shared" si="222"/>
        <v>1315565.0513538257</v>
      </c>
      <c r="X560" s="4">
        <f t="shared" si="226"/>
        <v>-2778.1539105686825</v>
      </c>
      <c r="Y560" s="9">
        <f>SUM($X$6:X560)</f>
        <v>315565.05135382572</v>
      </c>
      <c r="Z560" s="16">
        <f t="shared" si="227"/>
        <v>0.31556505135382573</v>
      </c>
      <c r="AA560" s="16">
        <f t="shared" si="223"/>
        <v>0.45707327768468203</v>
      </c>
      <c r="AB560" s="16">
        <f t="shared" si="224"/>
        <v>-2.1073070346742692E-3</v>
      </c>
      <c r="AC560" s="16">
        <f t="shared" si="225"/>
        <v>-6.1316597676592428E-3</v>
      </c>
    </row>
    <row r="561" spans="1:29" x14ac:dyDescent="0.15">
      <c r="A561" s="8">
        <v>41718</v>
      </c>
      <c r="B561" s="4">
        <v>1872.01</v>
      </c>
      <c r="C561" s="1">
        <v>12.759499999999999</v>
      </c>
      <c r="D561" s="1">
        <v>2.0699999999999998</v>
      </c>
      <c r="E561" s="1">
        <v>0.23880000000000001</v>
      </c>
      <c r="F561" s="4">
        <f t="shared" si="215"/>
        <v>0.12759499999999999</v>
      </c>
      <c r="G561" s="4">
        <f t="shared" si="216"/>
        <v>2.07E-2</v>
      </c>
      <c r="H561" s="4">
        <f t="shared" si="217"/>
        <v>2.3879999999999999E-3</v>
      </c>
      <c r="I561" s="3">
        <f t="shared" si="218"/>
        <v>51.818259513036466</v>
      </c>
      <c r="J561" s="4">
        <f t="shared" si="228"/>
        <v>1327681.8485382167</v>
      </c>
      <c r="K561" s="1">
        <f t="shared" si="229"/>
        <v>1842.37</v>
      </c>
      <c r="L561" s="5">
        <f t="shared" si="230"/>
        <v>6.0273972602739964E-2</v>
      </c>
      <c r="M561" s="5">
        <f t="shared" si="231"/>
        <v>-0.31170799075473682</v>
      </c>
      <c r="N561" s="5">
        <f t="shared" si="232"/>
        <v>11.966851725824716</v>
      </c>
      <c r="O561" s="1">
        <f t="shared" si="233"/>
        <v>0</v>
      </c>
      <c r="P561" s="1">
        <f t="shared" si="234"/>
        <v>1842.37</v>
      </c>
      <c r="Q561" s="5">
        <f t="shared" si="235"/>
        <v>6.0273972602739964E-2</v>
      </c>
      <c r="R561" s="5">
        <f t="shared" si="236"/>
        <v>-0.31170799075473682</v>
      </c>
      <c r="S561" s="5">
        <f t="shared" si="219"/>
        <v>11.966851725824716</v>
      </c>
      <c r="T561" s="5">
        <f t="shared" si="220"/>
        <v>-701.89844864929194</v>
      </c>
      <c r="U561" s="4">
        <f t="shared" si="221"/>
        <v>1327703.273322019</v>
      </c>
      <c r="V561" s="4">
        <f t="shared" si="237"/>
        <v>21.425129533881346</v>
      </c>
      <c r="W561" s="4">
        <f t="shared" si="222"/>
        <v>1319303.7586604466</v>
      </c>
      <c r="X561" s="4">
        <f t="shared" si="226"/>
        <v>3738.7073066208977</v>
      </c>
      <c r="Y561" s="9">
        <f>SUM($X$6:X561)</f>
        <v>319303.75866044662</v>
      </c>
      <c r="Z561" s="16">
        <f t="shared" si="227"/>
        <v>0.31930375866044663</v>
      </c>
      <c r="AA561" s="16">
        <f t="shared" si="223"/>
        <v>0.46587474355159514</v>
      </c>
      <c r="AB561" s="16">
        <f t="shared" si="224"/>
        <v>2.8419022706429129E-3</v>
      </c>
      <c r="AC561" s="16">
        <f t="shared" si="225"/>
        <v>6.0405101114054983E-3</v>
      </c>
    </row>
    <row r="562" spans="1:29" x14ac:dyDescent="0.15">
      <c r="A562" s="8">
        <v>41719</v>
      </c>
      <c r="B562" s="4">
        <v>1866.52</v>
      </c>
      <c r="C562" s="1">
        <v>12.9483</v>
      </c>
      <c r="D562" s="1">
        <v>2.08</v>
      </c>
      <c r="E562" s="1">
        <v>0.23799999999999999</v>
      </c>
      <c r="F562" s="4">
        <f t="shared" si="215"/>
        <v>0.12948299999999999</v>
      </c>
      <c r="G562" s="4">
        <f t="shared" si="216"/>
        <v>2.0799999999999999E-2</v>
      </c>
      <c r="H562" s="4">
        <f t="shared" si="217"/>
        <v>2.3799999999999997E-3</v>
      </c>
      <c r="I562" s="3">
        <f t="shared" si="218"/>
        <v>52.389989881010891</v>
      </c>
      <c r="J562" s="4">
        <f t="shared" si="228"/>
        <v>1327703.273322019</v>
      </c>
      <c r="K562" s="1">
        <f t="shared" si="229"/>
        <v>1842.37</v>
      </c>
      <c r="L562" s="5">
        <f t="shared" si="230"/>
        <v>5.7534246575342701E-2</v>
      </c>
      <c r="M562" s="5">
        <f t="shared" si="231"/>
        <v>-0.34390324214303253</v>
      </c>
      <c r="N562" s="5">
        <f t="shared" si="232"/>
        <v>13.558512564454295</v>
      </c>
      <c r="O562" s="1">
        <f t="shared" si="233"/>
        <v>0</v>
      </c>
      <c r="P562" s="1">
        <f t="shared" si="234"/>
        <v>1842.37</v>
      </c>
      <c r="Q562" s="5">
        <f t="shared" si="235"/>
        <v>5.7534246575342701E-2</v>
      </c>
      <c r="R562" s="5">
        <f t="shared" si="236"/>
        <v>-0.34390324214303253</v>
      </c>
      <c r="S562" s="5">
        <f t="shared" si="219"/>
        <v>13.558512564454295</v>
      </c>
      <c r="T562" s="5">
        <f t="shared" si="220"/>
        <v>-701.89844864929194</v>
      </c>
      <c r="U562" s="4">
        <f t="shared" si="221"/>
        <v>1327724.698451553</v>
      </c>
      <c r="V562" s="4">
        <f t="shared" si="237"/>
        <v>21.425475270903142</v>
      </c>
      <c r="W562" s="4">
        <f t="shared" si="222"/>
        <v>1318207.9995165707</v>
      </c>
      <c r="X562" s="4">
        <f t="shared" si="226"/>
        <v>-1095.7591438759118</v>
      </c>
      <c r="Y562" s="9">
        <f>SUM($X$6:X562)</f>
        <v>318207.99951657071</v>
      </c>
      <c r="Z562" s="16">
        <f t="shared" si="227"/>
        <v>0.31820799951657069</v>
      </c>
      <c r="AA562" s="16">
        <f t="shared" si="223"/>
        <v>0.46157580693154593</v>
      </c>
      <c r="AB562" s="16">
        <f t="shared" si="224"/>
        <v>-8.3055864631848659E-4</v>
      </c>
      <c r="AC562" s="16">
        <f t="shared" si="225"/>
        <v>-2.9326766416846112E-3</v>
      </c>
    </row>
    <row r="563" spans="1:29" x14ac:dyDescent="0.15">
      <c r="A563" s="8">
        <v>41722</v>
      </c>
      <c r="B563" s="4">
        <v>1857.44</v>
      </c>
      <c r="C563" s="1">
        <v>13.2272</v>
      </c>
      <c r="D563" s="1">
        <v>2.09</v>
      </c>
      <c r="E563" s="1">
        <v>0.24030000000000001</v>
      </c>
      <c r="F563" s="4">
        <f t="shared" si="215"/>
        <v>0.132272</v>
      </c>
      <c r="G563" s="4">
        <f t="shared" si="216"/>
        <v>2.0899999999999998E-2</v>
      </c>
      <c r="H563" s="4">
        <f t="shared" si="217"/>
        <v>2.4030000000000002E-3</v>
      </c>
      <c r="I563" s="3">
        <f t="shared" si="218"/>
        <v>53.178940800213809</v>
      </c>
      <c r="J563" s="4">
        <f t="shared" si="228"/>
        <v>1327724.698451553</v>
      </c>
      <c r="K563" s="1">
        <f t="shared" si="229"/>
        <v>1842.37</v>
      </c>
      <c r="L563" s="5">
        <f t="shared" si="230"/>
        <v>4.931506849315092E-2</v>
      </c>
      <c r="M563" s="5">
        <f t="shared" si="231"/>
        <v>-0.39664884996864902</v>
      </c>
      <c r="N563" s="5">
        <f t="shared" si="232"/>
        <v>15.630884861089275</v>
      </c>
      <c r="O563" s="1">
        <f t="shared" si="233"/>
        <v>0</v>
      </c>
      <c r="P563" s="1">
        <f t="shared" si="234"/>
        <v>1842.37</v>
      </c>
      <c r="Q563" s="5">
        <f t="shared" si="235"/>
        <v>4.931506849315092E-2</v>
      </c>
      <c r="R563" s="5">
        <f t="shared" si="236"/>
        <v>-0.39664884996864902</v>
      </c>
      <c r="S563" s="5">
        <f t="shared" si="219"/>
        <v>15.630884861089275</v>
      </c>
      <c r="T563" s="5">
        <f t="shared" si="220"/>
        <v>-701.89844864929194</v>
      </c>
      <c r="U563" s="4">
        <f t="shared" si="221"/>
        <v>1327746.123926824</v>
      </c>
      <c r="V563" s="4">
        <f t="shared" si="237"/>
        <v>64.277463040512259</v>
      </c>
      <c r="W563" s="4">
        <f t="shared" si="222"/>
        <v>1316774.8300918096</v>
      </c>
      <c r="X563" s="4">
        <f t="shared" si="226"/>
        <v>-1433.1694247610867</v>
      </c>
      <c r="Y563" s="9">
        <f>SUM($X$6:X563)</f>
        <v>316774.83009180962</v>
      </c>
      <c r="Z563" s="16">
        <f t="shared" si="227"/>
        <v>0.31677483009180962</v>
      </c>
      <c r="AA563" s="16">
        <f t="shared" si="223"/>
        <v>0.45446572596432439</v>
      </c>
      <c r="AB563" s="16">
        <f t="shared" si="224"/>
        <v>-1.087210383556067E-3</v>
      </c>
      <c r="AC563" s="16">
        <f t="shared" si="225"/>
        <v>-4.8646679381951045E-3</v>
      </c>
    </row>
    <row r="564" spans="1:29" x14ac:dyDescent="0.15">
      <c r="A564" s="8">
        <v>41723</v>
      </c>
      <c r="B564" s="4">
        <v>1865.62</v>
      </c>
      <c r="C564" s="1">
        <v>12.8431</v>
      </c>
      <c r="D564" s="1">
        <v>2.08</v>
      </c>
      <c r="E564" s="1">
        <v>0.23960000000000001</v>
      </c>
      <c r="F564" s="4">
        <f t="shared" si="215"/>
        <v>0.12843099999999999</v>
      </c>
      <c r="G564" s="4">
        <f t="shared" si="216"/>
        <v>2.0799999999999999E-2</v>
      </c>
      <c r="H564" s="4">
        <f t="shared" si="217"/>
        <v>2.3960000000000001E-3</v>
      </c>
      <c r="I564" s="3">
        <f t="shared" si="218"/>
        <v>51.972070544812865</v>
      </c>
      <c r="J564" s="4">
        <f t="shared" si="228"/>
        <v>1327746.123926824</v>
      </c>
      <c r="K564" s="1">
        <f t="shared" si="229"/>
        <v>1842.37</v>
      </c>
      <c r="L564" s="5">
        <f t="shared" si="230"/>
        <v>4.6575342465753657E-2</v>
      </c>
      <c r="M564" s="5">
        <f t="shared" si="231"/>
        <v>-0.33132056428626194</v>
      </c>
      <c r="N564" s="5">
        <f t="shared" si="232"/>
        <v>11.45790881663762</v>
      </c>
      <c r="O564" s="1">
        <f t="shared" si="233"/>
        <v>0</v>
      </c>
      <c r="P564" s="1">
        <f t="shared" si="234"/>
        <v>1842.37</v>
      </c>
      <c r="Q564" s="5">
        <f t="shared" si="235"/>
        <v>4.6575342465753657E-2</v>
      </c>
      <c r="R564" s="5">
        <f t="shared" si="236"/>
        <v>-0.33132056428626194</v>
      </c>
      <c r="S564" s="5">
        <f t="shared" si="219"/>
        <v>11.45790881663762</v>
      </c>
      <c r="T564" s="5">
        <f t="shared" si="220"/>
        <v>-701.89844864929194</v>
      </c>
      <c r="U564" s="4">
        <f t="shared" si="221"/>
        <v>1327810.4013898645</v>
      </c>
      <c r="V564" s="4">
        <f t="shared" si="237"/>
        <v>21.42685825804466</v>
      </c>
      <c r="W564" s="4">
        <f t="shared" si="222"/>
        <v>1319768.1129667016</v>
      </c>
      <c r="X564" s="4">
        <f t="shared" si="226"/>
        <v>2993.2828748920001</v>
      </c>
      <c r="Y564" s="9">
        <f>SUM($X$6:X564)</f>
        <v>319768.11296670162</v>
      </c>
      <c r="Z564" s="16">
        <f t="shared" si="227"/>
        <v>0.3197681129667016</v>
      </c>
      <c r="AA564" s="16">
        <f t="shared" si="223"/>
        <v>0.46087106322334109</v>
      </c>
      <c r="AB564" s="16">
        <f t="shared" si="224"/>
        <v>2.2731926571555893E-3</v>
      </c>
      <c r="AC564" s="16">
        <f t="shared" si="225"/>
        <v>4.4039107588938736E-3</v>
      </c>
    </row>
    <row r="565" spans="1:29" x14ac:dyDescent="0.15">
      <c r="A565" s="8">
        <v>41724</v>
      </c>
      <c r="B565" s="4">
        <v>1852.56</v>
      </c>
      <c r="C565" s="1">
        <v>13.3156</v>
      </c>
      <c r="D565" s="1">
        <v>2.09</v>
      </c>
      <c r="E565" s="1">
        <v>0.2384</v>
      </c>
      <c r="F565" s="4">
        <f t="shared" si="215"/>
        <v>0.133156</v>
      </c>
      <c r="G565" s="4">
        <f t="shared" si="216"/>
        <v>2.0899999999999998E-2</v>
      </c>
      <c r="H565" s="4">
        <f t="shared" si="217"/>
        <v>2.3839999999999998E-3</v>
      </c>
      <c r="I565" s="3">
        <f t="shared" si="218"/>
        <v>53.368276603493726</v>
      </c>
      <c r="J565" s="4">
        <f t="shared" si="228"/>
        <v>1327810.4013898645</v>
      </c>
      <c r="K565" s="1">
        <f t="shared" si="229"/>
        <v>1842.37</v>
      </c>
      <c r="L565" s="5">
        <f t="shared" si="230"/>
        <v>4.3835616438356394E-2</v>
      </c>
      <c r="M565" s="5">
        <f t="shared" si="231"/>
        <v>-0.42713681783154789</v>
      </c>
      <c r="N565" s="5">
        <f t="shared" si="232"/>
        <v>16.485005280097496</v>
      </c>
      <c r="O565" s="1">
        <f t="shared" si="233"/>
        <v>0</v>
      </c>
      <c r="P565" s="1">
        <f t="shared" si="234"/>
        <v>1842.37</v>
      </c>
      <c r="Q565" s="5">
        <f t="shared" si="235"/>
        <v>4.3835616438356394E-2</v>
      </c>
      <c r="R565" s="5">
        <f t="shared" si="236"/>
        <v>-0.42713681783154789</v>
      </c>
      <c r="S565" s="5">
        <f t="shared" si="219"/>
        <v>16.485005280097496</v>
      </c>
      <c r="T565" s="5">
        <f t="shared" si="220"/>
        <v>-701.89844864929194</v>
      </c>
      <c r="U565" s="4">
        <f t="shared" si="221"/>
        <v>1327831.8282481225</v>
      </c>
      <c r="V565" s="4">
        <f t="shared" si="237"/>
        <v>21.427204022962851</v>
      </c>
      <c r="W565" s="4">
        <f t="shared" si="222"/>
        <v>1316261.0286160468</v>
      </c>
      <c r="X565" s="4">
        <f t="shared" si="226"/>
        <v>-3507.0843506548554</v>
      </c>
      <c r="Y565" s="9">
        <f>SUM($X$6:X565)</f>
        <v>316261.02861604677</v>
      </c>
      <c r="Z565" s="16">
        <f t="shared" si="227"/>
        <v>0.31626102861604677</v>
      </c>
      <c r="AA565" s="16">
        <f t="shared" si="223"/>
        <v>0.45064444896872508</v>
      </c>
      <c r="AB565" s="16">
        <f t="shared" si="224"/>
        <v>-2.6573489056128915E-3</v>
      </c>
      <c r="AC565" s="16">
        <f t="shared" si="225"/>
        <v>-7.0003537697923193E-3</v>
      </c>
    </row>
    <row r="566" spans="1:29" x14ac:dyDescent="0.15">
      <c r="A566" s="8">
        <v>41725</v>
      </c>
      <c r="B566" s="4">
        <v>1849.04</v>
      </c>
      <c r="C566" s="1">
        <v>13.2417</v>
      </c>
      <c r="D566" s="1">
        <v>2.1</v>
      </c>
      <c r="E566" s="1">
        <v>0.23619999999999999</v>
      </c>
      <c r="F566" s="4">
        <f t="shared" si="215"/>
        <v>0.13241700000000001</v>
      </c>
      <c r="G566" s="4">
        <f t="shared" si="216"/>
        <v>2.1000000000000001E-2</v>
      </c>
      <c r="H566" s="4">
        <f t="shared" si="217"/>
        <v>2.362E-3</v>
      </c>
      <c r="I566" s="3">
        <f t="shared" si="218"/>
        <v>53.025366138230822</v>
      </c>
      <c r="J566" s="4">
        <f t="shared" si="228"/>
        <v>1327831.8282481225</v>
      </c>
      <c r="K566" s="1">
        <f t="shared" si="229"/>
        <v>1842.37</v>
      </c>
      <c r="L566" s="5">
        <f t="shared" si="230"/>
        <v>4.1095890410959131E-2</v>
      </c>
      <c r="M566" s="5">
        <f t="shared" si="231"/>
        <v>-0.45204459834154848</v>
      </c>
      <c r="N566" s="5">
        <f t="shared" si="232"/>
        <v>17.239930558109926</v>
      </c>
      <c r="O566" s="1">
        <f t="shared" si="233"/>
        <v>0</v>
      </c>
      <c r="P566" s="1">
        <f t="shared" si="234"/>
        <v>1842.37</v>
      </c>
      <c r="Q566" s="5">
        <f t="shared" si="235"/>
        <v>4.1095890410959131E-2</v>
      </c>
      <c r="R566" s="5">
        <f t="shared" si="236"/>
        <v>-0.45204459834154848</v>
      </c>
      <c r="S566" s="5">
        <f t="shared" si="219"/>
        <v>17.239930558109926</v>
      </c>
      <c r="T566" s="5">
        <f t="shared" si="220"/>
        <v>-701.89844864929194</v>
      </c>
      <c r="U566" s="4">
        <f t="shared" si="221"/>
        <v>1327853.2554521454</v>
      </c>
      <c r="V566" s="4">
        <f t="shared" si="237"/>
        <v>21.427549793460646</v>
      </c>
      <c r="W566" s="4">
        <f t="shared" si="222"/>
        <v>1315752.5749385864</v>
      </c>
      <c r="X566" s="4">
        <f t="shared" si="226"/>
        <v>-508.45367746031843</v>
      </c>
      <c r="Y566" s="9">
        <f>SUM($X$6:X566)</f>
        <v>315752.57493858645</v>
      </c>
      <c r="Z566" s="16">
        <f t="shared" si="227"/>
        <v>0.31575257493858644</v>
      </c>
      <c r="AA566" s="16">
        <f t="shared" si="223"/>
        <v>0.4478881180210797</v>
      </c>
      <c r="AB566" s="16">
        <f t="shared" si="224"/>
        <v>-3.8628635688995569E-4</v>
      </c>
      <c r="AC566" s="16">
        <f t="shared" si="225"/>
        <v>-1.9000734119272692E-3</v>
      </c>
    </row>
    <row r="567" spans="1:29" x14ac:dyDescent="0.15">
      <c r="A567" s="8">
        <v>41726</v>
      </c>
      <c r="B567" s="4">
        <v>1857.62</v>
      </c>
      <c r="C567" s="1">
        <v>12.854200000000001</v>
      </c>
      <c r="D567" s="1">
        <v>2.08</v>
      </c>
      <c r="E567" s="1">
        <v>0.2359</v>
      </c>
      <c r="F567" s="4">
        <f t="shared" si="215"/>
        <v>0.12854200000000002</v>
      </c>
      <c r="G567" s="4">
        <f t="shared" si="216"/>
        <v>2.0799999999999999E-2</v>
      </c>
      <c r="H567" s="4">
        <f t="shared" si="217"/>
        <v>2.359E-3</v>
      </c>
      <c r="I567" s="3">
        <f t="shared" si="218"/>
        <v>51.799307438021565</v>
      </c>
      <c r="J567" s="4">
        <f t="shared" si="228"/>
        <v>1327853.2554521454</v>
      </c>
      <c r="K567" s="1">
        <f t="shared" si="229"/>
        <v>1842.37</v>
      </c>
      <c r="L567" s="5">
        <f t="shared" si="230"/>
        <v>3.8356164383561868E-2</v>
      </c>
      <c r="M567" s="5">
        <f t="shared" si="231"/>
        <v>-0.37724347212701315</v>
      </c>
      <c r="N567" s="5">
        <f t="shared" si="232"/>
        <v>12.429367808009335</v>
      </c>
      <c r="O567" s="1">
        <f t="shared" si="233"/>
        <v>0</v>
      </c>
      <c r="P567" s="1">
        <f t="shared" si="234"/>
        <v>1842.37</v>
      </c>
      <c r="Q567" s="5">
        <f t="shared" si="235"/>
        <v>3.8356164383561868E-2</v>
      </c>
      <c r="R567" s="5">
        <f t="shared" si="236"/>
        <v>-0.37724347212701315</v>
      </c>
      <c r="S567" s="5">
        <f t="shared" si="219"/>
        <v>12.429367808009335</v>
      </c>
      <c r="T567" s="5">
        <f t="shared" si="220"/>
        <v>-701.89844864929194</v>
      </c>
      <c r="U567" s="4">
        <f t="shared" si="221"/>
        <v>1327874.6830019387</v>
      </c>
      <c r="V567" s="4">
        <f t="shared" si="237"/>
        <v>21.427895569538133</v>
      </c>
      <c r="W567" s="4">
        <f t="shared" si="222"/>
        <v>1319150.5290198056</v>
      </c>
      <c r="X567" s="4">
        <f t="shared" si="226"/>
        <v>3397.9540812191553</v>
      </c>
      <c r="Y567" s="9">
        <f>SUM($X$6:X567)</f>
        <v>319150.5290198056</v>
      </c>
      <c r="Z567" s="16">
        <f t="shared" si="227"/>
        <v>0.31915052901980562</v>
      </c>
      <c r="AA567" s="16">
        <f t="shared" si="223"/>
        <v>0.45460667470596522</v>
      </c>
      <c r="AB567" s="16">
        <f t="shared" si="224"/>
        <v>2.5825175233860037E-3</v>
      </c>
      <c r="AC567" s="16">
        <f t="shared" si="225"/>
        <v>4.640245749145463E-3</v>
      </c>
    </row>
    <row r="568" spans="1:29" x14ac:dyDescent="0.15">
      <c r="A568" s="8">
        <v>41729</v>
      </c>
      <c r="B568" s="4">
        <v>1872.34</v>
      </c>
      <c r="C568" s="1">
        <v>12.5259</v>
      </c>
      <c r="D568" s="1">
        <v>2.0699999999999998</v>
      </c>
      <c r="E568" s="1">
        <v>0.23319999999999999</v>
      </c>
      <c r="F568" s="4">
        <f t="shared" si="215"/>
        <v>0.12525900000000001</v>
      </c>
      <c r="G568" s="4">
        <f t="shared" si="216"/>
        <v>2.07E-2</v>
      </c>
      <c r="H568" s="4">
        <f t="shared" si="217"/>
        <v>2.3319999999999999E-3</v>
      </c>
      <c r="I568" s="3">
        <f t="shared" si="218"/>
        <v>50.97549927312263</v>
      </c>
      <c r="J568" s="4">
        <f t="shared" si="228"/>
        <v>1327874.6830019387</v>
      </c>
      <c r="K568" s="1">
        <f t="shared" si="229"/>
        <v>1842.37</v>
      </c>
      <c r="L568" s="5">
        <f t="shared" si="230"/>
        <v>3.0136986301370086E-2</v>
      </c>
      <c r="M568" s="5">
        <f t="shared" si="231"/>
        <v>-0.23331992086651387</v>
      </c>
      <c r="N568" s="5">
        <f t="shared" si="232"/>
        <v>5.6077349591369412</v>
      </c>
      <c r="O568" s="1">
        <f t="shared" si="233"/>
        <v>0</v>
      </c>
      <c r="P568" s="1">
        <f t="shared" si="234"/>
        <v>1842.37</v>
      </c>
      <c r="Q568" s="5">
        <f t="shared" si="235"/>
        <v>3.0136986301370086E-2</v>
      </c>
      <c r="R568" s="5">
        <f t="shared" si="236"/>
        <v>-0.23331992086651387</v>
      </c>
      <c r="S568" s="5">
        <f t="shared" si="219"/>
        <v>5.6077349591369412</v>
      </c>
      <c r="T568" s="5">
        <f t="shared" si="220"/>
        <v>-701.89844864929194</v>
      </c>
      <c r="U568" s="4">
        <f t="shared" si="221"/>
        <v>1327896.1108975082</v>
      </c>
      <c r="V568" s="4">
        <f t="shared" si="237"/>
        <v>64.284724053586217</v>
      </c>
      <c r="W568" s="4">
        <f t="shared" si="222"/>
        <v>1323960.0504292536</v>
      </c>
      <c r="X568" s="4">
        <f t="shared" si="226"/>
        <v>4809.5214094480034</v>
      </c>
      <c r="Y568" s="9">
        <f>SUM($X$6:X568)</f>
        <v>323960.05042925361</v>
      </c>
      <c r="Z568" s="16">
        <f t="shared" si="227"/>
        <v>0.32396005042925363</v>
      </c>
      <c r="AA568" s="16">
        <f t="shared" si="223"/>
        <v>0.46613314957793683</v>
      </c>
      <c r="AB568" s="16">
        <f t="shared" si="224"/>
        <v>3.6459231176761281E-3</v>
      </c>
      <c r="AC568" s="16">
        <f t="shared" si="225"/>
        <v>7.9241179573863486E-3</v>
      </c>
    </row>
    <row r="569" spans="1:29" x14ac:dyDescent="0.15">
      <c r="A569" s="8">
        <v>41730</v>
      </c>
      <c r="B569" s="4">
        <v>1885.52</v>
      </c>
      <c r="C569" s="1">
        <v>12.0082</v>
      </c>
      <c r="D569" s="1">
        <v>2.06</v>
      </c>
      <c r="E569" s="1">
        <v>0.2306</v>
      </c>
      <c r="F569" s="4">
        <f t="shared" si="215"/>
        <v>0.12008200000000001</v>
      </c>
      <c r="G569" s="4">
        <f t="shared" si="216"/>
        <v>2.06E-2</v>
      </c>
      <c r="H569" s="4">
        <f t="shared" si="217"/>
        <v>2.3059999999999999E-3</v>
      </c>
      <c r="I569" s="3">
        <f t="shared" si="218"/>
        <v>49.384169199913579</v>
      </c>
      <c r="J569" s="4">
        <f t="shared" si="228"/>
        <v>1327896.1108975082</v>
      </c>
      <c r="K569" s="1">
        <f t="shared" si="229"/>
        <v>1842.37</v>
      </c>
      <c r="L569" s="5">
        <f t="shared" si="230"/>
        <v>2.7397260273972827E-2</v>
      </c>
      <c r="M569" s="5">
        <f t="shared" si="231"/>
        <v>-0.12510855469993368</v>
      </c>
      <c r="N569" s="5">
        <f t="shared" si="232"/>
        <v>2.3487206127448927</v>
      </c>
      <c r="O569" s="1">
        <f t="shared" si="233"/>
        <v>0</v>
      </c>
      <c r="P569" s="1">
        <f t="shared" si="234"/>
        <v>1842.37</v>
      </c>
      <c r="Q569" s="5">
        <f t="shared" si="235"/>
        <v>2.7397260273972827E-2</v>
      </c>
      <c r="R569" s="5">
        <f t="shared" si="236"/>
        <v>-0.12510855469993368</v>
      </c>
      <c r="S569" s="5">
        <f t="shared" si="219"/>
        <v>2.3487206127448927</v>
      </c>
      <c r="T569" s="5">
        <f t="shared" si="220"/>
        <v>-701.89844864929194</v>
      </c>
      <c r="U569" s="4">
        <f t="shared" si="221"/>
        <v>1327960.3956215619</v>
      </c>
      <c r="V569" s="4">
        <f t="shared" si="237"/>
        <v>21.429278712906846</v>
      </c>
      <c r="W569" s="4">
        <f t="shared" si="222"/>
        <v>1326311.8322671656</v>
      </c>
      <c r="X569" s="4">
        <f t="shared" si="226"/>
        <v>2351.7818379120436</v>
      </c>
      <c r="Y569" s="9">
        <f>SUM($X$6:X569)</f>
        <v>326311.83226716565</v>
      </c>
      <c r="Z569" s="16">
        <f t="shared" si="227"/>
        <v>0.32631183226716565</v>
      </c>
      <c r="AA569" s="16">
        <f t="shared" si="223"/>
        <v>0.47645372966031357</v>
      </c>
      <c r="AB569" s="16">
        <f t="shared" si="224"/>
        <v>1.7763238680423552E-3</v>
      </c>
      <c r="AC569" s="16">
        <f t="shared" si="225"/>
        <v>7.0393197816636215E-3</v>
      </c>
    </row>
    <row r="570" spans="1:29" x14ac:dyDescent="0.15">
      <c r="A570" s="8">
        <v>41731</v>
      </c>
      <c r="B570" s="4">
        <v>1890.9</v>
      </c>
      <c r="C570" s="1">
        <v>12.1349</v>
      </c>
      <c r="D570" s="1">
        <v>2.0499999999999998</v>
      </c>
      <c r="E570" s="1">
        <v>0.2326</v>
      </c>
      <c r="F570" s="4">
        <f t="shared" si="215"/>
        <v>0.121349</v>
      </c>
      <c r="G570" s="4">
        <f t="shared" si="216"/>
        <v>2.0499999999999997E-2</v>
      </c>
      <c r="H570" s="4">
        <f t="shared" si="217"/>
        <v>2.3259999999999999E-3</v>
      </c>
      <c r="I570" s="3">
        <f t="shared" si="218"/>
        <v>49.96997900089179</v>
      </c>
      <c r="J570" s="4">
        <f t="shared" si="228"/>
        <v>1327960.3956215619</v>
      </c>
      <c r="K570" s="1">
        <f t="shared" si="229"/>
        <v>1842.37</v>
      </c>
      <c r="L570" s="5">
        <f t="shared" si="230"/>
        <v>2.4657534246575567E-2</v>
      </c>
      <c r="M570" s="5">
        <f t="shared" si="231"/>
        <v>-8.8386150121040813E-2</v>
      </c>
      <c r="N570" s="5">
        <f t="shared" si="232"/>
        <v>1.4828042058056665</v>
      </c>
      <c r="O570" s="1">
        <f t="shared" si="233"/>
        <v>0</v>
      </c>
      <c r="P570" s="1">
        <f t="shared" si="234"/>
        <v>1842.37</v>
      </c>
      <c r="Q570" s="5">
        <f t="shared" si="235"/>
        <v>2.4657534246575567E-2</v>
      </c>
      <c r="R570" s="5">
        <f t="shared" si="236"/>
        <v>-8.8386150121040813E-2</v>
      </c>
      <c r="S570" s="5">
        <f t="shared" si="219"/>
        <v>1.4828042058056665</v>
      </c>
      <c r="T570" s="5">
        <f t="shared" si="220"/>
        <v>-701.89844864929194</v>
      </c>
      <c r="U570" s="4">
        <f t="shared" si="221"/>
        <v>1327981.8249002749</v>
      </c>
      <c r="V570" s="4">
        <f t="shared" si="237"/>
        <v>21.429624516883887</v>
      </c>
      <c r="W570" s="4">
        <f t="shared" si="222"/>
        <v>1326941.0469285692</v>
      </c>
      <c r="X570" s="4">
        <f t="shared" si="226"/>
        <v>629.21466140355915</v>
      </c>
      <c r="Y570" s="9">
        <f>SUM($X$6:X570)</f>
        <v>326941.04692856921</v>
      </c>
      <c r="Z570" s="16">
        <f t="shared" si="227"/>
        <v>0.32694104692856923</v>
      </c>
      <c r="AA570" s="16">
        <f t="shared" si="223"/>
        <v>0.4806665309382489</v>
      </c>
      <c r="AB570" s="16">
        <f t="shared" si="224"/>
        <v>4.7440929508107808E-4</v>
      </c>
      <c r="AC570" s="16">
        <f t="shared" si="225"/>
        <v>2.8533242818957684E-3</v>
      </c>
    </row>
    <row r="571" spans="1:29" x14ac:dyDescent="0.15">
      <c r="A571" s="8">
        <v>41732</v>
      </c>
      <c r="B571" s="4">
        <v>1888.77</v>
      </c>
      <c r="C571" s="1">
        <v>12.3645</v>
      </c>
      <c r="D571" s="1">
        <v>2.0499999999999998</v>
      </c>
      <c r="E571" s="1">
        <v>0.2329</v>
      </c>
      <c r="F571" s="4">
        <f t="shared" si="215"/>
        <v>0.12364499999999999</v>
      </c>
      <c r="G571" s="4">
        <f t="shared" si="216"/>
        <v>2.0499999999999997E-2</v>
      </c>
      <c r="H571" s="4">
        <f t="shared" si="217"/>
        <v>2.3289999999999999E-3</v>
      </c>
      <c r="I571" s="3">
        <f t="shared" si="218"/>
        <v>50.77155313061624</v>
      </c>
      <c r="J571" s="4">
        <f t="shared" si="228"/>
        <v>1327981.8249002749</v>
      </c>
      <c r="K571" s="1">
        <f t="shared" si="229"/>
        <v>1842.37</v>
      </c>
      <c r="L571" s="5">
        <f t="shared" si="230"/>
        <v>2.1917808219178308E-2</v>
      </c>
      <c r="M571" s="5">
        <f t="shared" si="231"/>
        <v>-8.9080626941873242E-2</v>
      </c>
      <c r="N571" s="5">
        <f t="shared" si="232"/>
        <v>1.4357689925245094</v>
      </c>
      <c r="O571" s="1">
        <f t="shared" si="233"/>
        <v>0</v>
      </c>
      <c r="P571" s="1">
        <f t="shared" si="234"/>
        <v>1842.37</v>
      </c>
      <c r="Q571" s="5">
        <f t="shared" si="235"/>
        <v>2.1917808219178308E-2</v>
      </c>
      <c r="R571" s="5">
        <f t="shared" si="236"/>
        <v>-8.9080626941873242E-2</v>
      </c>
      <c r="S571" s="5">
        <f t="shared" si="219"/>
        <v>1.4357689925245094</v>
      </c>
      <c r="T571" s="5">
        <f t="shared" si="220"/>
        <v>-701.89844864929194</v>
      </c>
      <c r="U571" s="4">
        <f t="shared" si="221"/>
        <v>1328003.2545247918</v>
      </c>
      <c r="V571" s="4">
        <f t="shared" si="237"/>
        <v>21.429970326441161</v>
      </c>
      <c r="W571" s="4">
        <f t="shared" si="222"/>
        <v>1326995.4904963202</v>
      </c>
      <c r="X571" s="4">
        <f t="shared" si="226"/>
        <v>54.44356775097549</v>
      </c>
      <c r="Y571" s="9">
        <f>SUM($X$6:X571)</f>
        <v>326995.49049632018</v>
      </c>
      <c r="Z571" s="16">
        <f t="shared" si="227"/>
        <v>0.32699549049632021</v>
      </c>
      <c r="AA571" s="16">
        <f t="shared" si="223"/>
        <v>0.47899863749549754</v>
      </c>
      <c r="AB571" s="16">
        <f t="shared" si="224"/>
        <v>4.1029379471676144E-5</v>
      </c>
      <c r="AC571" s="16">
        <f t="shared" si="225"/>
        <v>-1.1264477233064198E-3</v>
      </c>
    </row>
    <row r="572" spans="1:29" x14ac:dyDescent="0.15">
      <c r="A572" s="8">
        <v>41733</v>
      </c>
      <c r="B572" s="4">
        <v>1865.09</v>
      </c>
      <c r="C572" s="1">
        <v>12.7135</v>
      </c>
      <c r="D572" s="1">
        <v>2.08</v>
      </c>
      <c r="E572" s="1">
        <v>0.23219999999999999</v>
      </c>
      <c r="F572" s="4">
        <f t="shared" si="215"/>
        <v>0.127135</v>
      </c>
      <c r="G572" s="4">
        <f t="shared" si="216"/>
        <v>2.0799999999999999E-2</v>
      </c>
      <c r="H572" s="4">
        <f t="shared" si="217"/>
        <v>2.3219999999999998E-3</v>
      </c>
      <c r="I572" s="3">
        <f t="shared" si="218"/>
        <v>51.497308818897125</v>
      </c>
      <c r="J572" s="4">
        <f t="shared" si="228"/>
        <v>1328003.2545247918</v>
      </c>
      <c r="K572" s="1">
        <f t="shared" si="229"/>
        <v>1842.37</v>
      </c>
      <c r="L572" s="5">
        <f t="shared" si="230"/>
        <v>1.9178082191781048E-2</v>
      </c>
      <c r="M572" s="5">
        <f t="shared" si="231"/>
        <v>-0.24663026014866629</v>
      </c>
      <c r="N572" s="5">
        <f t="shared" si="232"/>
        <v>4.8542646664216624</v>
      </c>
      <c r="O572" s="1">
        <f t="shared" si="233"/>
        <v>0</v>
      </c>
      <c r="P572" s="1">
        <f t="shared" si="234"/>
        <v>1842.37</v>
      </c>
      <c r="Q572" s="5">
        <f t="shared" si="235"/>
        <v>1.9178082191781048E-2</v>
      </c>
      <c r="R572" s="5">
        <f t="shared" si="236"/>
        <v>-0.24663026014866629</v>
      </c>
      <c r="S572" s="5">
        <f t="shared" si="219"/>
        <v>4.8542646664216624</v>
      </c>
      <c r="T572" s="5">
        <f t="shared" si="220"/>
        <v>-701.89844864929194</v>
      </c>
      <c r="U572" s="4">
        <f t="shared" si="221"/>
        <v>1328024.6844951182</v>
      </c>
      <c r="V572" s="4">
        <f t="shared" si="237"/>
        <v>21.430316141578757</v>
      </c>
      <c r="W572" s="4">
        <f t="shared" si="222"/>
        <v>1324617.4836564239</v>
      </c>
      <c r="X572" s="4">
        <f t="shared" si="226"/>
        <v>-2378.0068398963194</v>
      </c>
      <c r="Y572" s="9">
        <f>SUM($X$6:X572)</f>
        <v>324617.48365642386</v>
      </c>
      <c r="Z572" s="16">
        <f t="shared" si="227"/>
        <v>0.32461748365642384</v>
      </c>
      <c r="AA572" s="16">
        <f t="shared" si="223"/>
        <v>0.46045604748406493</v>
      </c>
      <c r="AB572" s="16">
        <f t="shared" si="224"/>
        <v>-1.7920233014559093E-3</v>
      </c>
      <c r="AC572" s="16">
        <f t="shared" si="225"/>
        <v>-1.2537259698110445E-2</v>
      </c>
    </row>
    <row r="573" spans="1:29" x14ac:dyDescent="0.15">
      <c r="A573" s="8">
        <v>41736</v>
      </c>
      <c r="B573" s="4">
        <v>1845.04</v>
      </c>
      <c r="C573" s="1">
        <v>13.5665</v>
      </c>
      <c r="D573" s="1">
        <v>2.1</v>
      </c>
      <c r="E573" s="1">
        <v>0.2319</v>
      </c>
      <c r="F573" s="4">
        <f t="shared" si="215"/>
        <v>0.13566500000000001</v>
      </c>
      <c r="G573" s="4">
        <f t="shared" si="216"/>
        <v>2.1000000000000001E-2</v>
      </c>
      <c r="H573" s="4">
        <f t="shared" si="217"/>
        <v>2.3189999999999999E-3</v>
      </c>
      <c r="I573" s="3">
        <f t="shared" si="218"/>
        <v>54.108076966605076</v>
      </c>
      <c r="J573" s="4">
        <f t="shared" si="228"/>
        <v>1328024.6844951182</v>
      </c>
      <c r="K573" s="1">
        <f t="shared" si="229"/>
        <v>1842.37</v>
      </c>
      <c r="L573" s="5">
        <f t="shared" si="230"/>
        <v>1.0958904109589268E-2</v>
      </c>
      <c r="M573" s="5">
        <f t="shared" si="231"/>
        <v>-0.4621880225368849</v>
      </c>
      <c r="N573" s="5">
        <f t="shared" si="232"/>
        <v>9.3385233456071646</v>
      </c>
      <c r="O573" s="1">
        <f t="shared" si="233"/>
        <v>0</v>
      </c>
      <c r="P573" s="1">
        <f t="shared" si="234"/>
        <v>1842.37</v>
      </c>
      <c r="Q573" s="5">
        <f t="shared" si="235"/>
        <v>1.0958904109589268E-2</v>
      </c>
      <c r="R573" s="5">
        <f t="shared" si="236"/>
        <v>-0.4621880225368849</v>
      </c>
      <c r="S573" s="5">
        <f t="shared" si="219"/>
        <v>9.3385233456071646</v>
      </c>
      <c r="T573" s="5">
        <f t="shared" si="220"/>
        <v>-701.89844864929194</v>
      </c>
      <c r="U573" s="4">
        <f t="shared" si="221"/>
        <v>1328046.1148112598</v>
      </c>
      <c r="V573" s="4">
        <f t="shared" si="237"/>
        <v>64.291985886890288</v>
      </c>
      <c r="W573" s="4">
        <f t="shared" si="222"/>
        <v>1321491.4197623029</v>
      </c>
      <c r="X573" s="4">
        <f t="shared" si="226"/>
        <v>-3126.0638941209763</v>
      </c>
      <c r="Y573" s="9">
        <f>SUM($X$6:X573)</f>
        <v>321491.41976230289</v>
      </c>
      <c r="Z573" s="16">
        <f t="shared" si="227"/>
        <v>0.32149141976230289</v>
      </c>
      <c r="AA573" s="16">
        <f t="shared" si="223"/>
        <v>0.44475592376239176</v>
      </c>
      <c r="AB573" s="16">
        <f t="shared" si="224"/>
        <v>-2.3599748098537157E-3</v>
      </c>
      <c r="AC573" s="16">
        <f t="shared" si="225"/>
        <v>-1.0750151467221396E-2</v>
      </c>
    </row>
    <row r="574" spans="1:29" x14ac:dyDescent="0.15">
      <c r="A574" s="8">
        <v>41737</v>
      </c>
      <c r="B574" s="4">
        <v>1851.96</v>
      </c>
      <c r="C574" s="1">
        <v>13.194900000000001</v>
      </c>
      <c r="D574" s="1">
        <v>2.09</v>
      </c>
      <c r="E574" s="1">
        <v>0.2298</v>
      </c>
      <c r="F574" s="4">
        <f t="shared" si="215"/>
        <v>0.13194900000000001</v>
      </c>
      <c r="G574" s="4">
        <f t="shared" si="216"/>
        <v>2.0899999999999998E-2</v>
      </c>
      <c r="H574" s="4">
        <f t="shared" si="217"/>
        <v>2.2980000000000001E-3</v>
      </c>
      <c r="I574" s="3">
        <f t="shared" si="218"/>
        <v>52.929806731619408</v>
      </c>
      <c r="J574" s="4">
        <f t="shared" si="228"/>
        <v>1328046.1148112598</v>
      </c>
      <c r="K574" s="1">
        <f t="shared" si="229"/>
        <v>1842.37</v>
      </c>
      <c r="L574" s="5">
        <f t="shared" si="230"/>
        <v>8.2191780821920073E-3</v>
      </c>
      <c r="M574" s="5">
        <f t="shared" si="231"/>
        <v>-0.33455789732329266</v>
      </c>
      <c r="N574" s="5">
        <f t="shared" si="232"/>
        <v>4.9316281758467726</v>
      </c>
      <c r="O574" s="1">
        <f t="shared" si="233"/>
        <v>0</v>
      </c>
      <c r="P574" s="1">
        <f t="shared" si="234"/>
        <v>1842.37</v>
      </c>
      <c r="Q574" s="5">
        <f t="shared" si="235"/>
        <v>8.2191780821920073E-3</v>
      </c>
      <c r="R574" s="5">
        <f t="shared" si="236"/>
        <v>-0.33455789732329266</v>
      </c>
      <c r="S574" s="5">
        <f t="shared" si="219"/>
        <v>4.9316281758467726</v>
      </c>
      <c r="T574" s="5">
        <f t="shared" si="220"/>
        <v>-701.89844864929194</v>
      </c>
      <c r="U574" s="4">
        <f t="shared" si="221"/>
        <v>1328110.4067971467</v>
      </c>
      <c r="V574" s="4">
        <f t="shared" si="237"/>
        <v>21.431699441192308</v>
      </c>
      <c r="W574" s="4">
        <f t="shared" si="222"/>
        <v>1324648.9046312047</v>
      </c>
      <c r="X574" s="4">
        <f t="shared" si="226"/>
        <v>3157.4848689017817</v>
      </c>
      <c r="Y574" s="9">
        <f>SUM($X$6:X574)</f>
        <v>324648.90463120467</v>
      </c>
      <c r="Z574" s="16">
        <f t="shared" si="227"/>
        <v>0.32464890463120466</v>
      </c>
      <c r="AA574" s="16">
        <f t="shared" si="223"/>
        <v>0.45017461982992196</v>
      </c>
      <c r="AB574" s="16">
        <f t="shared" si="224"/>
        <v>2.389334370002735E-3</v>
      </c>
      <c r="AC574" s="16">
        <f t="shared" si="225"/>
        <v>3.7505961930365049E-3</v>
      </c>
    </row>
    <row r="575" spans="1:29" x14ac:dyDescent="0.15">
      <c r="A575" s="8">
        <v>41738</v>
      </c>
      <c r="B575" s="4">
        <v>1872.18</v>
      </c>
      <c r="C575" s="1">
        <v>12.6404</v>
      </c>
      <c r="D575" s="1">
        <v>2.0699999999999998</v>
      </c>
      <c r="E575" s="1">
        <v>0.2301</v>
      </c>
      <c r="F575" s="4">
        <f t="shared" si="215"/>
        <v>0.12640399999999999</v>
      </c>
      <c r="G575" s="4">
        <f t="shared" si="216"/>
        <v>2.07E-2</v>
      </c>
      <c r="H575" s="4">
        <f t="shared" si="217"/>
        <v>2.3010000000000001E-3</v>
      </c>
      <c r="I575" s="3">
        <f t="shared" si="218"/>
        <v>51.40341990854224</v>
      </c>
      <c r="J575" s="4">
        <f t="shared" si="228"/>
        <v>1328110.4067971467</v>
      </c>
      <c r="K575" s="1">
        <f t="shared" si="229"/>
        <v>1842.37</v>
      </c>
      <c r="L575" s="5">
        <f t="shared" si="230"/>
        <v>5.479452054794747E-3</v>
      </c>
      <c r="M575" s="5">
        <f t="shared" si="231"/>
        <v>-4.3692279632662812E-2</v>
      </c>
      <c r="N575" s="5">
        <f t="shared" si="232"/>
        <v>0.31421128918790858</v>
      </c>
      <c r="O575" s="1">
        <f t="shared" si="233"/>
        <v>1</v>
      </c>
      <c r="P575" s="1">
        <f t="shared" si="234"/>
        <v>1872.18</v>
      </c>
      <c r="Q575" s="5">
        <f t="shared" si="235"/>
        <v>0.24931506849315069</v>
      </c>
      <c r="R575" s="5">
        <f t="shared" si="236"/>
        <v>-0.51374214026241627</v>
      </c>
      <c r="S575" s="5">
        <f t="shared" si="219"/>
        <v>51.40341990854224</v>
      </c>
      <c r="T575" s="5">
        <f t="shared" si="220"/>
        <v>-709.2746757153252</v>
      </c>
      <c r="U575" s="4">
        <f t="shared" si="221"/>
        <v>1364370.438066449</v>
      </c>
      <c r="V575" s="4">
        <f t="shared" si="237"/>
        <v>22.016827069072285</v>
      </c>
      <c r="W575" s="4">
        <f t="shared" si="222"/>
        <v>1327911.2940801589</v>
      </c>
      <c r="X575" s="4">
        <f t="shared" si="226"/>
        <v>3262.3894489542581</v>
      </c>
      <c r="Y575" s="9">
        <f>SUM($X$6:X575)</f>
        <v>327911.29408015893</v>
      </c>
      <c r="Z575" s="16">
        <f t="shared" si="227"/>
        <v>0.32791129408015895</v>
      </c>
      <c r="AA575" s="16">
        <f t="shared" si="223"/>
        <v>0.46600786180758941</v>
      </c>
      <c r="AB575" s="16">
        <f t="shared" si="224"/>
        <v>2.4628333119427895E-3</v>
      </c>
      <c r="AC575" s="16">
        <f t="shared" si="225"/>
        <v>1.0918162379317062E-2</v>
      </c>
    </row>
    <row r="576" spans="1:29" x14ac:dyDescent="0.15">
      <c r="A576" s="8">
        <v>41739</v>
      </c>
      <c r="B576" s="4">
        <v>1833.08</v>
      </c>
      <c r="C576" s="1">
        <v>13.891</v>
      </c>
      <c r="D576" s="1">
        <v>2.11</v>
      </c>
      <c r="E576" s="1">
        <v>0.2296</v>
      </c>
      <c r="F576" s="4">
        <f t="shared" si="215"/>
        <v>0.13891000000000001</v>
      </c>
      <c r="G576" s="4">
        <f t="shared" si="216"/>
        <v>2.1099999999999997E-2</v>
      </c>
      <c r="H576" s="4">
        <f t="shared" si="217"/>
        <v>2.2959999999999999E-3</v>
      </c>
      <c r="I576" s="3">
        <f t="shared" si="218"/>
        <v>54.964379560884176</v>
      </c>
      <c r="J576" s="4">
        <f t="shared" si="228"/>
        <v>1364370.438066449</v>
      </c>
      <c r="K576" s="1">
        <f t="shared" si="229"/>
        <v>1872.18</v>
      </c>
      <c r="L576" s="5">
        <f t="shared" si="230"/>
        <v>0.24657534246575344</v>
      </c>
      <c r="M576" s="5">
        <f t="shared" si="231"/>
        <v>-0.62930404491916725</v>
      </c>
      <c r="N576" s="5">
        <f t="shared" si="232"/>
        <v>78.098951463966486</v>
      </c>
      <c r="O576" s="1">
        <f t="shared" si="233"/>
        <v>0</v>
      </c>
      <c r="P576" s="1">
        <f t="shared" si="234"/>
        <v>1872.18</v>
      </c>
      <c r="Q576" s="5">
        <f t="shared" si="235"/>
        <v>0.24657534246575344</v>
      </c>
      <c r="R576" s="5">
        <f t="shared" si="236"/>
        <v>-0.62930404491916725</v>
      </c>
      <c r="S576" s="5">
        <f t="shared" si="219"/>
        <v>78.098951463966486</v>
      </c>
      <c r="T576" s="5">
        <f t="shared" si="220"/>
        <v>-709.2746757153252</v>
      </c>
      <c r="U576" s="4">
        <f t="shared" si="221"/>
        <v>1364392.454893518</v>
      </c>
      <c r="V576" s="4">
        <f t="shared" si="237"/>
        <v>22.017182354309096</v>
      </c>
      <c r="W576" s="4">
        <f t="shared" si="222"/>
        <v>1308998.8464202064</v>
      </c>
      <c r="X576" s="4">
        <f t="shared" si="226"/>
        <v>-18912.447659952566</v>
      </c>
      <c r="Y576" s="9">
        <f>SUM($X$6:X576)</f>
        <v>308998.84642020636</v>
      </c>
      <c r="Z576" s="16">
        <f t="shared" si="227"/>
        <v>0.30899884642020636</v>
      </c>
      <c r="AA576" s="16">
        <f t="shared" si="223"/>
        <v>0.43539066292891487</v>
      </c>
      <c r="AB576" s="16">
        <f t="shared" si="224"/>
        <v>-1.4242252283164121E-2</v>
      </c>
      <c r="AC576" s="16">
        <f t="shared" si="225"/>
        <v>-2.0884743988291796E-2</v>
      </c>
    </row>
    <row r="577" spans="1:29" x14ac:dyDescent="0.15">
      <c r="A577" s="8">
        <v>41740</v>
      </c>
      <c r="B577" s="4">
        <v>1815.69</v>
      </c>
      <c r="C577" s="1">
        <v>14.4779</v>
      </c>
      <c r="D577" s="1">
        <v>2.13</v>
      </c>
      <c r="E577" s="1">
        <v>0.22900000000000001</v>
      </c>
      <c r="F577" s="4">
        <f t="shared" si="215"/>
        <v>0.14477899999999999</v>
      </c>
      <c r="G577" s="4">
        <f t="shared" si="216"/>
        <v>2.1299999999999999E-2</v>
      </c>
      <c r="H577" s="4">
        <f t="shared" si="217"/>
        <v>2.2899999999999999E-3</v>
      </c>
      <c r="I577" s="3">
        <f t="shared" si="218"/>
        <v>56.601053376406256</v>
      </c>
      <c r="J577" s="4">
        <f t="shared" si="228"/>
        <v>1364392.454893518</v>
      </c>
      <c r="K577" s="1">
        <f t="shared" si="229"/>
        <v>1872.18</v>
      </c>
      <c r="L577" s="5">
        <f t="shared" si="230"/>
        <v>0.24383561643835619</v>
      </c>
      <c r="M577" s="5">
        <f t="shared" si="231"/>
        <v>-0.67289265419764976</v>
      </c>
      <c r="N577" s="5">
        <f t="shared" si="232"/>
        <v>91.107783503256243</v>
      </c>
      <c r="O577" s="1">
        <f t="shared" si="233"/>
        <v>0</v>
      </c>
      <c r="P577" s="1">
        <f t="shared" si="234"/>
        <v>1872.18</v>
      </c>
      <c r="Q577" s="5">
        <f t="shared" si="235"/>
        <v>0.24383561643835619</v>
      </c>
      <c r="R577" s="5">
        <f t="shared" si="236"/>
        <v>-0.67289265419764976</v>
      </c>
      <c r="S577" s="5">
        <f t="shared" si="219"/>
        <v>91.107783503256243</v>
      </c>
      <c r="T577" s="5">
        <f t="shared" si="220"/>
        <v>-709.2746757153252</v>
      </c>
      <c r="U577" s="4">
        <f t="shared" si="221"/>
        <v>1364414.4720758724</v>
      </c>
      <c r="V577" s="4">
        <f t="shared" si="237"/>
        <v>22.017537645279145</v>
      </c>
      <c r="W577" s="4">
        <f t="shared" si="222"/>
        <v>1299794.0284764583</v>
      </c>
      <c r="X577" s="4">
        <f t="shared" si="226"/>
        <v>-9204.8179437480867</v>
      </c>
      <c r="Y577" s="9">
        <f>SUM($X$6:X577)</f>
        <v>299794.02847645828</v>
      </c>
      <c r="Z577" s="16">
        <f t="shared" si="227"/>
        <v>0.29979402847645825</v>
      </c>
      <c r="AA577" s="16">
        <f t="shared" si="223"/>
        <v>0.42177344838926922</v>
      </c>
      <c r="AB577" s="16">
        <f t="shared" si="224"/>
        <v>-7.0319526781257493E-3</v>
      </c>
      <c r="AC577" s="16">
        <f t="shared" si="225"/>
        <v>-9.4867654439521869E-3</v>
      </c>
    </row>
    <row r="578" spans="1:29" x14ac:dyDescent="0.15">
      <c r="A578" s="8">
        <v>41743</v>
      </c>
      <c r="B578" s="4">
        <v>1830.61</v>
      </c>
      <c r="C578" s="1">
        <v>14.0961</v>
      </c>
      <c r="D578" s="1">
        <v>2.11</v>
      </c>
      <c r="E578" s="1">
        <v>0.23119999999999999</v>
      </c>
      <c r="F578" s="4">
        <f t="shared" si="215"/>
        <v>0.140961</v>
      </c>
      <c r="G578" s="4">
        <f t="shared" si="216"/>
        <v>2.1099999999999997E-2</v>
      </c>
      <c r="H578" s="4">
        <f t="shared" si="217"/>
        <v>2.3119999999999998E-3</v>
      </c>
      <c r="I578" s="3">
        <f t="shared" si="218"/>
        <v>55.629967570420497</v>
      </c>
      <c r="J578" s="4">
        <f t="shared" si="228"/>
        <v>1364414.4720758724</v>
      </c>
      <c r="K578" s="1">
        <f t="shared" si="229"/>
        <v>1872.18</v>
      </c>
      <c r="L578" s="5">
        <f t="shared" si="230"/>
        <v>0.23561643835616441</v>
      </c>
      <c r="M578" s="5">
        <f t="shared" si="231"/>
        <v>-0.63689896846785277</v>
      </c>
      <c r="N578" s="5">
        <f t="shared" si="232"/>
        <v>79.041491647114071</v>
      </c>
      <c r="O578" s="1">
        <f t="shared" si="233"/>
        <v>0</v>
      </c>
      <c r="P578" s="1">
        <f t="shared" si="234"/>
        <v>1872.18</v>
      </c>
      <c r="Q578" s="5">
        <f t="shared" si="235"/>
        <v>0.23561643835616441</v>
      </c>
      <c r="R578" s="5">
        <f t="shared" si="236"/>
        <v>-0.63689896846785277</v>
      </c>
      <c r="S578" s="5">
        <f t="shared" si="219"/>
        <v>79.041491647114071</v>
      </c>
      <c r="T578" s="5">
        <f t="shared" si="220"/>
        <v>-709.2746757153252</v>
      </c>
      <c r="U578" s="4">
        <f t="shared" si="221"/>
        <v>1364436.4896135177</v>
      </c>
      <c r="V578" s="4">
        <f t="shared" si="237"/>
        <v>66.053678825947543</v>
      </c>
      <c r="W578" s="4">
        <f t="shared" si="222"/>
        <v>1308374.3612574553</v>
      </c>
      <c r="X578" s="4">
        <f t="shared" si="226"/>
        <v>8580.332780997036</v>
      </c>
      <c r="Y578" s="9">
        <f>SUM($X$6:X578)</f>
        <v>308374.36125745531</v>
      </c>
      <c r="Z578" s="16">
        <f t="shared" si="227"/>
        <v>0.30837436125745532</v>
      </c>
      <c r="AA578" s="16">
        <f t="shared" si="223"/>
        <v>0.43345653297417502</v>
      </c>
      <c r="AB578" s="16">
        <f t="shared" si="224"/>
        <v>6.6013018932348805E-3</v>
      </c>
      <c r="AC578" s="16">
        <f t="shared" si="225"/>
        <v>8.2172617572382096E-3</v>
      </c>
    </row>
    <row r="579" spans="1:29" x14ac:dyDescent="0.15">
      <c r="A579" s="8">
        <v>41744</v>
      </c>
      <c r="B579" s="4">
        <v>1842.98</v>
      </c>
      <c r="C579" s="1">
        <v>13.853899999999999</v>
      </c>
      <c r="D579" s="1">
        <v>2.1</v>
      </c>
      <c r="E579" s="1">
        <v>0.22889999999999999</v>
      </c>
      <c r="F579" s="4">
        <f t="shared" si="215"/>
        <v>0.138539</v>
      </c>
      <c r="G579" s="4">
        <f t="shared" si="216"/>
        <v>2.1000000000000001E-2</v>
      </c>
      <c r="H579" s="4">
        <f t="shared" si="217"/>
        <v>2.2889999999999998E-3</v>
      </c>
      <c r="I579" s="3">
        <f t="shared" si="218"/>
        <v>55.104098514920473</v>
      </c>
      <c r="J579" s="4">
        <f t="shared" si="228"/>
        <v>1364436.4896135177</v>
      </c>
      <c r="K579" s="1">
        <f t="shared" si="229"/>
        <v>1872.18</v>
      </c>
      <c r="L579" s="5">
        <f t="shared" si="230"/>
        <v>0.23287671232876717</v>
      </c>
      <c r="M579" s="5">
        <f t="shared" si="231"/>
        <v>-0.60226632057029916</v>
      </c>
      <c r="N579" s="5">
        <f t="shared" si="232"/>
        <v>70.208505994570544</v>
      </c>
      <c r="O579" s="1">
        <f t="shared" si="233"/>
        <v>0</v>
      </c>
      <c r="P579" s="1">
        <f t="shared" si="234"/>
        <v>1872.18</v>
      </c>
      <c r="Q579" s="5">
        <f t="shared" si="235"/>
        <v>0.23287671232876717</v>
      </c>
      <c r="R579" s="5">
        <f t="shared" si="236"/>
        <v>-0.60226632057029916</v>
      </c>
      <c r="S579" s="5">
        <f t="shared" si="219"/>
        <v>70.208505994570544</v>
      </c>
      <c r="T579" s="5">
        <f t="shared" si="220"/>
        <v>-709.2746757153252</v>
      </c>
      <c r="U579" s="4">
        <f t="shared" si="221"/>
        <v>1364502.5432923436</v>
      </c>
      <c r="V579" s="4">
        <f t="shared" si="237"/>
        <v>22.018958849292886</v>
      </c>
      <c r="W579" s="4">
        <f t="shared" si="222"/>
        <v>1314705.427970587</v>
      </c>
      <c r="X579" s="4">
        <f t="shared" si="226"/>
        <v>6331.0667131317314</v>
      </c>
      <c r="Y579" s="9">
        <f>SUM($X$6:X579)</f>
        <v>314705.42797058704</v>
      </c>
      <c r="Z579" s="16">
        <f t="shared" si="227"/>
        <v>0.31470542797058704</v>
      </c>
      <c r="AA579" s="16">
        <f t="shared" si="223"/>
        <v>0.44314284371916751</v>
      </c>
      <c r="AB579" s="16">
        <f t="shared" si="224"/>
        <v>4.8388801405792265E-3</v>
      </c>
      <c r="AC579" s="16">
        <f t="shared" si="225"/>
        <v>6.7573104047285431E-3</v>
      </c>
    </row>
    <row r="580" spans="1:29" x14ac:dyDescent="0.15">
      <c r="A580" s="8">
        <v>41745</v>
      </c>
      <c r="B580" s="4">
        <v>1862.31</v>
      </c>
      <c r="C580" s="1">
        <v>13.1408</v>
      </c>
      <c r="D580" s="1">
        <v>2.08</v>
      </c>
      <c r="E580" s="1">
        <v>0.23039999999999999</v>
      </c>
      <c r="F580" s="4">
        <f t="shared" si="215"/>
        <v>0.131408</v>
      </c>
      <c r="G580" s="4">
        <f t="shared" si="216"/>
        <v>2.0799999999999999E-2</v>
      </c>
      <c r="H580" s="4">
        <f t="shared" si="217"/>
        <v>2.3040000000000001E-3</v>
      </c>
      <c r="I580" s="3">
        <f t="shared" si="218"/>
        <v>53.000809691040111</v>
      </c>
      <c r="J580" s="4">
        <f t="shared" si="228"/>
        <v>1364502.5432923436</v>
      </c>
      <c r="K580" s="1">
        <f t="shared" si="229"/>
        <v>1872.18</v>
      </c>
      <c r="L580" s="5">
        <f t="shared" si="230"/>
        <v>0.23013698630136992</v>
      </c>
      <c r="M580" s="5">
        <f t="shared" si="231"/>
        <v>-0.54508449548379712</v>
      </c>
      <c r="N580" s="5">
        <f t="shared" si="232"/>
        <v>56.248475081754783</v>
      </c>
      <c r="O580" s="1">
        <f t="shared" si="233"/>
        <v>0</v>
      </c>
      <c r="P580" s="1">
        <f t="shared" si="234"/>
        <v>1872.18</v>
      </c>
      <c r="Q580" s="5">
        <f t="shared" si="235"/>
        <v>0.23013698630136992</v>
      </c>
      <c r="R580" s="5">
        <f t="shared" si="236"/>
        <v>-0.54508449548379712</v>
      </c>
      <c r="S580" s="5">
        <f t="shared" si="219"/>
        <v>56.248475081754783</v>
      </c>
      <c r="T580" s="5">
        <f t="shared" si="220"/>
        <v>-709.2746757153252</v>
      </c>
      <c r="U580" s="4">
        <f t="shared" si="221"/>
        <v>1364524.562251193</v>
      </c>
      <c r="V580" s="4">
        <f t="shared" si="237"/>
        <v>22.019314168930208</v>
      </c>
      <c r="W580" s="4">
        <f t="shared" si="222"/>
        <v>1324628.9433280998</v>
      </c>
      <c r="X580" s="4">
        <f t="shared" si="226"/>
        <v>9923.5153575127479</v>
      </c>
      <c r="Y580" s="9">
        <f>SUM($X$6:X580)</f>
        <v>324628.94332809979</v>
      </c>
      <c r="Z580" s="16">
        <f t="shared" si="227"/>
        <v>0.32462894332809977</v>
      </c>
      <c r="AA580" s="16">
        <f t="shared" si="223"/>
        <v>0.45827917247427685</v>
      </c>
      <c r="AB580" s="16">
        <f t="shared" si="224"/>
        <v>7.5480903527042863E-3</v>
      </c>
      <c r="AC580" s="16">
        <f t="shared" si="225"/>
        <v>1.0488448056951202E-2</v>
      </c>
    </row>
    <row r="581" spans="1:29" x14ac:dyDescent="0.15">
      <c r="A581" s="8">
        <v>41746</v>
      </c>
      <c r="B581" s="4">
        <v>1864.85</v>
      </c>
      <c r="C581" s="1">
        <v>12.5518</v>
      </c>
      <c r="D581" s="1">
        <v>2.0699999999999998</v>
      </c>
      <c r="E581" s="1">
        <v>0.22839999999999999</v>
      </c>
      <c r="F581" s="4">
        <f t="shared" si="215"/>
        <v>0.12551799999999999</v>
      </c>
      <c r="G581" s="4">
        <f t="shared" si="216"/>
        <v>2.07E-2</v>
      </c>
      <c r="H581" s="4">
        <f t="shared" si="217"/>
        <v>2.284E-3</v>
      </c>
      <c r="I581" s="3">
        <f t="shared" si="218"/>
        <v>50.879292765245921</v>
      </c>
      <c r="J581" s="4">
        <f t="shared" si="228"/>
        <v>1364524.562251193</v>
      </c>
      <c r="K581" s="1">
        <f t="shared" si="229"/>
        <v>1872.18</v>
      </c>
      <c r="L581" s="5">
        <f t="shared" si="230"/>
        <v>0.22739726027397267</v>
      </c>
      <c r="M581" s="5">
        <f t="shared" si="231"/>
        <v>-0.53949604121336281</v>
      </c>
      <c r="N581" s="5">
        <f t="shared" si="232"/>
        <v>52.460120786028547</v>
      </c>
      <c r="O581" s="1">
        <f t="shared" si="233"/>
        <v>0</v>
      </c>
      <c r="P581" s="1">
        <f t="shared" si="234"/>
        <v>1872.18</v>
      </c>
      <c r="Q581" s="5">
        <f t="shared" si="235"/>
        <v>0.22739726027397267</v>
      </c>
      <c r="R581" s="5">
        <f t="shared" si="236"/>
        <v>-0.53949604121336281</v>
      </c>
      <c r="S581" s="5">
        <f t="shared" si="219"/>
        <v>52.460120786028547</v>
      </c>
      <c r="T581" s="5">
        <f t="shared" si="220"/>
        <v>-709.2746757153252</v>
      </c>
      <c r="U581" s="4">
        <f t="shared" si="221"/>
        <v>1364546.5815653619</v>
      </c>
      <c r="V581" s="4">
        <f t="shared" si="237"/>
        <v>22.019669494301318</v>
      </c>
      <c r="W581" s="4">
        <f t="shared" si="222"/>
        <v>1327337.9464068648</v>
      </c>
      <c r="X581" s="4">
        <f t="shared" si="226"/>
        <v>2709.003078765003</v>
      </c>
      <c r="Y581" s="9">
        <f>SUM($X$6:X581)</f>
        <v>327337.94640686479</v>
      </c>
      <c r="Z581" s="16">
        <f t="shared" si="227"/>
        <v>0.32733794640686481</v>
      </c>
      <c r="AA581" s="16">
        <f t="shared" si="223"/>
        <v>0.46026811582854366</v>
      </c>
      <c r="AB581" s="16">
        <f t="shared" si="224"/>
        <v>2.0451033418903675E-3</v>
      </c>
      <c r="AC581" s="16">
        <f t="shared" si="225"/>
        <v>1.3638975251166368E-3</v>
      </c>
    </row>
    <row r="582" spans="1:29" x14ac:dyDescent="0.15">
      <c r="A582" s="8">
        <v>41750</v>
      </c>
      <c r="B582" s="4">
        <v>1871.89</v>
      </c>
      <c r="C582" s="1">
        <v>12.6769</v>
      </c>
      <c r="D582" s="1">
        <v>2.0699999999999998</v>
      </c>
      <c r="E582" s="1">
        <v>0.22839999999999999</v>
      </c>
      <c r="F582" s="4">
        <f t="shared" si="215"/>
        <v>0.12676899999999999</v>
      </c>
      <c r="G582" s="4">
        <f t="shared" si="216"/>
        <v>2.07E-2</v>
      </c>
      <c r="H582" s="4">
        <f t="shared" si="217"/>
        <v>2.284E-3</v>
      </c>
      <c r="I582" s="3">
        <f t="shared" si="218"/>
        <v>51.535036645703322</v>
      </c>
      <c r="J582" s="4">
        <f t="shared" si="228"/>
        <v>1364546.5815653619</v>
      </c>
      <c r="K582" s="1">
        <f t="shared" si="229"/>
        <v>1872.18</v>
      </c>
      <c r="L582" s="5">
        <f t="shared" si="230"/>
        <v>0.21643835616438362</v>
      </c>
      <c r="M582" s="5">
        <f t="shared" si="231"/>
        <v>-0.51393397816332398</v>
      </c>
      <c r="N582" s="5">
        <f t="shared" si="232"/>
        <v>47.904555403740538</v>
      </c>
      <c r="O582" s="1">
        <f t="shared" si="233"/>
        <v>0</v>
      </c>
      <c r="P582" s="1">
        <f t="shared" si="234"/>
        <v>1872.18</v>
      </c>
      <c r="Q582" s="5">
        <f t="shared" si="235"/>
        <v>0.21643835616438362</v>
      </c>
      <c r="R582" s="5">
        <f t="shared" si="236"/>
        <v>-0.51393397816332398</v>
      </c>
      <c r="S582" s="5">
        <f t="shared" si="219"/>
        <v>47.904555403740538</v>
      </c>
      <c r="T582" s="5">
        <f t="shared" si="220"/>
        <v>-709.2746757153252</v>
      </c>
      <c r="U582" s="4">
        <f t="shared" si="221"/>
        <v>1364568.6012348563</v>
      </c>
      <c r="V582" s="4">
        <f t="shared" si="237"/>
        <v>88.080099301625239</v>
      </c>
      <c r="W582" s="4">
        <f t="shared" si="222"/>
        <v>1330591.1132355814</v>
      </c>
      <c r="X582" s="4">
        <f t="shared" si="226"/>
        <v>3253.1668287166394</v>
      </c>
      <c r="Y582" s="9">
        <f>SUM($X$6:X582)</f>
        <v>330591.11323558143</v>
      </c>
      <c r="Z582" s="16">
        <f t="shared" si="227"/>
        <v>0.33059111323558144</v>
      </c>
      <c r="AA582" s="16">
        <f t="shared" si="223"/>
        <v>0.46578077772383458</v>
      </c>
      <c r="AB582" s="16">
        <f t="shared" si="224"/>
        <v>2.4508956724420025E-3</v>
      </c>
      <c r="AC582" s="16">
        <f t="shared" si="225"/>
        <v>3.7751025551653974E-3</v>
      </c>
    </row>
    <row r="583" spans="1:29" x14ac:dyDescent="0.15">
      <c r="A583" s="8">
        <v>41751</v>
      </c>
      <c r="B583" s="4">
        <v>1879.55</v>
      </c>
      <c r="C583" s="1">
        <v>12.474500000000001</v>
      </c>
      <c r="D583" s="1">
        <v>2.06</v>
      </c>
      <c r="E583" s="1">
        <v>0.2311</v>
      </c>
      <c r="F583" s="4">
        <f t="shared" ref="F583:F646" si="238">C583/100</f>
        <v>0.12474500000000001</v>
      </c>
      <c r="G583" s="4">
        <f t="shared" ref="G583:G646" si="239">D583/100</f>
        <v>2.06E-2</v>
      </c>
      <c r="H583" s="4">
        <f t="shared" ref="H583:H646" si="240">E583/100</f>
        <v>2.3110000000000001E-3</v>
      </c>
      <c r="I583" s="3">
        <f t="shared" ref="I583:I646" si="241">BSM_Put(B583,B583,F583,H583,G583,$B$3,$F$3)</f>
        <v>50.961745657202044</v>
      </c>
      <c r="J583" s="4">
        <f t="shared" si="228"/>
        <v>1364568.6012348563</v>
      </c>
      <c r="K583" s="1">
        <f t="shared" si="229"/>
        <v>1872.18</v>
      </c>
      <c r="L583" s="5">
        <f t="shared" si="230"/>
        <v>0.21369863013698637</v>
      </c>
      <c r="M583" s="5">
        <f t="shared" si="231"/>
        <v>-0.48621173074181001</v>
      </c>
      <c r="N583" s="5">
        <f t="shared" si="232"/>
        <v>43.024686414228817</v>
      </c>
      <c r="O583" s="1">
        <f t="shared" si="233"/>
        <v>0</v>
      </c>
      <c r="P583" s="1">
        <f t="shared" si="234"/>
        <v>1872.18</v>
      </c>
      <c r="Q583" s="5">
        <f t="shared" si="235"/>
        <v>0.21369863013698637</v>
      </c>
      <c r="R583" s="5">
        <f t="shared" si="236"/>
        <v>-0.48621173074181001</v>
      </c>
      <c r="S583" s="5">
        <f t="shared" ref="S583:S646" si="242">BSM_Put(B583,P583,F583,H583,G583,Q583,$F$3)</f>
        <v>43.024686414228817</v>
      </c>
      <c r="T583" s="5">
        <f t="shared" si="220"/>
        <v>-709.2746757153252</v>
      </c>
      <c r="U583" s="4">
        <f t="shared" si="221"/>
        <v>1364656.6813341579</v>
      </c>
      <c r="V583" s="4">
        <f t="shared" si="237"/>
        <v>22.021446172762161</v>
      </c>
      <c r="W583" s="4">
        <f t="shared" si="222"/>
        <v>1334140.3608299522</v>
      </c>
      <c r="X583" s="4">
        <f t="shared" si="226"/>
        <v>3549.2475943707395</v>
      </c>
      <c r="Y583" s="9">
        <f>SUM($X$6:X583)</f>
        <v>334140.36082995217</v>
      </c>
      <c r="Z583" s="16">
        <f t="shared" si="227"/>
        <v>0.33414036082995219</v>
      </c>
      <c r="AA583" s="16">
        <f t="shared" si="223"/>
        <v>0.47177892972922181</v>
      </c>
      <c r="AB583" s="16">
        <f t="shared" si="224"/>
        <v>2.6674216888012124E-3</v>
      </c>
      <c r="AC583" s="16">
        <f t="shared" si="225"/>
        <v>4.0921207976963676E-3</v>
      </c>
    </row>
    <row r="584" spans="1:29" x14ac:dyDescent="0.15">
      <c r="A584" s="8">
        <v>41752</v>
      </c>
      <c r="B584" s="4">
        <v>1875.39</v>
      </c>
      <c r="C584" s="1">
        <v>12.6738</v>
      </c>
      <c r="D584" s="1">
        <v>2.06</v>
      </c>
      <c r="E584" s="1">
        <v>0.23130000000000001</v>
      </c>
      <c r="F584" s="4">
        <f t="shared" si="238"/>
        <v>0.12673799999999999</v>
      </c>
      <c r="G584" s="4">
        <f t="shared" si="239"/>
        <v>2.06E-2</v>
      </c>
      <c r="H584" s="4">
        <f t="shared" si="240"/>
        <v>2.313E-3</v>
      </c>
      <c r="I584" s="3">
        <f t="shared" si="241"/>
        <v>51.588534559286927</v>
      </c>
      <c r="J584" s="4">
        <f t="shared" si="228"/>
        <v>1364656.6813341579</v>
      </c>
      <c r="K584" s="1">
        <f t="shared" si="229"/>
        <v>1872.18</v>
      </c>
      <c r="L584" s="5">
        <f t="shared" si="230"/>
        <v>0.21095890410958912</v>
      </c>
      <c r="M584" s="5">
        <f t="shared" si="231"/>
        <v>-0.50090537909241939</v>
      </c>
      <c r="N584" s="5">
        <f t="shared" si="232"/>
        <v>45.437445246015095</v>
      </c>
      <c r="O584" s="1">
        <f t="shared" si="233"/>
        <v>0</v>
      </c>
      <c r="P584" s="1">
        <f t="shared" si="234"/>
        <v>1872.18</v>
      </c>
      <c r="Q584" s="5">
        <f t="shared" si="235"/>
        <v>0.21095890410958912</v>
      </c>
      <c r="R584" s="5">
        <f t="shared" si="236"/>
        <v>-0.50090537909241939</v>
      </c>
      <c r="S584" s="5">
        <f t="shared" si="242"/>
        <v>45.437445246015095</v>
      </c>
      <c r="T584" s="5">
        <f t="shared" ref="T584:T647" si="243">IF(O584,-(J584+IF(L584&lt;=0.00001, MAX(K584-B584,0),N584)*T583)/P584,T583)</f>
        <v>-709.2746757153252</v>
      </c>
      <c r="U584" s="4">
        <f t="shared" ref="U584:U647" si="244">IF(O584,(J584+IF(L584&lt;=0.00001, MAX(K584-B584,0),N584)*T583)-(S584*T584),U583)+V583</f>
        <v>1364678.7027803308</v>
      </c>
      <c r="V584" s="4">
        <f t="shared" si="237"/>
        <v>22.021801532537388</v>
      </c>
      <c r="W584" s="4">
        <f t="shared" ref="W584:W647" si="245">S584*T584+U584</f>
        <v>1332451.0735381306</v>
      </c>
      <c r="X584" s="4">
        <f t="shared" si="226"/>
        <v>-1689.287291821558</v>
      </c>
      <c r="Y584" s="9">
        <f>SUM($X$6:X584)</f>
        <v>332451.07353813061</v>
      </c>
      <c r="Z584" s="16">
        <f t="shared" si="227"/>
        <v>0.33245107353813064</v>
      </c>
      <c r="AA584" s="16">
        <f t="shared" ref="AA584:AA647" si="246">(B584-$B$6)/$B$6</f>
        <v>0.4685214477001865</v>
      </c>
      <c r="AB584" s="16">
        <f t="shared" ref="AB584:AB647" si="247">X584/W583</f>
        <v>-1.2661990757634176E-3</v>
      </c>
      <c r="AC584" s="16">
        <f t="shared" ref="AC584:AC647" si="248">(B584-B583)/B583</f>
        <v>-2.2132957356813358E-3</v>
      </c>
    </row>
    <row r="585" spans="1:29" x14ac:dyDescent="0.15">
      <c r="A585" s="8">
        <v>41753</v>
      </c>
      <c r="B585" s="4">
        <v>1878.61</v>
      </c>
      <c r="C585" s="1">
        <v>12.694800000000001</v>
      </c>
      <c r="D585" s="1">
        <v>2.06</v>
      </c>
      <c r="E585" s="1">
        <v>0.23039999999999999</v>
      </c>
      <c r="F585" s="4">
        <f t="shared" si="238"/>
        <v>0.12694800000000001</v>
      </c>
      <c r="G585" s="4">
        <f t="shared" si="239"/>
        <v>2.06E-2</v>
      </c>
      <c r="H585" s="4">
        <f t="shared" si="240"/>
        <v>2.3040000000000001E-3</v>
      </c>
      <c r="I585" s="3">
        <f t="shared" si="241"/>
        <v>51.757510166830819</v>
      </c>
      <c r="J585" s="4">
        <f t="shared" si="228"/>
        <v>1364678.7027803308</v>
      </c>
      <c r="K585" s="1">
        <f t="shared" si="229"/>
        <v>1872.18</v>
      </c>
      <c r="L585" s="5">
        <f t="shared" si="230"/>
        <v>0.20821917808219187</v>
      </c>
      <c r="M585" s="5">
        <f t="shared" si="231"/>
        <v>-0.48896766147432652</v>
      </c>
      <c r="N585" s="5">
        <f t="shared" si="232"/>
        <v>43.587996418346179</v>
      </c>
      <c r="O585" s="1">
        <f t="shared" si="233"/>
        <v>0</v>
      </c>
      <c r="P585" s="1">
        <f t="shared" si="234"/>
        <v>1872.18</v>
      </c>
      <c r="Q585" s="5">
        <f t="shared" si="235"/>
        <v>0.20821917808219187</v>
      </c>
      <c r="R585" s="5">
        <f t="shared" si="236"/>
        <v>-0.48896766147432652</v>
      </c>
      <c r="S585" s="5">
        <f t="shared" si="242"/>
        <v>43.587996418346179</v>
      </c>
      <c r="T585" s="5">
        <f t="shared" si="243"/>
        <v>-709.2746757153252</v>
      </c>
      <c r="U585" s="4">
        <f t="shared" si="244"/>
        <v>1364700.7245818633</v>
      </c>
      <c r="V585" s="4">
        <f t="shared" si="237"/>
        <v>22.022156898047051</v>
      </c>
      <c r="W585" s="4">
        <f t="shared" si="245"/>
        <v>1333784.86255716</v>
      </c>
      <c r="X585" s="4">
        <f t="shared" ref="X585:X648" si="249">W585-W584</f>
        <v>1333.7890190293547</v>
      </c>
      <c r="Y585" s="9">
        <f>SUM($X$6:X585)</f>
        <v>333784.86255715997</v>
      </c>
      <c r="Z585" s="16">
        <f t="shared" si="227"/>
        <v>0.33378486255715994</v>
      </c>
      <c r="AA585" s="16">
        <f t="shared" si="246"/>
        <v>0.4710428640784301</v>
      </c>
      <c r="AB585" s="16">
        <f t="shared" si="247"/>
        <v>1.0010041235417907E-3</v>
      </c>
      <c r="AC585" s="16">
        <f t="shared" si="248"/>
        <v>1.7169762022831516E-3</v>
      </c>
    </row>
    <row r="586" spans="1:29" x14ac:dyDescent="0.15">
      <c r="A586" s="8">
        <v>41754</v>
      </c>
      <c r="B586" s="4">
        <v>1863.4</v>
      </c>
      <c r="C586" s="1">
        <v>13.1524</v>
      </c>
      <c r="D586" s="1">
        <v>2.08</v>
      </c>
      <c r="E586" s="1">
        <v>0.2291</v>
      </c>
      <c r="F586" s="4">
        <f t="shared" si="238"/>
        <v>0.131524</v>
      </c>
      <c r="G586" s="4">
        <f t="shared" si="239"/>
        <v>2.0799999999999999E-2</v>
      </c>
      <c r="H586" s="4">
        <f t="shared" si="240"/>
        <v>2.2910000000000001E-3</v>
      </c>
      <c r="I586" s="3">
        <f t="shared" si="241"/>
        <v>53.077901316299908</v>
      </c>
      <c r="J586" s="4">
        <f t="shared" si="228"/>
        <v>1364700.7245818633</v>
      </c>
      <c r="K586" s="1">
        <f t="shared" si="229"/>
        <v>1872.18</v>
      </c>
      <c r="L586" s="5">
        <f t="shared" si="230"/>
        <v>0.20547945205479462</v>
      </c>
      <c r="M586" s="5">
        <f t="shared" si="231"/>
        <v>-0.5425922757203524</v>
      </c>
      <c r="N586" s="5">
        <f t="shared" si="232"/>
        <v>52.68632146888983</v>
      </c>
      <c r="O586" s="1">
        <f t="shared" si="233"/>
        <v>0</v>
      </c>
      <c r="P586" s="1">
        <f t="shared" si="234"/>
        <v>1872.18</v>
      </c>
      <c r="Q586" s="5">
        <f t="shared" si="235"/>
        <v>0.20547945205479462</v>
      </c>
      <c r="R586" s="5">
        <f t="shared" si="236"/>
        <v>-0.5425922757203524</v>
      </c>
      <c r="S586" s="5">
        <f t="shared" si="242"/>
        <v>52.68632146888983</v>
      </c>
      <c r="T586" s="5">
        <f t="shared" si="243"/>
        <v>-709.2746757153252</v>
      </c>
      <c r="U586" s="4">
        <f t="shared" si="244"/>
        <v>1364722.7467387612</v>
      </c>
      <c r="V586" s="4">
        <f t="shared" si="237"/>
        <v>22.022512269291241</v>
      </c>
      <c r="W586" s="4">
        <f t="shared" si="245"/>
        <v>1327353.6731642811</v>
      </c>
      <c r="X586" s="4">
        <f t="shared" si="249"/>
        <v>-6431.1893928789068</v>
      </c>
      <c r="Y586" s="9">
        <f>SUM($X$6:X586)</f>
        <v>327353.67316428106</v>
      </c>
      <c r="Z586" s="16">
        <f t="shared" si="227"/>
        <v>0.32735367316428104</v>
      </c>
      <c r="AA586" s="16">
        <f t="shared" si="246"/>
        <v>0.45913269540976942</v>
      </c>
      <c r="AB586" s="16">
        <f t="shared" si="247"/>
        <v>-4.8217591707772848E-3</v>
      </c>
      <c r="AC586" s="16">
        <f t="shared" si="248"/>
        <v>-8.0964117086568307E-3</v>
      </c>
    </row>
    <row r="587" spans="1:29" x14ac:dyDescent="0.15">
      <c r="A587" s="8">
        <v>41757</v>
      </c>
      <c r="B587" s="4">
        <v>1869.43</v>
      </c>
      <c r="C587" s="1">
        <v>12.741899999999999</v>
      </c>
      <c r="D587" s="1">
        <v>2.08</v>
      </c>
      <c r="E587" s="1">
        <v>0.2298</v>
      </c>
      <c r="F587" s="4">
        <f t="shared" si="238"/>
        <v>0.127419</v>
      </c>
      <c r="G587" s="4">
        <f t="shared" si="239"/>
        <v>2.0799999999999999E-2</v>
      </c>
      <c r="H587" s="4">
        <f t="shared" si="240"/>
        <v>2.2980000000000001E-3</v>
      </c>
      <c r="I587" s="3">
        <f t="shared" si="241"/>
        <v>51.728318658168781</v>
      </c>
      <c r="J587" s="4">
        <f t="shared" si="228"/>
        <v>1364722.7467387612</v>
      </c>
      <c r="K587" s="1">
        <f t="shared" si="229"/>
        <v>1872.18</v>
      </c>
      <c r="L587" s="5">
        <f t="shared" si="230"/>
        <v>0.19726027397260285</v>
      </c>
      <c r="M587" s="5">
        <f t="shared" si="231"/>
        <v>-0.52263768584833081</v>
      </c>
      <c r="N587" s="5">
        <f t="shared" si="232"/>
        <v>47.085657231692416</v>
      </c>
      <c r="O587" s="1">
        <f t="shared" si="233"/>
        <v>0</v>
      </c>
      <c r="P587" s="1">
        <f t="shared" si="234"/>
        <v>1872.18</v>
      </c>
      <c r="Q587" s="5">
        <f t="shared" si="235"/>
        <v>0.19726027397260285</v>
      </c>
      <c r="R587" s="5">
        <f t="shared" si="236"/>
        <v>-0.52263768584833081</v>
      </c>
      <c r="S587" s="5">
        <f t="shared" si="242"/>
        <v>47.085657231692416</v>
      </c>
      <c r="T587" s="5">
        <f t="shared" si="243"/>
        <v>-709.2746757153252</v>
      </c>
      <c r="U587" s="4">
        <f t="shared" si="244"/>
        <v>1364744.7692510304</v>
      </c>
      <c r="V587" s="4">
        <f t="shared" si="237"/>
        <v>66.068602938810159</v>
      </c>
      <c r="W587" s="4">
        <f t="shared" si="245"/>
        <v>1331348.1049871787</v>
      </c>
      <c r="X587" s="4">
        <f t="shared" si="249"/>
        <v>3994.4318228976335</v>
      </c>
      <c r="Y587" s="9">
        <f>SUM($X$6:X587)</f>
        <v>331348.1049871787</v>
      </c>
      <c r="Z587" s="16">
        <f t="shared" si="227"/>
        <v>0.3313481049871787</v>
      </c>
      <c r="AA587" s="16">
        <f t="shared" si="246"/>
        <v>0.46385447825474146</v>
      </c>
      <c r="AB587" s="16">
        <f t="shared" si="247"/>
        <v>3.0093198999293831E-3</v>
      </c>
      <c r="AC587" s="16">
        <f t="shared" si="248"/>
        <v>3.2360201781689237E-3</v>
      </c>
    </row>
    <row r="588" spans="1:29" x14ac:dyDescent="0.15">
      <c r="A588" s="8">
        <v>41758</v>
      </c>
      <c r="B588" s="4">
        <v>1878.33</v>
      </c>
      <c r="C588" s="1">
        <v>12.5587</v>
      </c>
      <c r="D588" s="1">
        <v>2.0699999999999998</v>
      </c>
      <c r="E588" s="1">
        <v>0.23039999999999999</v>
      </c>
      <c r="F588" s="4">
        <f t="shared" si="238"/>
        <v>0.125587</v>
      </c>
      <c r="G588" s="4">
        <f t="shared" si="239"/>
        <v>2.07E-2</v>
      </c>
      <c r="H588" s="4">
        <f t="shared" si="240"/>
        <v>2.3040000000000001E-3</v>
      </c>
      <c r="I588" s="3">
        <f t="shared" si="241"/>
        <v>51.26766348810493</v>
      </c>
      <c r="J588" s="4">
        <f t="shared" si="228"/>
        <v>1364744.7692510304</v>
      </c>
      <c r="K588" s="1">
        <f t="shared" si="229"/>
        <v>1872.18</v>
      </c>
      <c r="L588" s="5">
        <f t="shared" si="230"/>
        <v>0.1945205479452056</v>
      </c>
      <c r="M588" s="5">
        <f t="shared" si="231"/>
        <v>-0.48913105152613495</v>
      </c>
      <c r="N588" s="5">
        <f t="shared" si="232"/>
        <v>41.620138521997852</v>
      </c>
      <c r="O588" s="1">
        <f t="shared" si="233"/>
        <v>0</v>
      </c>
      <c r="P588" s="1">
        <f t="shared" si="234"/>
        <v>1872.18</v>
      </c>
      <c r="Q588" s="5">
        <f t="shared" si="235"/>
        <v>0.1945205479452056</v>
      </c>
      <c r="R588" s="5">
        <f t="shared" si="236"/>
        <v>-0.48913105152613495</v>
      </c>
      <c r="S588" s="5">
        <f t="shared" si="242"/>
        <v>41.620138521997852</v>
      </c>
      <c r="T588" s="5">
        <f t="shared" si="243"/>
        <v>-709.2746757153252</v>
      </c>
      <c r="U588" s="4">
        <f t="shared" si="244"/>
        <v>1364810.8378539693</v>
      </c>
      <c r="V588" s="4">
        <f t="shared" si="237"/>
        <v>22.023933794410624</v>
      </c>
      <c r="W588" s="4">
        <f t="shared" si="245"/>
        <v>1335290.7276005524</v>
      </c>
      <c r="X588" s="4">
        <f t="shared" si="249"/>
        <v>3942.6226133736782</v>
      </c>
      <c r="Y588" s="9">
        <f>SUM($X$6:X588)</f>
        <v>335290.72760055237</v>
      </c>
      <c r="Z588" s="16">
        <f t="shared" si="227"/>
        <v>0.3352907276005524</v>
      </c>
      <c r="AA588" s="16">
        <f t="shared" si="246"/>
        <v>0.47082361048032201</v>
      </c>
      <c r="AB588" s="16">
        <f t="shared" si="247"/>
        <v>2.9613762160360358E-3</v>
      </c>
      <c r="AC588" s="16">
        <f t="shared" si="248"/>
        <v>4.7608094445899894E-3</v>
      </c>
    </row>
    <row r="589" spans="1:29" x14ac:dyDescent="0.15">
      <c r="A589" s="8">
        <v>41759</v>
      </c>
      <c r="B589" s="4">
        <v>1883.95</v>
      </c>
      <c r="C589" s="1">
        <v>12.48</v>
      </c>
      <c r="D589" s="1">
        <v>2.0699999999999998</v>
      </c>
      <c r="E589" s="1">
        <v>0.22819999999999999</v>
      </c>
      <c r="F589" s="4">
        <f t="shared" si="238"/>
        <v>0.12480000000000001</v>
      </c>
      <c r="G589" s="4">
        <f t="shared" si="239"/>
        <v>2.07E-2</v>
      </c>
      <c r="H589" s="4">
        <f t="shared" si="240"/>
        <v>2.2819999999999997E-3</v>
      </c>
      <c r="I589" s="3">
        <f t="shared" si="241"/>
        <v>51.133088609444066</v>
      </c>
      <c r="J589" s="4">
        <f t="shared" si="228"/>
        <v>1364810.8378539693</v>
      </c>
      <c r="K589" s="1">
        <f t="shared" si="229"/>
        <v>1872.18</v>
      </c>
      <c r="L589" s="5">
        <f t="shared" si="230"/>
        <v>0.19178082191780835</v>
      </c>
      <c r="M589" s="5">
        <f t="shared" si="231"/>
        <v>-0.46730683693661995</v>
      </c>
      <c r="N589" s="5">
        <f t="shared" si="232"/>
        <v>38.341739294792518</v>
      </c>
      <c r="O589" s="1">
        <f t="shared" si="233"/>
        <v>0</v>
      </c>
      <c r="P589" s="1">
        <f t="shared" si="234"/>
        <v>1872.18</v>
      </c>
      <c r="Q589" s="5">
        <f t="shared" si="235"/>
        <v>0.19178082191780835</v>
      </c>
      <c r="R589" s="5">
        <f t="shared" si="236"/>
        <v>-0.46730683693661995</v>
      </c>
      <c r="S589" s="5">
        <f t="shared" si="242"/>
        <v>38.341739294792518</v>
      </c>
      <c r="T589" s="5">
        <f t="shared" si="243"/>
        <v>-709.2746757153252</v>
      </c>
      <c r="U589" s="4">
        <f t="shared" si="244"/>
        <v>1364832.8617877637</v>
      </c>
      <c r="V589" s="4">
        <f t="shared" si="237"/>
        <v>22.024289194328567</v>
      </c>
      <c r="W589" s="4">
        <f t="shared" si="245"/>
        <v>1337638.0370830882</v>
      </c>
      <c r="X589" s="4">
        <f t="shared" si="249"/>
        <v>2347.309482535813</v>
      </c>
      <c r="Y589" s="9">
        <f>SUM($X$6:X589)</f>
        <v>337638.03708308819</v>
      </c>
      <c r="Z589" s="16">
        <f t="shared" si="227"/>
        <v>0.3376380370830882</v>
      </c>
      <c r="AA589" s="16">
        <f t="shared" si="246"/>
        <v>0.47522434341377862</v>
      </c>
      <c r="AB589" s="16">
        <f t="shared" si="247"/>
        <v>1.7579014322624748E-3</v>
      </c>
      <c r="AC589" s="16">
        <f t="shared" si="248"/>
        <v>2.9920195066895161E-3</v>
      </c>
    </row>
    <row r="590" spans="1:29" x14ac:dyDescent="0.15">
      <c r="A590" s="8">
        <v>41760</v>
      </c>
      <c r="B590" s="4">
        <v>1883.68</v>
      </c>
      <c r="C590" s="1">
        <v>12.414999999999999</v>
      </c>
      <c r="D590" s="1">
        <v>2.0699999999999998</v>
      </c>
      <c r="E590" s="1">
        <v>0.2278</v>
      </c>
      <c r="F590" s="4">
        <f t="shared" si="238"/>
        <v>0.12415</v>
      </c>
      <c r="G590" s="4">
        <f t="shared" si="239"/>
        <v>2.07E-2</v>
      </c>
      <c r="H590" s="4">
        <f t="shared" si="240"/>
        <v>2.2780000000000001E-3</v>
      </c>
      <c r="I590" s="3">
        <f t="shared" si="241"/>
        <v>50.884359290891737</v>
      </c>
      <c r="J590" s="4">
        <f t="shared" si="228"/>
        <v>1364832.8617877637</v>
      </c>
      <c r="K590" s="1">
        <f t="shared" si="229"/>
        <v>1872.18</v>
      </c>
      <c r="L590" s="5">
        <f t="shared" si="230"/>
        <v>0.1890410958904111</v>
      </c>
      <c r="M590" s="5">
        <f t="shared" si="231"/>
        <v>-0.46790643932283338</v>
      </c>
      <c r="N590" s="5">
        <f t="shared" si="232"/>
        <v>37.92111823986199</v>
      </c>
      <c r="O590" s="1">
        <f t="shared" si="233"/>
        <v>0</v>
      </c>
      <c r="P590" s="1">
        <f t="shared" si="234"/>
        <v>1872.18</v>
      </c>
      <c r="Q590" s="5">
        <f t="shared" si="235"/>
        <v>0.1890410958904111</v>
      </c>
      <c r="R590" s="5">
        <f t="shared" si="236"/>
        <v>-0.46790643932283338</v>
      </c>
      <c r="S590" s="5">
        <f t="shared" si="242"/>
        <v>37.92111823986199</v>
      </c>
      <c r="T590" s="5">
        <f t="shared" si="243"/>
        <v>-709.2746757153252</v>
      </c>
      <c r="U590" s="4">
        <f t="shared" si="244"/>
        <v>1364854.8860769579</v>
      </c>
      <c r="V590" s="4">
        <f t="shared" si="237"/>
        <v>22.024644599981592</v>
      </c>
      <c r="W590" s="4">
        <f t="shared" si="245"/>
        <v>1337958.3972346173</v>
      </c>
      <c r="X590" s="4">
        <f t="shared" si="249"/>
        <v>320.3601515290793</v>
      </c>
      <c r="Y590" s="9">
        <f>SUM($X$6:X590)</f>
        <v>337958.39723461727</v>
      </c>
      <c r="Z590" s="16">
        <f t="shared" si="227"/>
        <v>0.33795839723461729</v>
      </c>
      <c r="AA590" s="16">
        <f t="shared" si="246"/>
        <v>0.4750129203013172</v>
      </c>
      <c r="AB590" s="16">
        <f t="shared" si="247"/>
        <v>2.3949689127237335E-4</v>
      </c>
      <c r="AC590" s="16">
        <f t="shared" si="248"/>
        <v>-1.4331590541149277E-4</v>
      </c>
    </row>
    <row r="591" spans="1:29" x14ac:dyDescent="0.15">
      <c r="A591" s="8">
        <v>41761</v>
      </c>
      <c r="B591" s="4">
        <v>1881.14</v>
      </c>
      <c r="C591" s="1">
        <v>12.5396</v>
      </c>
      <c r="D591" s="1">
        <v>2.0699999999999998</v>
      </c>
      <c r="E591" s="1">
        <v>0.2278</v>
      </c>
      <c r="F591" s="4">
        <f t="shared" si="238"/>
        <v>0.12539600000000001</v>
      </c>
      <c r="G591" s="4">
        <f t="shared" si="239"/>
        <v>2.07E-2</v>
      </c>
      <c r="H591" s="4">
        <f t="shared" si="240"/>
        <v>2.2780000000000001E-3</v>
      </c>
      <c r="I591" s="3">
        <f t="shared" si="241"/>
        <v>51.279821059014729</v>
      </c>
      <c r="J591" s="4">
        <f t="shared" si="228"/>
        <v>1364854.8860769579</v>
      </c>
      <c r="K591" s="1">
        <f t="shared" si="229"/>
        <v>1872.18</v>
      </c>
      <c r="L591" s="5">
        <f t="shared" si="230"/>
        <v>0.18630136986301385</v>
      </c>
      <c r="M591" s="5">
        <f t="shared" si="231"/>
        <v>-0.4774734657622608</v>
      </c>
      <c r="N591" s="5">
        <f t="shared" si="232"/>
        <v>39.185501280872806</v>
      </c>
      <c r="O591" s="1">
        <f t="shared" si="233"/>
        <v>0</v>
      </c>
      <c r="P591" s="1">
        <f t="shared" si="234"/>
        <v>1872.18</v>
      </c>
      <c r="Q591" s="5">
        <f t="shared" si="235"/>
        <v>0.18630136986301385</v>
      </c>
      <c r="R591" s="5">
        <f t="shared" si="236"/>
        <v>-0.4774734657622608</v>
      </c>
      <c r="S591" s="5">
        <f t="shared" si="242"/>
        <v>39.185501280872806</v>
      </c>
      <c r="T591" s="5">
        <f t="shared" si="243"/>
        <v>-709.2746757153252</v>
      </c>
      <c r="U591" s="4">
        <f t="shared" si="244"/>
        <v>1364876.9107215579</v>
      </c>
      <c r="V591" s="4">
        <f t="shared" si="237"/>
        <v>22.025000011369794</v>
      </c>
      <c r="W591" s="4">
        <f t="shared" si="245"/>
        <v>1337083.6270078244</v>
      </c>
      <c r="X591" s="4">
        <f t="shared" si="249"/>
        <v>-874.77022679289803</v>
      </c>
      <c r="Y591" s="9">
        <f>SUM($X$6:X591)</f>
        <v>337083.62700782437</v>
      </c>
      <c r="Z591" s="16">
        <f t="shared" si="227"/>
        <v>0.33708362700782435</v>
      </c>
      <c r="AA591" s="16">
        <f t="shared" si="246"/>
        <v>0.4730239769470504</v>
      </c>
      <c r="AB591" s="16">
        <f t="shared" si="247"/>
        <v>-6.5380973623763801E-4</v>
      </c>
      <c r="AC591" s="16">
        <f t="shared" si="248"/>
        <v>-1.3484243608255985E-3</v>
      </c>
    </row>
    <row r="592" spans="1:29" x14ac:dyDescent="0.15">
      <c r="A592" s="8">
        <v>41764</v>
      </c>
      <c r="B592" s="4">
        <v>1884.66</v>
      </c>
      <c r="C592" s="1">
        <v>12.4977</v>
      </c>
      <c r="D592" s="1">
        <v>2.0699999999999998</v>
      </c>
      <c r="E592" s="1">
        <v>0.2278</v>
      </c>
      <c r="F592" s="4">
        <f t="shared" si="238"/>
        <v>0.124977</v>
      </c>
      <c r="G592" s="4">
        <f t="shared" si="239"/>
        <v>2.07E-2</v>
      </c>
      <c r="H592" s="4">
        <f t="shared" si="240"/>
        <v>2.2780000000000001E-3</v>
      </c>
      <c r="I592" s="3">
        <f t="shared" si="241"/>
        <v>51.219424347279308</v>
      </c>
      <c r="J592" s="4">
        <f t="shared" si="228"/>
        <v>1364876.9107215579</v>
      </c>
      <c r="K592" s="1">
        <f t="shared" si="229"/>
        <v>1872.18</v>
      </c>
      <c r="L592" s="5">
        <f t="shared" si="230"/>
        <v>0.17808219178082207</v>
      </c>
      <c r="M592" s="5">
        <f t="shared" si="231"/>
        <v>-0.46238002438639675</v>
      </c>
      <c r="N592" s="5">
        <f t="shared" si="232"/>
        <v>36.364663280803825</v>
      </c>
      <c r="O592" s="1">
        <f t="shared" si="233"/>
        <v>0</v>
      </c>
      <c r="P592" s="1">
        <f t="shared" si="234"/>
        <v>1872.18</v>
      </c>
      <c r="Q592" s="5">
        <f t="shared" si="235"/>
        <v>0.17808219178082207</v>
      </c>
      <c r="R592" s="5">
        <f t="shared" si="236"/>
        <v>-0.46238002438639675</v>
      </c>
      <c r="S592" s="5">
        <f t="shared" si="242"/>
        <v>36.364663280803825</v>
      </c>
      <c r="T592" s="5">
        <f t="shared" si="243"/>
        <v>-709.2746757153252</v>
      </c>
      <c r="U592" s="4">
        <f t="shared" si="244"/>
        <v>1364898.9357215692</v>
      </c>
      <c r="V592" s="4">
        <f t="shared" si="237"/>
        <v>66.076066285479797</v>
      </c>
      <c r="W592" s="4">
        <f t="shared" si="245"/>
        <v>1339106.40096558</v>
      </c>
      <c r="X592" s="4">
        <f t="shared" si="249"/>
        <v>2022.7739577556495</v>
      </c>
      <c r="Y592" s="9">
        <f>SUM($X$6:X592)</f>
        <v>339106.40096558002</v>
      </c>
      <c r="Z592" s="16">
        <f t="shared" si="227"/>
        <v>0.33910640096558003</v>
      </c>
      <c r="AA592" s="16">
        <f t="shared" si="246"/>
        <v>0.47578030789469578</v>
      </c>
      <c r="AB592" s="16">
        <f t="shared" si="247"/>
        <v>1.5128253139127046E-3</v>
      </c>
      <c r="AC592" s="16">
        <f t="shared" si="248"/>
        <v>1.8712057582104371E-3</v>
      </c>
    </row>
    <row r="593" spans="1:29" x14ac:dyDescent="0.15">
      <c r="A593" s="8">
        <v>41765</v>
      </c>
      <c r="B593" s="4">
        <v>1867.72</v>
      </c>
      <c r="C593" s="1">
        <v>12.9207</v>
      </c>
      <c r="D593" s="1">
        <v>2.09</v>
      </c>
      <c r="E593" s="1">
        <v>0.2298</v>
      </c>
      <c r="F593" s="4">
        <f t="shared" si="238"/>
        <v>0.12920699999999999</v>
      </c>
      <c r="G593" s="4">
        <f t="shared" si="239"/>
        <v>2.0899999999999998E-2</v>
      </c>
      <c r="H593" s="4">
        <f t="shared" si="240"/>
        <v>2.2980000000000001E-3</v>
      </c>
      <c r="I593" s="3">
        <f t="shared" si="241"/>
        <v>52.36614064538032</v>
      </c>
      <c r="J593" s="4">
        <f t="shared" si="228"/>
        <v>1364898.9357215692</v>
      </c>
      <c r="K593" s="1">
        <f t="shared" si="229"/>
        <v>1872.18</v>
      </c>
      <c r="L593" s="5">
        <f t="shared" si="230"/>
        <v>0.17534246575342483</v>
      </c>
      <c r="M593" s="5">
        <f t="shared" si="231"/>
        <v>-0.52887282988499251</v>
      </c>
      <c r="N593" s="5">
        <f t="shared" si="232"/>
        <v>45.762943768298129</v>
      </c>
      <c r="O593" s="1">
        <f t="shared" si="233"/>
        <v>0</v>
      </c>
      <c r="P593" s="1">
        <f t="shared" si="234"/>
        <v>1872.18</v>
      </c>
      <c r="Q593" s="5">
        <f t="shared" si="235"/>
        <v>0.17534246575342483</v>
      </c>
      <c r="R593" s="5">
        <f t="shared" si="236"/>
        <v>-0.52887282988499251</v>
      </c>
      <c r="S593" s="5">
        <f t="shared" si="242"/>
        <v>45.762943768298129</v>
      </c>
      <c r="T593" s="5">
        <f t="shared" si="243"/>
        <v>-709.2746757153252</v>
      </c>
      <c r="U593" s="4">
        <f t="shared" si="244"/>
        <v>1364965.0117878546</v>
      </c>
      <c r="V593" s="4">
        <f t="shared" si="237"/>
        <v>22.026421697069761</v>
      </c>
      <c r="W593" s="4">
        <f t="shared" si="245"/>
        <v>1332506.5146868164</v>
      </c>
      <c r="X593" s="4">
        <f t="shared" si="249"/>
        <v>-6599.8862787636463</v>
      </c>
      <c r="Y593" s="9">
        <f>SUM($X$6:X593)</f>
        <v>332506.51468681637</v>
      </c>
      <c r="Z593" s="16">
        <f t="shared" si="227"/>
        <v>0.33250651468681636</v>
      </c>
      <c r="AA593" s="16">
        <f t="shared" si="246"/>
        <v>0.46251546520915238</v>
      </c>
      <c r="AB593" s="16">
        <f t="shared" si="247"/>
        <v>-4.9285749616346484E-3</v>
      </c>
      <c r="AC593" s="16">
        <f t="shared" si="248"/>
        <v>-8.9883586429382774E-3</v>
      </c>
    </row>
    <row r="594" spans="1:29" x14ac:dyDescent="0.15">
      <c r="A594" s="8">
        <v>41766</v>
      </c>
      <c r="B594" s="4">
        <v>1878.21</v>
      </c>
      <c r="C594" s="1">
        <v>12.5877</v>
      </c>
      <c r="D594" s="1">
        <v>2.0699999999999998</v>
      </c>
      <c r="E594" s="1">
        <v>0.2288</v>
      </c>
      <c r="F594" s="4">
        <f t="shared" si="238"/>
        <v>0.12587699999999999</v>
      </c>
      <c r="G594" s="4">
        <f t="shared" si="239"/>
        <v>2.07E-2</v>
      </c>
      <c r="H594" s="4">
        <f t="shared" si="240"/>
        <v>2.2880000000000001E-3</v>
      </c>
      <c r="I594" s="3">
        <f t="shared" si="241"/>
        <v>51.376290580461756</v>
      </c>
      <c r="J594" s="4">
        <f t="shared" si="228"/>
        <v>1364965.0117878546</v>
      </c>
      <c r="K594" s="1">
        <f t="shared" si="229"/>
        <v>1872.18</v>
      </c>
      <c r="L594" s="5">
        <f t="shared" si="230"/>
        <v>0.17260273972602758</v>
      </c>
      <c r="M594" s="5">
        <f t="shared" si="231"/>
        <v>-0.48753703352412708</v>
      </c>
      <c r="N594" s="5">
        <f t="shared" si="232"/>
        <v>39.005200829512631</v>
      </c>
      <c r="O594" s="1">
        <f t="shared" si="233"/>
        <v>0</v>
      </c>
      <c r="P594" s="1">
        <f t="shared" si="234"/>
        <v>1872.18</v>
      </c>
      <c r="Q594" s="5">
        <f t="shared" si="235"/>
        <v>0.17260273972602758</v>
      </c>
      <c r="R594" s="5">
        <f t="shared" si="236"/>
        <v>-0.48753703352412708</v>
      </c>
      <c r="S594" s="5">
        <f t="shared" si="242"/>
        <v>39.005200829512631</v>
      </c>
      <c r="T594" s="5">
        <f t="shared" si="243"/>
        <v>-709.2746757153252</v>
      </c>
      <c r="U594" s="4">
        <f t="shared" si="244"/>
        <v>1364987.0382095517</v>
      </c>
      <c r="V594" s="4">
        <f t="shared" si="237"/>
        <v>22.026777137134957</v>
      </c>
      <c r="W594" s="4">
        <f t="shared" si="245"/>
        <v>1337321.6370399881</v>
      </c>
      <c r="X594" s="4">
        <f t="shared" si="249"/>
        <v>4815.1223531716969</v>
      </c>
      <c r="Y594" s="9">
        <f>SUM($X$6:X594)</f>
        <v>337321.63703998807</v>
      </c>
      <c r="Z594" s="16">
        <f t="shared" ref="Z594:Z657" si="250">Y594/$H$3</f>
        <v>0.33732163703998808</v>
      </c>
      <c r="AA594" s="16">
        <f t="shared" si="246"/>
        <v>0.47072964465256145</v>
      </c>
      <c r="AB594" s="16">
        <f t="shared" si="247"/>
        <v>3.6135825979833288E-3</v>
      </c>
      <c r="AC594" s="16">
        <f t="shared" si="248"/>
        <v>5.6164735613475304E-3</v>
      </c>
    </row>
    <row r="595" spans="1:29" x14ac:dyDescent="0.15">
      <c r="A595" s="8">
        <v>41767</v>
      </c>
      <c r="B595" s="4">
        <v>1875.63</v>
      </c>
      <c r="C595" s="1">
        <v>12.554399999999999</v>
      </c>
      <c r="D595" s="1">
        <v>2.08</v>
      </c>
      <c r="E595" s="1">
        <v>0.2283</v>
      </c>
      <c r="F595" s="4">
        <f t="shared" si="238"/>
        <v>0.12554399999999999</v>
      </c>
      <c r="G595" s="4">
        <f t="shared" si="239"/>
        <v>2.0799999999999999E-2</v>
      </c>
      <c r="H595" s="4">
        <f t="shared" si="240"/>
        <v>2.2829999999999999E-3</v>
      </c>
      <c r="I595" s="3">
        <f t="shared" si="241"/>
        <v>51.207357406758788</v>
      </c>
      <c r="J595" s="4">
        <f t="shared" si="228"/>
        <v>1364987.0382095517</v>
      </c>
      <c r="K595" s="1">
        <f t="shared" si="229"/>
        <v>1872.18</v>
      </c>
      <c r="L595" s="5">
        <f t="shared" si="230"/>
        <v>0.16986301369863033</v>
      </c>
      <c r="M595" s="5">
        <f t="shared" si="231"/>
        <v>-0.49797260883140088</v>
      </c>
      <c r="N595" s="5">
        <f t="shared" si="232"/>
        <v>39.833312279736852</v>
      </c>
      <c r="O595" s="1">
        <f t="shared" si="233"/>
        <v>0</v>
      </c>
      <c r="P595" s="1">
        <f t="shared" si="234"/>
        <v>1872.18</v>
      </c>
      <c r="Q595" s="5">
        <f t="shared" si="235"/>
        <v>0.16986301369863033</v>
      </c>
      <c r="R595" s="5">
        <f t="shared" si="236"/>
        <v>-0.49797260883140088</v>
      </c>
      <c r="S595" s="5">
        <f t="shared" si="242"/>
        <v>39.833312279736852</v>
      </c>
      <c r="T595" s="5">
        <f t="shared" si="243"/>
        <v>-709.2746757153252</v>
      </c>
      <c r="U595" s="4">
        <f t="shared" si="244"/>
        <v>1365009.0649866888</v>
      </c>
      <c r="V595" s="4">
        <f t="shared" si="237"/>
        <v>22.027132582935881</v>
      </c>
      <c r="W595" s="4">
        <f t="shared" si="245"/>
        <v>1336756.3053368111</v>
      </c>
      <c r="X595" s="4">
        <f t="shared" si="249"/>
        <v>-565.33170317695476</v>
      </c>
      <c r="Y595" s="9">
        <f>SUM($X$6:X595)</f>
        <v>336756.30533681111</v>
      </c>
      <c r="Z595" s="16">
        <f t="shared" si="250"/>
        <v>0.33675630533681111</v>
      </c>
      <c r="AA595" s="16">
        <f t="shared" si="246"/>
        <v>0.46870937935570778</v>
      </c>
      <c r="AB595" s="16">
        <f t="shared" si="247"/>
        <v>-4.2273428285229369E-4</v>
      </c>
      <c r="AC595" s="16">
        <f t="shared" si="248"/>
        <v>-1.3736483140862456E-3</v>
      </c>
    </row>
    <row r="596" spans="1:29" x14ac:dyDescent="0.15">
      <c r="A596" s="8">
        <v>41768</v>
      </c>
      <c r="B596" s="4">
        <v>1878.48</v>
      </c>
      <c r="C596" s="1">
        <v>12.316700000000001</v>
      </c>
      <c r="D596" s="1">
        <v>2.0699999999999998</v>
      </c>
      <c r="E596" s="1">
        <v>0.2291</v>
      </c>
      <c r="F596" s="4">
        <f t="shared" si="238"/>
        <v>0.12316700000000001</v>
      </c>
      <c r="G596" s="4">
        <f t="shared" si="239"/>
        <v>2.07E-2</v>
      </c>
      <c r="H596" s="4">
        <f t="shared" si="240"/>
        <v>2.2910000000000001E-3</v>
      </c>
      <c r="I596" s="3">
        <f t="shared" si="241"/>
        <v>50.375004436510103</v>
      </c>
      <c r="J596" s="4">
        <f t="shared" si="228"/>
        <v>1365009.0649866888</v>
      </c>
      <c r="K596" s="1">
        <f t="shared" si="229"/>
        <v>1872.18</v>
      </c>
      <c r="L596" s="5">
        <f t="shared" si="230"/>
        <v>0.16712328767123308</v>
      </c>
      <c r="M596" s="5">
        <f t="shared" si="231"/>
        <v>-0.48603296567491333</v>
      </c>
      <c r="N596" s="5">
        <f t="shared" si="232"/>
        <v>37.330001480128011</v>
      </c>
      <c r="O596" s="1">
        <f t="shared" si="233"/>
        <v>0</v>
      </c>
      <c r="P596" s="1">
        <f t="shared" si="234"/>
        <v>1872.18</v>
      </c>
      <c r="Q596" s="5">
        <f t="shared" si="235"/>
        <v>0.16712328767123308</v>
      </c>
      <c r="R596" s="5">
        <f t="shared" si="236"/>
        <v>-0.48603296567491333</v>
      </c>
      <c r="S596" s="5">
        <f t="shared" si="242"/>
        <v>37.330001480128011</v>
      </c>
      <c r="T596" s="5">
        <f t="shared" si="243"/>
        <v>-709.2746757153252</v>
      </c>
      <c r="U596" s="4">
        <f t="shared" si="244"/>
        <v>1365031.0921192716</v>
      </c>
      <c r="V596" s="4">
        <f t="shared" si="237"/>
        <v>22.027488034472629</v>
      </c>
      <c r="W596" s="4">
        <f t="shared" si="245"/>
        <v>1338553.8674250012</v>
      </c>
      <c r="X596" s="4">
        <f t="shared" si="249"/>
        <v>1797.5620881901123</v>
      </c>
      <c r="Y596" s="9">
        <f>SUM($X$6:X596)</f>
        <v>338553.86742500123</v>
      </c>
      <c r="Z596" s="16">
        <f t="shared" si="250"/>
        <v>0.33855386742500121</v>
      </c>
      <c r="AA596" s="16">
        <f t="shared" si="246"/>
        <v>0.47094106776502287</v>
      </c>
      <c r="AB596" s="16">
        <f t="shared" si="247"/>
        <v>1.3447193635920019E-3</v>
      </c>
      <c r="AC596" s="16">
        <f t="shared" si="248"/>
        <v>1.5194894515442325E-3</v>
      </c>
    </row>
    <row r="597" spans="1:29" x14ac:dyDescent="0.15">
      <c r="A597" s="8">
        <v>41771</v>
      </c>
      <c r="B597" s="4">
        <v>1896.65</v>
      </c>
      <c r="C597" s="1">
        <v>11.9716</v>
      </c>
      <c r="D597" s="1">
        <v>2.06</v>
      </c>
      <c r="E597" s="1">
        <v>0.2301</v>
      </c>
      <c r="F597" s="4">
        <f t="shared" si="238"/>
        <v>0.119716</v>
      </c>
      <c r="G597" s="4">
        <f t="shared" si="239"/>
        <v>2.06E-2</v>
      </c>
      <c r="H597" s="4">
        <f t="shared" si="240"/>
        <v>2.3010000000000001E-3</v>
      </c>
      <c r="I597" s="3">
        <f t="shared" si="241"/>
        <v>49.539537048928928</v>
      </c>
      <c r="J597" s="4">
        <f t="shared" si="228"/>
        <v>1365031.0921192716</v>
      </c>
      <c r="K597" s="1">
        <f t="shared" si="229"/>
        <v>1872.18</v>
      </c>
      <c r="L597" s="5">
        <f t="shared" si="230"/>
        <v>0.1589041095890413</v>
      </c>
      <c r="M597" s="5">
        <f t="shared" si="231"/>
        <v>-0.40575884399057799</v>
      </c>
      <c r="N597" s="5">
        <f t="shared" si="232"/>
        <v>27.124585415945209</v>
      </c>
      <c r="O597" s="1">
        <f t="shared" si="233"/>
        <v>0</v>
      </c>
      <c r="P597" s="1">
        <f t="shared" si="234"/>
        <v>1872.18</v>
      </c>
      <c r="Q597" s="5">
        <f t="shared" si="235"/>
        <v>0.1589041095890413</v>
      </c>
      <c r="R597" s="5">
        <f t="shared" si="236"/>
        <v>-0.40575884399057799</v>
      </c>
      <c r="S597" s="5">
        <f t="shared" si="242"/>
        <v>27.124585415945209</v>
      </c>
      <c r="T597" s="5">
        <f t="shared" si="243"/>
        <v>-709.2746757153252</v>
      </c>
      <c r="U597" s="4">
        <f t="shared" si="244"/>
        <v>1365053.1196073061</v>
      </c>
      <c r="V597" s="4">
        <f t="shared" si="237"/>
        <v>66.083530475235875</v>
      </c>
      <c r="W597" s="4">
        <f t="shared" si="245"/>
        <v>1345814.3380824989</v>
      </c>
      <c r="X597" s="4">
        <f t="shared" si="249"/>
        <v>7260.4706574976444</v>
      </c>
      <c r="Y597" s="9">
        <f>SUM($X$6:X597)</f>
        <v>345814.33808249887</v>
      </c>
      <c r="Z597" s="16">
        <f t="shared" si="250"/>
        <v>0.3458143380824989</v>
      </c>
      <c r="AA597" s="16">
        <f t="shared" si="246"/>
        <v>0.4851690601851128</v>
      </c>
      <c r="AB597" s="16">
        <f t="shared" si="247"/>
        <v>5.4241154085675576E-3</v>
      </c>
      <c r="AC597" s="16">
        <f t="shared" si="248"/>
        <v>9.6727141092798827E-3</v>
      </c>
    </row>
    <row r="598" spans="1:29" x14ac:dyDescent="0.15">
      <c r="A598" s="8">
        <v>41772</v>
      </c>
      <c r="B598" s="4">
        <v>1897.45</v>
      </c>
      <c r="C598" s="1">
        <v>12.1706</v>
      </c>
      <c r="D598" s="1">
        <v>2.06</v>
      </c>
      <c r="E598" s="1">
        <v>0.2288</v>
      </c>
      <c r="F598" s="4">
        <f t="shared" si="238"/>
        <v>0.12170600000000001</v>
      </c>
      <c r="G598" s="4">
        <f t="shared" si="239"/>
        <v>2.06E-2</v>
      </c>
      <c r="H598" s="4">
        <f t="shared" si="240"/>
        <v>2.2880000000000001E-3</v>
      </c>
      <c r="I598" s="3">
        <f t="shared" si="241"/>
        <v>50.311290313333082</v>
      </c>
      <c r="J598" s="4">
        <f t="shared" si="228"/>
        <v>1365053.1196073061</v>
      </c>
      <c r="K598" s="1">
        <f t="shared" si="229"/>
        <v>1872.18</v>
      </c>
      <c r="L598" s="5">
        <f t="shared" si="230"/>
        <v>0.15616438356164405</v>
      </c>
      <c r="M598" s="5">
        <f t="shared" si="231"/>
        <v>-0.40256798112639475</v>
      </c>
      <c r="N598" s="5">
        <f t="shared" si="232"/>
        <v>27.038199537704571</v>
      </c>
      <c r="O598" s="1">
        <f t="shared" si="233"/>
        <v>0</v>
      </c>
      <c r="P598" s="1">
        <f t="shared" si="234"/>
        <v>1872.18</v>
      </c>
      <c r="Q598" s="5">
        <f t="shared" si="235"/>
        <v>0.15616438356164405</v>
      </c>
      <c r="R598" s="5">
        <f t="shared" si="236"/>
        <v>-0.40256798112639475</v>
      </c>
      <c r="S598" s="5">
        <f t="shared" si="242"/>
        <v>27.038199537704571</v>
      </c>
      <c r="T598" s="5">
        <f t="shared" si="243"/>
        <v>-709.2746757153252</v>
      </c>
      <c r="U598" s="4">
        <f t="shared" si="244"/>
        <v>1365119.2031377812</v>
      </c>
      <c r="V598" s="4">
        <f t="shared" si="237"/>
        <v>22.028909880771316</v>
      </c>
      <c r="W598" s="4">
        <f t="shared" si="245"/>
        <v>1345941.6929287496</v>
      </c>
      <c r="X598" s="4">
        <f t="shared" si="249"/>
        <v>127.3548462507315</v>
      </c>
      <c r="Y598" s="9">
        <f>SUM($X$6:X598)</f>
        <v>345941.6929287496</v>
      </c>
      <c r="Z598" s="16">
        <f t="shared" si="250"/>
        <v>0.3459416929287496</v>
      </c>
      <c r="AA598" s="16">
        <f t="shared" si="246"/>
        <v>0.48579549903685038</v>
      </c>
      <c r="AB598" s="16">
        <f t="shared" si="247"/>
        <v>9.463032354981836E-5</v>
      </c>
      <c r="AC598" s="16">
        <f t="shared" si="248"/>
        <v>4.2179632509949355E-4</v>
      </c>
    </row>
    <row r="599" spans="1:29" x14ac:dyDescent="0.15">
      <c r="A599" s="8">
        <v>41773</v>
      </c>
      <c r="B599" s="4">
        <v>1888.53</v>
      </c>
      <c r="C599" s="1">
        <v>12.1806</v>
      </c>
      <c r="D599" s="1">
        <v>2.0699999999999998</v>
      </c>
      <c r="E599" s="1">
        <v>0.23019999999999999</v>
      </c>
      <c r="F599" s="4">
        <f t="shared" si="238"/>
        <v>0.121806</v>
      </c>
      <c r="G599" s="4">
        <f t="shared" si="239"/>
        <v>2.07E-2</v>
      </c>
      <c r="H599" s="4">
        <f t="shared" si="240"/>
        <v>2.3019999999999998E-3</v>
      </c>
      <c r="I599" s="3">
        <f t="shared" si="241"/>
        <v>50.132851039723</v>
      </c>
      <c r="J599" s="4">
        <f t="shared" si="228"/>
        <v>1365119.2031377812</v>
      </c>
      <c r="K599" s="1">
        <f t="shared" si="229"/>
        <v>1872.18</v>
      </c>
      <c r="L599" s="5">
        <f t="shared" si="230"/>
        <v>0.15342465753424681</v>
      </c>
      <c r="M599" s="5">
        <f t="shared" si="231"/>
        <v>-0.44018902389300962</v>
      </c>
      <c r="N599" s="5">
        <f t="shared" si="232"/>
        <v>30.482486943619389</v>
      </c>
      <c r="O599" s="1">
        <f t="shared" si="233"/>
        <v>0</v>
      </c>
      <c r="P599" s="1">
        <f t="shared" si="234"/>
        <v>1872.18</v>
      </c>
      <c r="Q599" s="5">
        <f t="shared" si="235"/>
        <v>0.15342465753424681</v>
      </c>
      <c r="R599" s="5">
        <f t="shared" si="236"/>
        <v>-0.44018902389300962</v>
      </c>
      <c r="S599" s="5">
        <f t="shared" si="242"/>
        <v>30.482486943619389</v>
      </c>
      <c r="T599" s="5">
        <f t="shared" si="243"/>
        <v>-709.2746757153252</v>
      </c>
      <c r="U599" s="4">
        <f t="shared" si="244"/>
        <v>1365141.2320476619</v>
      </c>
      <c r="V599" s="4">
        <f t="shared" si="237"/>
        <v>22.029265360988294</v>
      </c>
      <c r="W599" s="4">
        <f t="shared" si="245"/>
        <v>1343520.7760057296</v>
      </c>
      <c r="X599" s="4">
        <f t="shared" si="249"/>
        <v>-2420.916923020035</v>
      </c>
      <c r="Y599" s="9">
        <f>SUM($X$6:X599)</f>
        <v>343520.77600572957</v>
      </c>
      <c r="Z599" s="16">
        <f t="shared" si="250"/>
        <v>0.34352077600572956</v>
      </c>
      <c r="AA599" s="16">
        <f t="shared" si="246"/>
        <v>0.47881070583997626</v>
      </c>
      <c r="AB599" s="16">
        <f t="shared" si="247"/>
        <v>-1.7986788994938962E-3</v>
      </c>
      <c r="AC599" s="16">
        <f t="shared" si="248"/>
        <v>-4.7010461408733151E-3</v>
      </c>
    </row>
    <row r="600" spans="1:29" x14ac:dyDescent="0.15">
      <c r="A600" s="8">
        <v>41774</v>
      </c>
      <c r="B600" s="4">
        <v>1870.85</v>
      </c>
      <c r="C600" s="1">
        <v>12.755700000000001</v>
      </c>
      <c r="D600" s="1">
        <v>2.09</v>
      </c>
      <c r="E600" s="1">
        <v>0.23089999999999999</v>
      </c>
      <c r="F600" s="4">
        <f t="shared" si="238"/>
        <v>0.127557</v>
      </c>
      <c r="G600" s="4">
        <f t="shared" si="239"/>
        <v>2.0899999999999998E-2</v>
      </c>
      <c r="H600" s="4">
        <f t="shared" si="240"/>
        <v>2.3089999999999999E-3</v>
      </c>
      <c r="I600" s="3">
        <f t="shared" si="241"/>
        <v>51.839908726086058</v>
      </c>
      <c r="J600" s="4">
        <f t="shared" si="228"/>
        <v>1365141.2320476619</v>
      </c>
      <c r="K600" s="1">
        <f t="shared" si="229"/>
        <v>1872.18</v>
      </c>
      <c r="L600" s="5">
        <f t="shared" si="230"/>
        <v>0.15068493150684956</v>
      </c>
      <c r="M600" s="5">
        <f t="shared" si="231"/>
        <v>-0.51678283691024951</v>
      </c>
      <c r="N600" s="5">
        <f t="shared" si="232"/>
        <v>40.274550696188101</v>
      </c>
      <c r="O600" s="1">
        <f t="shared" si="233"/>
        <v>0</v>
      </c>
      <c r="P600" s="1">
        <f t="shared" si="234"/>
        <v>1872.18</v>
      </c>
      <c r="Q600" s="5">
        <f t="shared" si="235"/>
        <v>0.15068493150684956</v>
      </c>
      <c r="R600" s="5">
        <f t="shared" si="236"/>
        <v>-0.51678283691024951</v>
      </c>
      <c r="S600" s="5">
        <f t="shared" si="242"/>
        <v>40.274550696188101</v>
      </c>
      <c r="T600" s="5">
        <f t="shared" si="243"/>
        <v>-709.2746757153252</v>
      </c>
      <c r="U600" s="4">
        <f t="shared" si="244"/>
        <v>1365163.2613130228</v>
      </c>
      <c r="V600" s="4">
        <f t="shared" si="237"/>
        <v>22.029620846941654</v>
      </c>
      <c r="W600" s="4">
        <f t="shared" si="245"/>
        <v>1336597.5424284036</v>
      </c>
      <c r="X600" s="4">
        <f t="shared" si="249"/>
        <v>-6923.2335773259401</v>
      </c>
      <c r="Y600" s="9">
        <f>SUM($X$6:X600)</f>
        <v>336597.54242840363</v>
      </c>
      <c r="Z600" s="16">
        <f t="shared" si="250"/>
        <v>0.33659754242840362</v>
      </c>
      <c r="AA600" s="16">
        <f t="shared" si="246"/>
        <v>0.46496640721657556</v>
      </c>
      <c r="AB600" s="16">
        <f t="shared" si="247"/>
        <v>-5.1530528600448045E-3</v>
      </c>
      <c r="AC600" s="16">
        <f t="shared" si="248"/>
        <v>-9.3617787379602461E-3</v>
      </c>
    </row>
    <row r="601" spans="1:29" x14ac:dyDescent="0.15">
      <c r="A601" s="8">
        <v>41775</v>
      </c>
      <c r="B601" s="4">
        <v>1877.86</v>
      </c>
      <c r="C601" s="1">
        <v>12.214399999999999</v>
      </c>
      <c r="D601" s="1">
        <v>2.08</v>
      </c>
      <c r="E601" s="1">
        <v>0.23369999999999999</v>
      </c>
      <c r="F601" s="4">
        <f t="shared" si="238"/>
        <v>0.12214399999999999</v>
      </c>
      <c r="G601" s="4">
        <f t="shared" si="239"/>
        <v>2.0799999999999999E-2</v>
      </c>
      <c r="H601" s="4">
        <f t="shared" si="240"/>
        <v>2.3370000000000001E-3</v>
      </c>
      <c r="I601" s="3">
        <f t="shared" si="241"/>
        <v>49.990504999235085</v>
      </c>
      <c r="J601" s="4">
        <f t="shared" si="228"/>
        <v>1365163.2613130228</v>
      </c>
      <c r="K601" s="1">
        <f t="shared" si="229"/>
        <v>1872.18</v>
      </c>
      <c r="L601" s="5">
        <f t="shared" si="230"/>
        <v>0.14794520547945231</v>
      </c>
      <c r="M601" s="5">
        <f t="shared" si="231"/>
        <v>-0.48660198627149437</v>
      </c>
      <c r="N601" s="5">
        <f t="shared" si="232"/>
        <v>34.801615922709402</v>
      </c>
      <c r="O601" s="1">
        <f t="shared" si="233"/>
        <v>0</v>
      </c>
      <c r="P601" s="1">
        <f t="shared" si="234"/>
        <v>1872.18</v>
      </c>
      <c r="Q601" s="5">
        <f t="shared" si="235"/>
        <v>0.14794520547945231</v>
      </c>
      <c r="R601" s="5">
        <f t="shared" si="236"/>
        <v>-0.48660198627149437</v>
      </c>
      <c r="S601" s="5">
        <f t="shared" si="242"/>
        <v>34.801615922709402</v>
      </c>
      <c r="T601" s="5">
        <f t="shared" si="243"/>
        <v>-709.2746757153252</v>
      </c>
      <c r="U601" s="4">
        <f t="shared" si="244"/>
        <v>1365185.2909338698</v>
      </c>
      <c r="V601" s="4">
        <f t="shared" si="237"/>
        <v>22.029976338631485</v>
      </c>
      <c r="W601" s="4">
        <f t="shared" si="245"/>
        <v>1340501.3860859207</v>
      </c>
      <c r="X601" s="4">
        <f t="shared" si="249"/>
        <v>3903.8436575171072</v>
      </c>
      <c r="Y601" s="9">
        <f>SUM($X$6:X601)</f>
        <v>340501.38608592073</v>
      </c>
      <c r="Z601" s="16">
        <f t="shared" si="250"/>
        <v>0.34050138608592073</v>
      </c>
      <c r="AA601" s="16">
        <f t="shared" si="246"/>
        <v>0.47045557765492613</v>
      </c>
      <c r="AB601" s="16">
        <f t="shared" si="247"/>
        <v>2.9207323323551756E-3</v>
      </c>
      <c r="AC601" s="16">
        <f t="shared" si="248"/>
        <v>3.7469599379960934E-3</v>
      </c>
    </row>
    <row r="602" spans="1:29" x14ac:dyDescent="0.15">
      <c r="A602" s="8">
        <v>41778</v>
      </c>
      <c r="B602" s="4">
        <v>1885.08</v>
      </c>
      <c r="C602" s="1">
        <v>12.053900000000001</v>
      </c>
      <c r="D602" s="1">
        <v>2.0699999999999998</v>
      </c>
      <c r="E602" s="1">
        <v>0.23200000000000001</v>
      </c>
      <c r="F602" s="4">
        <f t="shared" si="238"/>
        <v>0.12053900000000001</v>
      </c>
      <c r="G602" s="4">
        <f t="shared" si="239"/>
        <v>2.07E-2</v>
      </c>
      <c r="H602" s="4">
        <f t="shared" si="240"/>
        <v>2.32E-3</v>
      </c>
      <c r="I602" s="3">
        <f t="shared" si="241"/>
        <v>49.563859293647859</v>
      </c>
      <c r="J602" s="4">
        <f t="shared" si="228"/>
        <v>1365185.2909338698</v>
      </c>
      <c r="K602" s="1">
        <f t="shared" si="229"/>
        <v>1872.18</v>
      </c>
      <c r="L602" s="5">
        <f t="shared" si="230"/>
        <v>0.13972602739726053</v>
      </c>
      <c r="M602" s="5">
        <f t="shared" si="231"/>
        <v>-0.45175275982892626</v>
      </c>
      <c r="N602" s="5">
        <f t="shared" si="232"/>
        <v>29.833783415382822</v>
      </c>
      <c r="O602" s="1">
        <f t="shared" si="233"/>
        <v>0</v>
      </c>
      <c r="P602" s="1">
        <f t="shared" si="234"/>
        <v>1872.18</v>
      </c>
      <c r="Q602" s="5">
        <f t="shared" si="235"/>
        <v>0.13972602739726053</v>
      </c>
      <c r="R602" s="5">
        <f t="shared" si="236"/>
        <v>-0.45175275982892626</v>
      </c>
      <c r="S602" s="5">
        <f t="shared" si="242"/>
        <v>29.833783415382822</v>
      </c>
      <c r="T602" s="5">
        <f t="shared" si="243"/>
        <v>-709.2746757153252</v>
      </c>
      <c r="U602" s="4">
        <f t="shared" si="244"/>
        <v>1365207.3209102084</v>
      </c>
      <c r="V602" s="4">
        <f t="shared" si="237"/>
        <v>66.090995508173648</v>
      </c>
      <c r="W602" s="4">
        <f t="shared" si="245"/>
        <v>1344046.9738529015</v>
      </c>
      <c r="X602" s="4">
        <f t="shared" si="249"/>
        <v>3545.5877669807523</v>
      </c>
      <c r="Y602" s="9">
        <f>SUM($X$6:X602)</f>
        <v>344046.97385290149</v>
      </c>
      <c r="Z602" s="16">
        <f t="shared" si="250"/>
        <v>0.34404697385290151</v>
      </c>
      <c r="AA602" s="16">
        <f t="shared" si="246"/>
        <v>0.47610918829185789</v>
      </c>
      <c r="AB602" s="16">
        <f t="shared" si="247"/>
        <v>2.6449713545864954E-3</v>
      </c>
      <c r="AC602" s="16">
        <f t="shared" si="248"/>
        <v>3.8448020619215638E-3</v>
      </c>
    </row>
    <row r="603" spans="1:29" x14ac:dyDescent="0.15">
      <c r="A603" s="8">
        <v>41779</v>
      </c>
      <c r="B603" s="4">
        <v>1872.83</v>
      </c>
      <c r="C603" s="1">
        <v>12.2836</v>
      </c>
      <c r="D603" s="1">
        <v>2.08</v>
      </c>
      <c r="E603" s="1">
        <v>0.23319999999999999</v>
      </c>
      <c r="F603" s="4">
        <f t="shared" si="238"/>
        <v>0.122836</v>
      </c>
      <c r="G603" s="4">
        <f t="shared" si="239"/>
        <v>2.0799999999999999E-2</v>
      </c>
      <c r="H603" s="4">
        <f t="shared" si="240"/>
        <v>2.3319999999999999E-3</v>
      </c>
      <c r="I603" s="3">
        <f t="shared" si="241"/>
        <v>50.114434614849245</v>
      </c>
      <c r="J603" s="4">
        <f t="shared" si="228"/>
        <v>1365207.3209102084</v>
      </c>
      <c r="K603" s="1">
        <f t="shared" si="229"/>
        <v>1872.18</v>
      </c>
      <c r="L603" s="5">
        <f t="shared" si="230"/>
        <v>0.13698630136986328</v>
      </c>
      <c r="M603" s="5">
        <f t="shared" si="231"/>
        <v>-0.50863235831023657</v>
      </c>
      <c r="N603" s="5">
        <f t="shared" si="232"/>
        <v>35.985065924033101</v>
      </c>
      <c r="O603" s="1">
        <f t="shared" si="233"/>
        <v>0</v>
      </c>
      <c r="P603" s="1">
        <f t="shared" si="234"/>
        <v>1872.18</v>
      </c>
      <c r="Q603" s="5">
        <f t="shared" si="235"/>
        <v>0.13698630136986328</v>
      </c>
      <c r="R603" s="5">
        <f t="shared" si="236"/>
        <v>-0.50863235831023657</v>
      </c>
      <c r="S603" s="5">
        <f t="shared" si="242"/>
        <v>35.985065924033101</v>
      </c>
      <c r="T603" s="5">
        <f t="shared" si="243"/>
        <v>-709.2746757153252</v>
      </c>
      <c r="U603" s="4">
        <f t="shared" si="244"/>
        <v>1365273.4119057166</v>
      </c>
      <c r="V603" s="4">
        <f t="shared" si="237"/>
        <v>22.031398345547043</v>
      </c>
      <c r="W603" s="4">
        <f t="shared" si="245"/>
        <v>1339750.1159418535</v>
      </c>
      <c r="X603" s="4">
        <f t="shared" si="249"/>
        <v>-4296.8579110479914</v>
      </c>
      <c r="Y603" s="9">
        <f>SUM($X$6:X603)</f>
        <v>339750.1159418535</v>
      </c>
      <c r="Z603" s="16">
        <f t="shared" si="250"/>
        <v>0.3397501159418535</v>
      </c>
      <c r="AA603" s="16">
        <f t="shared" si="246"/>
        <v>0.46651684337462612</v>
      </c>
      <c r="AB603" s="16">
        <f t="shared" si="247"/>
        <v>-3.1969551620137488E-3</v>
      </c>
      <c r="AC603" s="16">
        <f t="shared" si="248"/>
        <v>-6.4983979459757677E-3</v>
      </c>
    </row>
    <row r="604" spans="1:29" x14ac:dyDescent="0.15">
      <c r="A604" s="8">
        <v>41780</v>
      </c>
      <c r="B604" s="4">
        <v>1888.03</v>
      </c>
      <c r="C604" s="1">
        <v>11.7829</v>
      </c>
      <c r="D604" s="1">
        <v>2.0699999999999998</v>
      </c>
      <c r="E604" s="1">
        <v>0.23219999999999999</v>
      </c>
      <c r="F604" s="4">
        <f t="shared" si="238"/>
        <v>0.117829</v>
      </c>
      <c r="G604" s="4">
        <f t="shared" si="239"/>
        <v>2.07E-2</v>
      </c>
      <c r="H604" s="4">
        <f t="shared" si="240"/>
        <v>2.3219999999999998E-3</v>
      </c>
      <c r="I604" s="3">
        <f t="shared" si="241"/>
        <v>48.62808276272942</v>
      </c>
      <c r="J604" s="4">
        <f t="shared" ref="J604:J667" si="251">U603</f>
        <v>1365273.4119057166</v>
      </c>
      <c r="K604" s="1">
        <f t="shared" ref="K604:K667" si="252">P603</f>
        <v>1872.18</v>
      </c>
      <c r="L604" s="5">
        <f t="shared" ref="L604:L667" si="253">Q603-(A604-A603)/365</f>
        <v>0.13424657534246603</v>
      </c>
      <c r="M604" s="5">
        <f t="shared" ref="M604:M667" si="254">BSM_Put(B604,K604,F604,H604,G604,L604,$G$3)</f>
        <v>-0.43534204295709061</v>
      </c>
      <c r="N604" s="5">
        <f t="shared" ref="N604:N667" si="255">BSM_Put(B604,K604,F604,H604,G604,L604,$F$3)</f>
        <v>27.039567164316225</v>
      </c>
      <c r="O604" s="1">
        <f t="shared" ref="O604:O667" si="256">IF(OR(M604&gt;-0.05,L604&lt;=0.00001),1,0)</f>
        <v>0</v>
      </c>
      <c r="P604" s="1">
        <f t="shared" ref="P604:P667" si="257">IF(O604,B604,K604)</f>
        <v>1872.18</v>
      </c>
      <c r="Q604" s="5">
        <f t="shared" ref="Q604:Q667" si="258">IF(O604,$B$3,L604)</f>
        <v>0.13424657534246603</v>
      </c>
      <c r="R604" s="5">
        <f t="shared" ref="R604:R667" si="259">IF(O604,BSM_Put(B604,P604,F604,H604,G604,Q604,$G$3),M604)</f>
        <v>-0.43534204295709061</v>
      </c>
      <c r="S604" s="5">
        <f t="shared" si="242"/>
        <v>27.039567164316225</v>
      </c>
      <c r="T604" s="5">
        <f t="shared" si="243"/>
        <v>-709.2746757153252</v>
      </c>
      <c r="U604" s="4">
        <f t="shared" si="244"/>
        <v>1365295.4433040621</v>
      </c>
      <c r="V604" s="4">
        <f t="shared" ref="V604:V667" si="260">U604*$H$6*(A604-A603)/365</f>
        <v>22.031753865920344</v>
      </c>
      <c r="W604" s="4">
        <f t="shared" si="245"/>
        <v>1346116.963072109</v>
      </c>
      <c r="X604" s="4">
        <f t="shared" si="249"/>
        <v>6366.8471302555408</v>
      </c>
      <c r="Y604" s="9">
        <f>SUM($X$6:X604)</f>
        <v>346116.96307210904</v>
      </c>
      <c r="Z604" s="16">
        <f t="shared" si="250"/>
        <v>0.34611696307210904</v>
      </c>
      <c r="AA604" s="16">
        <f t="shared" si="246"/>
        <v>0.47841918155764024</v>
      </c>
      <c r="AB604" s="16">
        <f t="shared" si="247"/>
        <v>4.7522646607719111E-3</v>
      </c>
      <c r="AC604" s="16">
        <f t="shared" si="248"/>
        <v>8.1160596530384741E-3</v>
      </c>
    </row>
    <row r="605" spans="1:29" x14ac:dyDescent="0.15">
      <c r="A605" s="8">
        <v>41781</v>
      </c>
      <c r="B605" s="4">
        <v>1892.49</v>
      </c>
      <c r="C605" s="1">
        <v>11.900600000000001</v>
      </c>
      <c r="D605" s="1">
        <v>2.06</v>
      </c>
      <c r="E605" s="1">
        <v>0.23219999999999999</v>
      </c>
      <c r="F605" s="4">
        <f t="shared" si="238"/>
        <v>0.119006</v>
      </c>
      <c r="G605" s="4">
        <f t="shared" si="239"/>
        <v>2.06E-2</v>
      </c>
      <c r="H605" s="4">
        <f t="shared" si="240"/>
        <v>2.3219999999999998E-3</v>
      </c>
      <c r="I605" s="3">
        <f t="shared" si="241"/>
        <v>49.159515310086384</v>
      </c>
      <c r="J605" s="4">
        <f t="shared" si="251"/>
        <v>1365295.4433040621</v>
      </c>
      <c r="K605" s="1">
        <f t="shared" si="252"/>
        <v>1872.18</v>
      </c>
      <c r="L605" s="5">
        <f t="shared" si="253"/>
        <v>0.13150684931506879</v>
      </c>
      <c r="M605" s="5">
        <f t="shared" si="254"/>
        <v>-0.41341119561722772</v>
      </c>
      <c r="N605" s="5">
        <f t="shared" si="255"/>
        <v>25.084370363846112</v>
      </c>
      <c r="O605" s="1">
        <f t="shared" si="256"/>
        <v>0</v>
      </c>
      <c r="P605" s="1">
        <f t="shared" si="257"/>
        <v>1872.18</v>
      </c>
      <c r="Q605" s="5">
        <f t="shared" si="258"/>
        <v>0.13150684931506879</v>
      </c>
      <c r="R605" s="5">
        <f t="shared" si="259"/>
        <v>-0.41341119561722772</v>
      </c>
      <c r="S605" s="5">
        <f t="shared" si="242"/>
        <v>25.084370363846112</v>
      </c>
      <c r="T605" s="5">
        <f t="shared" si="243"/>
        <v>-709.2746757153252</v>
      </c>
      <c r="U605" s="4">
        <f t="shared" si="244"/>
        <v>1365317.4750579281</v>
      </c>
      <c r="V605" s="4">
        <f t="shared" si="260"/>
        <v>22.032109392030673</v>
      </c>
      <c r="W605" s="4">
        <f t="shared" si="245"/>
        <v>1347525.766402588</v>
      </c>
      <c r="X605" s="4">
        <f t="shared" si="249"/>
        <v>1408.8033304789569</v>
      </c>
      <c r="Y605" s="9">
        <f>SUM($X$6:X605)</f>
        <v>347525.76640258799</v>
      </c>
      <c r="Z605" s="16">
        <f t="shared" si="250"/>
        <v>0.34752576640258798</v>
      </c>
      <c r="AA605" s="16">
        <f t="shared" si="246"/>
        <v>0.48191157815607732</v>
      </c>
      <c r="AB605" s="16">
        <f t="shared" si="247"/>
        <v>1.0465682917060826E-3</v>
      </c>
      <c r="AC605" s="16">
        <f t="shared" si="248"/>
        <v>2.36225059983159E-3</v>
      </c>
    </row>
    <row r="606" spans="1:29" x14ac:dyDescent="0.15">
      <c r="A606" s="8">
        <v>41782</v>
      </c>
      <c r="B606" s="4">
        <v>1900.53</v>
      </c>
      <c r="C606" s="1">
        <v>11.839499999999999</v>
      </c>
      <c r="D606" s="1">
        <v>2.0499999999999998</v>
      </c>
      <c r="E606" s="1">
        <v>0.2344</v>
      </c>
      <c r="F606" s="4">
        <f t="shared" si="238"/>
        <v>0.11839499999999999</v>
      </c>
      <c r="G606" s="4">
        <f t="shared" si="239"/>
        <v>2.0499999999999997E-2</v>
      </c>
      <c r="H606" s="4">
        <f t="shared" si="240"/>
        <v>2.3440000000000002E-3</v>
      </c>
      <c r="I606" s="3">
        <f t="shared" si="241"/>
        <v>49.108382229047187</v>
      </c>
      <c r="J606" s="4">
        <f t="shared" si="251"/>
        <v>1365317.4750579281</v>
      </c>
      <c r="K606" s="1">
        <f t="shared" si="252"/>
        <v>1872.18</v>
      </c>
      <c r="L606" s="5">
        <f t="shared" si="253"/>
        <v>0.12876712328767154</v>
      </c>
      <c r="M606" s="5">
        <f t="shared" si="254"/>
        <v>-0.37350892178141271</v>
      </c>
      <c r="N606" s="5">
        <f t="shared" si="255"/>
        <v>21.383544894142467</v>
      </c>
      <c r="O606" s="1">
        <f t="shared" si="256"/>
        <v>0</v>
      </c>
      <c r="P606" s="1">
        <f t="shared" si="257"/>
        <v>1872.18</v>
      </c>
      <c r="Q606" s="5">
        <f t="shared" si="258"/>
        <v>0.12876712328767154</v>
      </c>
      <c r="R606" s="5">
        <f t="shared" si="259"/>
        <v>-0.37350892178141271</v>
      </c>
      <c r="S606" s="5">
        <f t="shared" si="242"/>
        <v>21.383544894142467</v>
      </c>
      <c r="T606" s="5">
        <f t="shared" si="243"/>
        <v>-709.2746757153252</v>
      </c>
      <c r="U606" s="4">
        <f t="shared" si="244"/>
        <v>1365339.5071673202</v>
      </c>
      <c r="V606" s="4">
        <f t="shared" si="260"/>
        <v>22.032464923878123</v>
      </c>
      <c r="W606" s="4">
        <f t="shared" si="245"/>
        <v>1350172.7002968832</v>
      </c>
      <c r="X606" s="4">
        <f t="shared" si="249"/>
        <v>2646.9338942952454</v>
      </c>
      <c r="Y606" s="9">
        <f>SUM($X$6:X606)</f>
        <v>350172.70029688324</v>
      </c>
      <c r="Z606" s="16">
        <f t="shared" si="250"/>
        <v>0.35017270029688324</v>
      </c>
      <c r="AA606" s="16">
        <f t="shared" si="246"/>
        <v>0.48820728861604001</v>
      </c>
      <c r="AB606" s="16">
        <f t="shared" si="247"/>
        <v>1.9642918601561234E-3</v>
      </c>
      <c r="AC606" s="16">
        <f t="shared" si="248"/>
        <v>4.2483711935069474E-3</v>
      </c>
    </row>
    <row r="607" spans="1:29" x14ac:dyDescent="0.15">
      <c r="A607" s="8">
        <v>41786</v>
      </c>
      <c r="B607" s="4">
        <v>1911.91</v>
      </c>
      <c r="C607" s="1">
        <v>11.693</v>
      </c>
      <c r="D607" s="1">
        <v>2.04</v>
      </c>
      <c r="E607" s="1">
        <v>0.23499999999999999</v>
      </c>
      <c r="F607" s="4">
        <f t="shared" si="238"/>
        <v>0.11692999999999999</v>
      </c>
      <c r="G607" s="4">
        <f t="shared" si="239"/>
        <v>2.0400000000000001E-2</v>
      </c>
      <c r="H607" s="4">
        <f t="shared" si="240"/>
        <v>2.3499999999999997E-3</v>
      </c>
      <c r="I607" s="3">
        <f t="shared" si="241"/>
        <v>48.821793477933142</v>
      </c>
      <c r="J607" s="4">
        <f t="shared" si="251"/>
        <v>1365339.5071673202</v>
      </c>
      <c r="K607" s="1">
        <f t="shared" si="252"/>
        <v>1872.18</v>
      </c>
      <c r="L607" s="5">
        <f t="shared" si="253"/>
        <v>0.1178082191780825</v>
      </c>
      <c r="M607" s="5">
        <f t="shared" si="254"/>
        <v>-0.31120853956408473</v>
      </c>
      <c r="N607" s="5">
        <f t="shared" si="255"/>
        <v>15.705356194010824</v>
      </c>
      <c r="O607" s="1">
        <f t="shared" si="256"/>
        <v>0</v>
      </c>
      <c r="P607" s="1">
        <f t="shared" si="257"/>
        <v>1872.18</v>
      </c>
      <c r="Q607" s="5">
        <f t="shared" si="258"/>
        <v>0.1178082191780825</v>
      </c>
      <c r="R607" s="5">
        <f t="shared" si="259"/>
        <v>-0.31120853956408473</v>
      </c>
      <c r="S607" s="5">
        <f t="shared" si="242"/>
        <v>15.705356194010824</v>
      </c>
      <c r="T607" s="5">
        <f t="shared" si="243"/>
        <v>-709.2746757153252</v>
      </c>
      <c r="U607" s="4">
        <f t="shared" si="244"/>
        <v>1365361.539632244</v>
      </c>
      <c r="V607" s="4">
        <f t="shared" si="260"/>
        <v>88.131281845851149</v>
      </c>
      <c r="W607" s="4">
        <f t="shared" si="245"/>
        <v>1354222.1282107434</v>
      </c>
      <c r="X607" s="4">
        <f t="shared" si="249"/>
        <v>4049.4279138601851</v>
      </c>
      <c r="Y607" s="9">
        <f>SUM($X$6:X607)</f>
        <v>354222.12821074342</v>
      </c>
      <c r="Z607" s="16">
        <f t="shared" si="250"/>
        <v>0.35422212821074345</v>
      </c>
      <c r="AA607" s="16">
        <f t="shared" si="246"/>
        <v>0.49711838128200725</v>
      </c>
      <c r="AB607" s="16">
        <f t="shared" si="247"/>
        <v>2.9991925573445346E-3</v>
      </c>
      <c r="AC607" s="16">
        <f t="shared" si="248"/>
        <v>5.9878034022089154E-3</v>
      </c>
    </row>
    <row r="608" spans="1:29" x14ac:dyDescent="0.15">
      <c r="A608" s="8">
        <v>41787</v>
      </c>
      <c r="B608" s="4">
        <v>1909.78</v>
      </c>
      <c r="C608" s="1">
        <v>11.8489</v>
      </c>
      <c r="D608" s="1">
        <v>2.04</v>
      </c>
      <c r="E608" s="1">
        <v>0.23269999999999999</v>
      </c>
      <c r="F608" s="4">
        <f t="shared" si="238"/>
        <v>0.11848900000000001</v>
      </c>
      <c r="G608" s="4">
        <f t="shared" si="239"/>
        <v>2.0400000000000001E-2</v>
      </c>
      <c r="H608" s="4">
        <f t="shared" si="240"/>
        <v>2.3270000000000001E-3</v>
      </c>
      <c r="I608" s="3">
        <f t="shared" si="241"/>
        <v>49.362751123760006</v>
      </c>
      <c r="J608" s="4">
        <f t="shared" si="251"/>
        <v>1365361.539632244</v>
      </c>
      <c r="K608" s="1">
        <f t="shared" si="252"/>
        <v>1872.18</v>
      </c>
      <c r="L608" s="5">
        <f t="shared" si="253"/>
        <v>0.11506849315068524</v>
      </c>
      <c r="M608" s="5">
        <f t="shared" si="254"/>
        <v>-0.32090087716961863</v>
      </c>
      <c r="N608" s="5">
        <f t="shared" si="255"/>
        <v>16.390747123800111</v>
      </c>
      <c r="O608" s="1">
        <f t="shared" si="256"/>
        <v>0</v>
      </c>
      <c r="P608" s="1">
        <f t="shared" si="257"/>
        <v>1872.18</v>
      </c>
      <c r="Q608" s="5">
        <f t="shared" si="258"/>
        <v>0.11506849315068524</v>
      </c>
      <c r="R608" s="5">
        <f t="shared" si="259"/>
        <v>-0.32090087716961863</v>
      </c>
      <c r="S608" s="5">
        <f t="shared" si="242"/>
        <v>16.390747123800111</v>
      </c>
      <c r="T608" s="5">
        <f t="shared" si="243"/>
        <v>-709.2746757153252</v>
      </c>
      <c r="U608" s="4">
        <f t="shared" si="244"/>
        <v>1365449.6709140898</v>
      </c>
      <c r="V608" s="4">
        <f t="shared" si="260"/>
        <v>22.034242634750651</v>
      </c>
      <c r="W608" s="4">
        <f t="shared" si="245"/>
        <v>1353824.1290631245</v>
      </c>
      <c r="X608" s="4">
        <f t="shared" si="249"/>
        <v>-397.99914761888795</v>
      </c>
      <c r="Y608" s="9">
        <f>SUM($X$6:X608)</f>
        <v>353824.12906312454</v>
      </c>
      <c r="Z608" s="16">
        <f t="shared" si="250"/>
        <v>0.35382412906312455</v>
      </c>
      <c r="AA608" s="16">
        <f t="shared" si="246"/>
        <v>0.49545048783925583</v>
      </c>
      <c r="AB608" s="16">
        <f t="shared" si="247"/>
        <v>-2.9389502602851541E-4</v>
      </c>
      <c r="AC608" s="16">
        <f t="shared" si="248"/>
        <v>-1.1140691768964592E-3</v>
      </c>
    </row>
    <row r="609" spans="1:29" x14ac:dyDescent="0.15">
      <c r="A609" s="8">
        <v>41788</v>
      </c>
      <c r="B609" s="4">
        <v>1920.03</v>
      </c>
      <c r="C609" s="1">
        <v>11.857900000000001</v>
      </c>
      <c r="D609" s="1">
        <v>2.0299999999999998</v>
      </c>
      <c r="E609" s="1">
        <v>0.2324</v>
      </c>
      <c r="F609" s="4">
        <f t="shared" si="238"/>
        <v>0.118579</v>
      </c>
      <c r="G609" s="4">
        <f t="shared" si="239"/>
        <v>2.0299999999999999E-2</v>
      </c>
      <c r="H609" s="4">
        <f t="shared" si="240"/>
        <v>2.3240000000000001E-3</v>
      </c>
      <c r="I609" s="3">
        <f t="shared" si="241"/>
        <v>49.63798180223386</v>
      </c>
      <c r="J609" s="4">
        <f t="shared" si="251"/>
        <v>1365449.6709140898</v>
      </c>
      <c r="K609" s="1">
        <f t="shared" si="252"/>
        <v>1872.18</v>
      </c>
      <c r="L609" s="5">
        <f t="shared" si="253"/>
        <v>0.11232876712328797</v>
      </c>
      <c r="M609" s="5">
        <f t="shared" si="254"/>
        <v>-0.27227162673595501</v>
      </c>
      <c r="N609" s="5">
        <f t="shared" si="255"/>
        <v>13.020829836127385</v>
      </c>
      <c r="O609" s="1">
        <f t="shared" si="256"/>
        <v>0</v>
      </c>
      <c r="P609" s="1">
        <f t="shared" si="257"/>
        <v>1872.18</v>
      </c>
      <c r="Q609" s="5">
        <f t="shared" si="258"/>
        <v>0.11232876712328797</v>
      </c>
      <c r="R609" s="5">
        <f t="shared" si="259"/>
        <v>-0.27227162673595501</v>
      </c>
      <c r="S609" s="5">
        <f t="shared" si="242"/>
        <v>13.020829836127385</v>
      </c>
      <c r="T609" s="5">
        <f t="shared" si="243"/>
        <v>-709.2746757153252</v>
      </c>
      <c r="U609" s="4">
        <f t="shared" si="244"/>
        <v>1365471.7051567244</v>
      </c>
      <c r="V609" s="4">
        <f t="shared" si="260"/>
        <v>22.034598201022209</v>
      </c>
      <c r="W609" s="4">
        <f t="shared" si="245"/>
        <v>1356236.3602971607</v>
      </c>
      <c r="X609" s="4">
        <f t="shared" si="249"/>
        <v>2412.2312340361532</v>
      </c>
      <c r="Y609" s="9">
        <f>SUM($X$6:X609)</f>
        <v>356236.36029716069</v>
      </c>
      <c r="Z609" s="16">
        <f t="shared" si="250"/>
        <v>0.35623636029716071</v>
      </c>
      <c r="AA609" s="16">
        <f t="shared" si="246"/>
        <v>0.50347673562714368</v>
      </c>
      <c r="AB609" s="16">
        <f t="shared" si="247"/>
        <v>1.7817906936741252E-3</v>
      </c>
      <c r="AC609" s="16">
        <f t="shared" si="248"/>
        <v>5.3671103477887505E-3</v>
      </c>
    </row>
    <row r="610" spans="1:29" x14ac:dyDescent="0.15">
      <c r="A610" s="8">
        <v>41789</v>
      </c>
      <c r="B610" s="4">
        <v>1923.57</v>
      </c>
      <c r="C610" s="1">
        <v>11.7286</v>
      </c>
      <c r="D610" s="1">
        <v>2.0299999999999998</v>
      </c>
      <c r="E610" s="1">
        <v>0.23250000000000001</v>
      </c>
      <c r="F610" s="4">
        <f t="shared" si="238"/>
        <v>0.117286</v>
      </c>
      <c r="G610" s="4">
        <f t="shared" si="239"/>
        <v>2.0299999999999999E-2</v>
      </c>
      <c r="H610" s="4">
        <f t="shared" si="240"/>
        <v>2.3250000000000002E-3</v>
      </c>
      <c r="I610" s="3">
        <f t="shared" si="241"/>
        <v>49.23683843066982</v>
      </c>
      <c r="J610" s="4">
        <f t="shared" si="251"/>
        <v>1365471.7051567244</v>
      </c>
      <c r="K610" s="1">
        <f t="shared" si="252"/>
        <v>1872.18</v>
      </c>
      <c r="L610" s="5">
        <f t="shared" si="253"/>
        <v>0.10958904109589071</v>
      </c>
      <c r="M610" s="5">
        <f t="shared" si="254"/>
        <v>-0.25210572155599525</v>
      </c>
      <c r="N610" s="5">
        <f t="shared" si="255"/>
        <v>11.4952876308167</v>
      </c>
      <c r="O610" s="1">
        <f t="shared" si="256"/>
        <v>0</v>
      </c>
      <c r="P610" s="1">
        <f t="shared" si="257"/>
        <v>1872.18</v>
      </c>
      <c r="Q610" s="5">
        <f t="shared" si="258"/>
        <v>0.10958904109589071</v>
      </c>
      <c r="R610" s="5">
        <f t="shared" si="259"/>
        <v>-0.25210572155599525</v>
      </c>
      <c r="S610" s="5">
        <f t="shared" si="242"/>
        <v>11.4952876308167</v>
      </c>
      <c r="T610" s="5">
        <f t="shared" si="243"/>
        <v>-709.2746757153252</v>
      </c>
      <c r="U610" s="4">
        <f t="shared" si="244"/>
        <v>1365493.7397549255</v>
      </c>
      <c r="V610" s="4">
        <f t="shared" si="260"/>
        <v>22.034953773031535</v>
      </c>
      <c r="W610" s="4">
        <f t="shared" si="245"/>
        <v>1357340.4233483237</v>
      </c>
      <c r="X610" s="4">
        <f t="shared" si="249"/>
        <v>1104.0630511629861</v>
      </c>
      <c r="Y610" s="9">
        <f>SUM($X$6:X610)</f>
        <v>357340.42334832367</v>
      </c>
      <c r="Z610" s="16">
        <f t="shared" si="250"/>
        <v>0.35734042334832367</v>
      </c>
      <c r="AA610" s="16">
        <f t="shared" si="246"/>
        <v>0.50624872754608241</v>
      </c>
      <c r="AB610" s="16">
        <f t="shared" si="247"/>
        <v>8.1406389290512632E-4</v>
      </c>
      <c r="AC610" s="16">
        <f t="shared" si="248"/>
        <v>1.8437211918563583E-3</v>
      </c>
    </row>
    <row r="611" spans="1:29" x14ac:dyDescent="0.15">
      <c r="A611" s="8">
        <v>41792</v>
      </c>
      <c r="B611" s="4">
        <v>1924.97</v>
      </c>
      <c r="C611" s="1">
        <v>11.8535</v>
      </c>
      <c r="D611" s="1">
        <v>2.0299999999999998</v>
      </c>
      <c r="E611" s="1">
        <v>0.23219999999999999</v>
      </c>
      <c r="F611" s="4">
        <f t="shared" si="238"/>
        <v>0.118535</v>
      </c>
      <c r="G611" s="4">
        <f t="shared" si="239"/>
        <v>2.0299999999999999E-2</v>
      </c>
      <c r="H611" s="4">
        <f t="shared" si="240"/>
        <v>2.3219999999999998E-3</v>
      </c>
      <c r="I611" s="3">
        <f t="shared" si="241"/>
        <v>49.749445301471589</v>
      </c>
      <c r="J611" s="4">
        <f t="shared" si="251"/>
        <v>1365493.7397549255</v>
      </c>
      <c r="K611" s="1">
        <f t="shared" si="252"/>
        <v>1872.18</v>
      </c>
      <c r="L611" s="5">
        <f t="shared" si="253"/>
        <v>0.10136986301369894</v>
      </c>
      <c r="M611" s="5">
        <f t="shared" si="254"/>
        <v>-0.23917158914811898</v>
      </c>
      <c r="N611" s="5">
        <f t="shared" si="255"/>
        <v>10.42422438772361</v>
      </c>
      <c r="O611" s="1">
        <f t="shared" si="256"/>
        <v>0</v>
      </c>
      <c r="P611" s="1">
        <f t="shared" si="257"/>
        <v>1872.18</v>
      </c>
      <c r="Q611" s="5">
        <f t="shared" si="258"/>
        <v>0.10136986301369894</v>
      </c>
      <c r="R611" s="5">
        <f t="shared" si="259"/>
        <v>-0.23917158914811898</v>
      </c>
      <c r="S611" s="5">
        <f t="shared" si="242"/>
        <v>10.42422438772361</v>
      </c>
      <c r="T611" s="5">
        <f t="shared" si="243"/>
        <v>-709.2746757153252</v>
      </c>
      <c r="U611" s="4">
        <f t="shared" si="244"/>
        <v>1365515.7747086985</v>
      </c>
      <c r="V611" s="4">
        <f t="shared" si="260"/>
        <v>66.105928052336168</v>
      </c>
      <c r="W611" s="4">
        <f t="shared" si="245"/>
        <v>1358122.1363365122</v>
      </c>
      <c r="X611" s="4">
        <f t="shared" si="249"/>
        <v>781.71298818849027</v>
      </c>
      <c r="Y611" s="9">
        <f>SUM($X$6:X611)</f>
        <v>358122.13633651217</v>
      </c>
      <c r="Z611" s="16">
        <f t="shared" si="250"/>
        <v>0.35812213633651219</v>
      </c>
      <c r="AA611" s="16">
        <f t="shared" si="246"/>
        <v>0.50734499553662327</v>
      </c>
      <c r="AB611" s="16">
        <f t="shared" si="247"/>
        <v>5.7591520501551095E-4</v>
      </c>
      <c r="AC611" s="16">
        <f t="shared" si="248"/>
        <v>7.278133886471982E-4</v>
      </c>
    </row>
    <row r="612" spans="1:29" x14ac:dyDescent="0.15">
      <c r="A612" s="8">
        <v>41793</v>
      </c>
      <c r="B612" s="4">
        <v>1924.24</v>
      </c>
      <c r="C612" s="1">
        <v>11.8756</v>
      </c>
      <c r="D612" s="1">
        <v>2.0299999999999998</v>
      </c>
      <c r="E612" s="1">
        <v>0.23250000000000001</v>
      </c>
      <c r="F612" s="4">
        <f t="shared" si="238"/>
        <v>0.118756</v>
      </c>
      <c r="G612" s="4">
        <f t="shared" si="239"/>
        <v>2.0299999999999999E-2</v>
      </c>
      <c r="H612" s="4">
        <f t="shared" si="240"/>
        <v>2.3250000000000002E-3</v>
      </c>
      <c r="I612" s="3">
        <f t="shared" si="241"/>
        <v>49.813992821399111</v>
      </c>
      <c r="J612" s="4">
        <f t="shared" si="251"/>
        <v>1365515.7747086985</v>
      </c>
      <c r="K612" s="1">
        <f t="shared" si="252"/>
        <v>1872.18</v>
      </c>
      <c r="L612" s="5">
        <f t="shared" si="253"/>
        <v>9.8630136986301672E-2</v>
      </c>
      <c r="M612" s="5">
        <f t="shared" si="254"/>
        <v>-0.23945321202820938</v>
      </c>
      <c r="N612" s="5">
        <f t="shared" si="255"/>
        <v>10.311122913731698</v>
      </c>
      <c r="O612" s="1">
        <f t="shared" si="256"/>
        <v>0</v>
      </c>
      <c r="P612" s="1">
        <f t="shared" si="257"/>
        <v>1872.18</v>
      </c>
      <c r="Q612" s="5">
        <f t="shared" si="258"/>
        <v>9.8630136986301672E-2</v>
      </c>
      <c r="R612" s="5">
        <f t="shared" si="259"/>
        <v>-0.23945321202820938</v>
      </c>
      <c r="S612" s="5">
        <f t="shared" si="242"/>
        <v>10.311122913731698</v>
      </c>
      <c r="T612" s="5">
        <f t="shared" si="243"/>
        <v>-709.2746757153252</v>
      </c>
      <c r="U612" s="4">
        <f t="shared" si="244"/>
        <v>1365581.880636751</v>
      </c>
      <c r="V612" s="4">
        <f t="shared" si="260"/>
        <v>22.036376101234143</v>
      </c>
      <c r="W612" s="4">
        <f t="shared" si="245"/>
        <v>1358268.4622758531</v>
      </c>
      <c r="X612" s="4">
        <f t="shared" si="249"/>
        <v>146.32593934098259</v>
      </c>
      <c r="Y612" s="9">
        <f>SUM($X$6:X612)</f>
        <v>358268.46227585315</v>
      </c>
      <c r="Z612" s="16">
        <f t="shared" si="250"/>
        <v>0.35826846227585313</v>
      </c>
      <c r="AA612" s="16">
        <f t="shared" si="246"/>
        <v>0.5067733700844127</v>
      </c>
      <c r="AB612" s="16">
        <f t="shared" si="247"/>
        <v>1.0774136981206403E-4</v>
      </c>
      <c r="AC612" s="16">
        <f t="shared" si="248"/>
        <v>-3.792266892471146E-4</v>
      </c>
    </row>
    <row r="613" spans="1:29" x14ac:dyDescent="0.15">
      <c r="A613" s="8">
        <v>41794</v>
      </c>
      <c r="B613" s="4">
        <v>1927.88</v>
      </c>
      <c r="C613" s="1">
        <v>11.9674</v>
      </c>
      <c r="D613" s="1">
        <v>2.0299999999999998</v>
      </c>
      <c r="E613" s="1">
        <v>0.23449999999999999</v>
      </c>
      <c r="F613" s="4">
        <f t="shared" si="238"/>
        <v>0.119674</v>
      </c>
      <c r="G613" s="4">
        <f t="shared" si="239"/>
        <v>2.0299999999999999E-2</v>
      </c>
      <c r="H613" s="4">
        <f t="shared" si="240"/>
        <v>2.3449999999999999E-3</v>
      </c>
      <c r="I613" s="3">
        <f t="shared" si="241"/>
        <v>50.253414865416353</v>
      </c>
      <c r="J613" s="4">
        <f t="shared" si="251"/>
        <v>1365581.880636751</v>
      </c>
      <c r="K613" s="1">
        <f t="shared" si="252"/>
        <v>1872.18</v>
      </c>
      <c r="L613" s="5">
        <f t="shared" si="253"/>
        <v>9.589041095890441E-2</v>
      </c>
      <c r="M613" s="5">
        <f t="shared" si="254"/>
        <v>-0.22224417525896326</v>
      </c>
      <c r="N613" s="5">
        <f t="shared" si="255"/>
        <v>9.309332792740042</v>
      </c>
      <c r="O613" s="1">
        <f t="shared" si="256"/>
        <v>0</v>
      </c>
      <c r="P613" s="1">
        <f t="shared" si="257"/>
        <v>1872.18</v>
      </c>
      <c r="Q613" s="5">
        <f t="shared" si="258"/>
        <v>9.589041095890441E-2</v>
      </c>
      <c r="R613" s="5">
        <f t="shared" si="259"/>
        <v>-0.22224417525896326</v>
      </c>
      <c r="S613" s="5">
        <f t="shared" si="242"/>
        <v>9.309332792740042</v>
      </c>
      <c r="T613" s="5">
        <f t="shared" si="243"/>
        <v>-709.2746757153252</v>
      </c>
      <c r="U613" s="4">
        <f t="shared" si="244"/>
        <v>1365603.9170128522</v>
      </c>
      <c r="V613" s="4">
        <f t="shared" si="260"/>
        <v>22.036731701933419</v>
      </c>
      <c r="W613" s="4">
        <f t="shared" si="245"/>
        <v>1359001.0430151555</v>
      </c>
      <c r="X613" s="4">
        <f t="shared" si="249"/>
        <v>732.58073930232786</v>
      </c>
      <c r="Y613" s="9">
        <f>SUM($X$6:X613)</f>
        <v>359001.04301515548</v>
      </c>
      <c r="Z613" s="16">
        <f t="shared" si="250"/>
        <v>0.35900104301515545</v>
      </c>
      <c r="AA613" s="16">
        <f t="shared" si="246"/>
        <v>0.50962366685981875</v>
      </c>
      <c r="AB613" s="16">
        <f t="shared" si="247"/>
        <v>5.3934900179810458E-4</v>
      </c>
      <c r="AC613" s="16">
        <f t="shared" si="248"/>
        <v>1.8916559264957073E-3</v>
      </c>
    </row>
    <row r="614" spans="1:29" x14ac:dyDescent="0.15">
      <c r="A614" s="8">
        <v>41795</v>
      </c>
      <c r="B614" s="4">
        <v>1940.46</v>
      </c>
      <c r="C614" s="1">
        <v>11.678900000000001</v>
      </c>
      <c r="D614" s="1">
        <v>2.0099999999999998</v>
      </c>
      <c r="E614" s="1">
        <v>0.23569999999999999</v>
      </c>
      <c r="F614" s="4">
        <f t="shared" si="238"/>
        <v>0.116789</v>
      </c>
      <c r="G614" s="4">
        <f t="shared" si="239"/>
        <v>2.0099999999999996E-2</v>
      </c>
      <c r="H614" s="4">
        <f t="shared" si="240"/>
        <v>2.3569999999999997E-3</v>
      </c>
      <c r="I614" s="3">
        <f t="shared" si="241"/>
        <v>49.419908277387293</v>
      </c>
      <c r="J614" s="4">
        <f t="shared" si="251"/>
        <v>1365603.9170128522</v>
      </c>
      <c r="K614" s="1">
        <f t="shared" si="252"/>
        <v>1872.18</v>
      </c>
      <c r="L614" s="5">
        <f t="shared" si="253"/>
        <v>9.3150684931507147E-2</v>
      </c>
      <c r="M614" s="5">
        <f t="shared" si="254"/>
        <v>-0.16412177218774418</v>
      </c>
      <c r="N614" s="5">
        <f t="shared" si="255"/>
        <v>6.1139996169868667</v>
      </c>
      <c r="O614" s="1">
        <f t="shared" si="256"/>
        <v>0</v>
      </c>
      <c r="P614" s="1">
        <f t="shared" si="257"/>
        <v>1872.18</v>
      </c>
      <c r="Q614" s="5">
        <f t="shared" si="258"/>
        <v>9.3150684931507147E-2</v>
      </c>
      <c r="R614" s="5">
        <f t="shared" si="259"/>
        <v>-0.16412177218774418</v>
      </c>
      <c r="S614" s="5">
        <f t="shared" si="242"/>
        <v>6.1139996169868667</v>
      </c>
      <c r="T614" s="5">
        <f t="shared" si="243"/>
        <v>-709.2746757153252</v>
      </c>
      <c r="U614" s="4">
        <f t="shared" si="244"/>
        <v>1365625.9537445542</v>
      </c>
      <c r="V614" s="4">
        <f t="shared" si="260"/>
        <v>22.037087308371024</v>
      </c>
      <c r="W614" s="4">
        <f t="shared" si="245"/>
        <v>1361289.4486488921</v>
      </c>
      <c r="X614" s="4">
        <f t="shared" si="249"/>
        <v>2288.4056337366346</v>
      </c>
      <c r="Y614" s="9">
        <f>SUM($X$6:X614)</f>
        <v>361289.44864889211</v>
      </c>
      <c r="Z614" s="16">
        <f t="shared" si="250"/>
        <v>0.36128944864889212</v>
      </c>
      <c r="AA614" s="16">
        <f t="shared" si="246"/>
        <v>0.51947441780339221</v>
      </c>
      <c r="AB614" s="16">
        <f t="shared" si="247"/>
        <v>1.6838880628519978E-3</v>
      </c>
      <c r="AC614" s="16">
        <f t="shared" si="248"/>
        <v>6.5253024047139483E-3</v>
      </c>
    </row>
    <row r="615" spans="1:29" x14ac:dyDescent="0.15">
      <c r="A615" s="8">
        <v>41796</v>
      </c>
      <c r="B615" s="4">
        <v>1949.44</v>
      </c>
      <c r="C615" s="1">
        <v>11.0832</v>
      </c>
      <c r="D615" s="1">
        <v>2</v>
      </c>
      <c r="E615" s="1">
        <v>0.23469999999999999</v>
      </c>
      <c r="F615" s="4">
        <f t="shared" si="238"/>
        <v>0.110832</v>
      </c>
      <c r="G615" s="4">
        <f t="shared" si="239"/>
        <v>0.02</v>
      </c>
      <c r="H615" s="4">
        <f t="shared" si="240"/>
        <v>2.3470000000000001E-3</v>
      </c>
      <c r="I615" s="3">
        <f t="shared" si="241"/>
        <v>47.327196931911679</v>
      </c>
      <c r="J615" s="4">
        <f t="shared" si="251"/>
        <v>1365625.9537445542</v>
      </c>
      <c r="K615" s="1">
        <f t="shared" si="252"/>
        <v>1872.18</v>
      </c>
      <c r="L615" s="5">
        <f t="shared" si="253"/>
        <v>9.0410958904109884E-2</v>
      </c>
      <c r="M615" s="5">
        <f t="shared" si="254"/>
        <v>-0.11834557495141021</v>
      </c>
      <c r="N615" s="5">
        <f t="shared" si="255"/>
        <v>3.8273520971936068</v>
      </c>
      <c r="O615" s="1">
        <f t="shared" si="256"/>
        <v>0</v>
      </c>
      <c r="P615" s="1">
        <f t="shared" si="257"/>
        <v>1872.18</v>
      </c>
      <c r="Q615" s="5">
        <f t="shared" si="258"/>
        <v>9.0410958904109884E-2</v>
      </c>
      <c r="R615" s="5">
        <f t="shared" si="259"/>
        <v>-0.11834557495141021</v>
      </c>
      <c r="S615" s="5">
        <f t="shared" si="242"/>
        <v>3.8273520971936068</v>
      </c>
      <c r="T615" s="5">
        <f t="shared" si="243"/>
        <v>-709.2746757153252</v>
      </c>
      <c r="U615" s="4">
        <f t="shared" si="244"/>
        <v>1365647.9908318627</v>
      </c>
      <c r="V615" s="4">
        <f t="shared" si="260"/>
        <v>22.03744292054704</v>
      </c>
      <c r="W615" s="4">
        <f t="shared" si="245"/>
        <v>1362933.3469142774</v>
      </c>
      <c r="X615" s="4">
        <f t="shared" si="249"/>
        <v>1643.8982653853018</v>
      </c>
      <c r="Y615" s="9">
        <f>SUM($X$6:X615)</f>
        <v>362933.34691427741</v>
      </c>
      <c r="Z615" s="16">
        <f t="shared" si="250"/>
        <v>0.36293334691427742</v>
      </c>
      <c r="AA615" s="16">
        <f t="shared" si="246"/>
        <v>0.52650619391414666</v>
      </c>
      <c r="AB615" s="16">
        <f t="shared" si="247"/>
        <v>1.2076037664266808E-3</v>
      </c>
      <c r="AC615" s="16">
        <f t="shared" si="248"/>
        <v>4.6277686734073455E-3</v>
      </c>
    </row>
    <row r="616" spans="1:29" x14ac:dyDescent="0.15">
      <c r="A616" s="8">
        <v>41799</v>
      </c>
      <c r="B616" s="4">
        <v>1951.27</v>
      </c>
      <c r="C616" s="1">
        <v>11.222799999999999</v>
      </c>
      <c r="D616" s="1">
        <v>2</v>
      </c>
      <c r="E616" s="1">
        <v>0.23569999999999999</v>
      </c>
      <c r="F616" s="4">
        <f t="shared" si="238"/>
        <v>0.11222799999999999</v>
      </c>
      <c r="G616" s="4">
        <f t="shared" si="239"/>
        <v>0.02</v>
      </c>
      <c r="H616" s="4">
        <f t="shared" si="240"/>
        <v>2.3569999999999997E-3</v>
      </c>
      <c r="I616" s="3">
        <f t="shared" si="241"/>
        <v>47.90819056030076</v>
      </c>
      <c r="J616" s="4">
        <f t="shared" si="251"/>
        <v>1365647.9908318627</v>
      </c>
      <c r="K616" s="1">
        <f t="shared" si="252"/>
        <v>1872.18</v>
      </c>
      <c r="L616" s="5">
        <f t="shared" si="253"/>
        <v>8.2191780821918109E-2</v>
      </c>
      <c r="M616" s="5">
        <f t="shared" si="254"/>
        <v>-0.10420127525171141</v>
      </c>
      <c r="N616" s="5">
        <f t="shared" si="255"/>
        <v>3.167063769528244</v>
      </c>
      <c r="O616" s="1">
        <f t="shared" si="256"/>
        <v>0</v>
      </c>
      <c r="P616" s="1">
        <f t="shared" si="257"/>
        <v>1872.18</v>
      </c>
      <c r="Q616" s="5">
        <f t="shared" si="258"/>
        <v>8.2191780821918109E-2</v>
      </c>
      <c r="R616" s="5">
        <f t="shared" si="259"/>
        <v>-0.10420127525171141</v>
      </c>
      <c r="S616" s="5">
        <f t="shared" si="242"/>
        <v>3.167063769528244</v>
      </c>
      <c r="T616" s="5">
        <f t="shared" si="243"/>
        <v>-709.2746757153252</v>
      </c>
      <c r="U616" s="4">
        <f t="shared" si="244"/>
        <v>1365670.0282747832</v>
      </c>
      <c r="V616" s="4">
        <f t="shared" si="260"/>
        <v>66.113395615384704</v>
      </c>
      <c r="W616" s="4">
        <f t="shared" si="245"/>
        <v>1363423.7101466812</v>
      </c>
      <c r="X616" s="4">
        <f t="shared" si="249"/>
        <v>490.36323240376078</v>
      </c>
      <c r="Y616" s="9">
        <f>SUM($X$6:X616)</f>
        <v>363423.71014668117</v>
      </c>
      <c r="Z616" s="16">
        <f t="shared" si="250"/>
        <v>0.36342371014668118</v>
      </c>
      <c r="AA616" s="16">
        <f t="shared" si="246"/>
        <v>0.52793917278749636</v>
      </c>
      <c r="AB616" s="16">
        <f t="shared" si="247"/>
        <v>3.5978518943274672E-4</v>
      </c>
      <c r="AC616" s="16">
        <f t="shared" si="248"/>
        <v>9.3873112278394159E-4</v>
      </c>
    </row>
    <row r="617" spans="1:29" x14ac:dyDescent="0.15">
      <c r="A617" s="8">
        <v>41800</v>
      </c>
      <c r="B617" s="4">
        <v>1950.79</v>
      </c>
      <c r="C617" s="1">
        <v>11.0722</v>
      </c>
      <c r="D617" s="1">
        <v>2</v>
      </c>
      <c r="E617" s="1">
        <v>0.2354</v>
      </c>
      <c r="F617" s="4">
        <f t="shared" si="238"/>
        <v>0.110722</v>
      </c>
      <c r="G617" s="4">
        <f t="shared" si="239"/>
        <v>0.02</v>
      </c>
      <c r="H617" s="4">
        <f t="shared" si="240"/>
        <v>2.3540000000000002E-3</v>
      </c>
      <c r="I617" s="3">
        <f t="shared" si="241"/>
        <v>47.315649439421293</v>
      </c>
      <c r="J617" s="4">
        <f t="shared" si="251"/>
        <v>1365670.0282747832</v>
      </c>
      <c r="K617" s="1">
        <f t="shared" si="252"/>
        <v>1872.18</v>
      </c>
      <c r="L617" s="5">
        <f t="shared" si="253"/>
        <v>7.9452054794520846E-2</v>
      </c>
      <c r="M617" s="5">
        <f t="shared" si="254"/>
        <v>-9.8615305490813099E-2</v>
      </c>
      <c r="N617" s="5">
        <f t="shared" si="255"/>
        <v>2.8724770397182926</v>
      </c>
      <c r="O617" s="1">
        <f t="shared" si="256"/>
        <v>0</v>
      </c>
      <c r="P617" s="1">
        <f t="shared" si="257"/>
        <v>1872.18</v>
      </c>
      <c r="Q617" s="5">
        <f t="shared" si="258"/>
        <v>7.9452054794520846E-2</v>
      </c>
      <c r="R617" s="5">
        <f t="shared" si="259"/>
        <v>-9.8615305490813099E-2</v>
      </c>
      <c r="S617" s="5">
        <f t="shared" si="242"/>
        <v>2.8724770397182926</v>
      </c>
      <c r="T617" s="5">
        <f t="shared" si="243"/>
        <v>-709.2746757153252</v>
      </c>
      <c r="U617" s="4">
        <f t="shared" si="244"/>
        <v>1365736.1416703986</v>
      </c>
      <c r="V617" s="4">
        <f t="shared" si="260"/>
        <v>22.03886540942095</v>
      </c>
      <c r="W617" s="4">
        <f t="shared" si="245"/>
        <v>1363698.7664495527</v>
      </c>
      <c r="X617" s="4">
        <f t="shared" si="249"/>
        <v>275.05630287155509</v>
      </c>
      <c r="Y617" s="9">
        <f>SUM($X$6:X617)</f>
        <v>363698.76644955273</v>
      </c>
      <c r="Z617" s="16">
        <f t="shared" si="250"/>
        <v>0.36369876644955274</v>
      </c>
      <c r="AA617" s="16">
        <f t="shared" si="246"/>
        <v>0.5275633094764538</v>
      </c>
      <c r="AB617" s="16">
        <f t="shared" si="247"/>
        <v>2.017394158723877E-4</v>
      </c>
      <c r="AC617" s="16">
        <f t="shared" si="248"/>
        <v>-2.4599363491470589E-4</v>
      </c>
    </row>
    <row r="618" spans="1:29" x14ac:dyDescent="0.15">
      <c r="A618" s="8">
        <v>41801</v>
      </c>
      <c r="B618" s="4">
        <v>1943.89</v>
      </c>
      <c r="C618" s="1">
        <v>11.332599999999999</v>
      </c>
      <c r="D618" s="1">
        <v>2.0099999999999998</v>
      </c>
      <c r="E618" s="1">
        <v>0.23480000000000001</v>
      </c>
      <c r="F618" s="4">
        <f t="shared" si="238"/>
        <v>0.113326</v>
      </c>
      <c r="G618" s="4">
        <f t="shared" si="239"/>
        <v>2.0099999999999996E-2</v>
      </c>
      <c r="H618" s="4">
        <f t="shared" si="240"/>
        <v>2.3480000000000003E-3</v>
      </c>
      <c r="I618" s="3">
        <f t="shared" si="241"/>
        <v>48.176948662633592</v>
      </c>
      <c r="J618" s="4">
        <f t="shared" si="251"/>
        <v>1365736.1416703986</v>
      </c>
      <c r="K618" s="1">
        <f t="shared" si="252"/>
        <v>1872.18</v>
      </c>
      <c r="L618" s="5">
        <f t="shared" si="253"/>
        <v>7.6712328767123583E-2</v>
      </c>
      <c r="M618" s="5">
        <f t="shared" si="254"/>
        <v>-0.12084886392997035</v>
      </c>
      <c r="N618" s="5">
        <f t="shared" si="255"/>
        <v>3.6843526370276605</v>
      </c>
      <c r="O618" s="1">
        <f t="shared" si="256"/>
        <v>0</v>
      </c>
      <c r="P618" s="1">
        <f t="shared" si="257"/>
        <v>1872.18</v>
      </c>
      <c r="Q618" s="5">
        <f t="shared" si="258"/>
        <v>7.6712328767123583E-2</v>
      </c>
      <c r="R618" s="5">
        <f t="shared" si="259"/>
        <v>-0.12084886392997035</v>
      </c>
      <c r="S618" s="5">
        <f t="shared" si="242"/>
        <v>3.6843526370276605</v>
      </c>
      <c r="T618" s="5">
        <f t="shared" si="243"/>
        <v>-709.2746757153252</v>
      </c>
      <c r="U618" s="4">
        <f t="shared" si="244"/>
        <v>1365758.180535808</v>
      </c>
      <c r="V618" s="4">
        <f t="shared" si="260"/>
        <v>22.039221050290159</v>
      </c>
      <c r="W618" s="4">
        <f t="shared" si="245"/>
        <v>1363144.9625139593</v>
      </c>
      <c r="X618" s="4">
        <f t="shared" si="249"/>
        <v>-553.80393559345976</v>
      </c>
      <c r="Y618" s="9">
        <f>SUM($X$6:X618)</f>
        <v>363144.96251395927</v>
      </c>
      <c r="Z618" s="16">
        <f t="shared" si="250"/>
        <v>0.36314496251395928</v>
      </c>
      <c r="AA618" s="16">
        <f t="shared" si="246"/>
        <v>0.52216027438021717</v>
      </c>
      <c r="AB618" s="16">
        <f t="shared" si="247"/>
        <v>-4.0610430193121876E-4</v>
      </c>
      <c r="AC618" s="16">
        <f t="shared" si="248"/>
        <v>-3.5370285884179556E-3</v>
      </c>
    </row>
    <row r="619" spans="1:29" x14ac:dyDescent="0.15">
      <c r="A619" s="8">
        <v>41802</v>
      </c>
      <c r="B619" s="4">
        <v>1930.11</v>
      </c>
      <c r="C619" s="1">
        <v>11.684699999999999</v>
      </c>
      <c r="D619" s="1">
        <v>2.02</v>
      </c>
      <c r="E619" s="1">
        <v>0.23569999999999999</v>
      </c>
      <c r="F619" s="4">
        <f t="shared" si="238"/>
        <v>0.11684699999999999</v>
      </c>
      <c r="G619" s="4">
        <f t="shared" si="239"/>
        <v>2.0199999999999999E-2</v>
      </c>
      <c r="H619" s="4">
        <f t="shared" si="240"/>
        <v>2.3569999999999997E-3</v>
      </c>
      <c r="I619" s="3">
        <f t="shared" si="241"/>
        <v>49.203311355074682</v>
      </c>
      <c r="J619" s="4">
        <f t="shared" si="251"/>
        <v>1365758.180535808</v>
      </c>
      <c r="K619" s="1">
        <f t="shared" si="252"/>
        <v>1872.18</v>
      </c>
      <c r="L619" s="5">
        <f t="shared" si="253"/>
        <v>7.397260273972632E-2</v>
      </c>
      <c r="M619" s="5">
        <f t="shared" si="254"/>
        <v>-0.17508418424500977</v>
      </c>
      <c r="N619" s="5">
        <f t="shared" si="255"/>
        <v>5.8712138388065407</v>
      </c>
      <c r="O619" s="1">
        <f t="shared" si="256"/>
        <v>0</v>
      </c>
      <c r="P619" s="1">
        <f t="shared" si="257"/>
        <v>1872.18</v>
      </c>
      <c r="Q619" s="5">
        <f t="shared" si="258"/>
        <v>7.397260273972632E-2</v>
      </c>
      <c r="R619" s="5">
        <f t="shared" si="259"/>
        <v>-0.17508418424500977</v>
      </c>
      <c r="S619" s="5">
        <f t="shared" si="242"/>
        <v>5.8712138388065407</v>
      </c>
      <c r="T619" s="5">
        <f t="shared" si="243"/>
        <v>-709.2746757153252</v>
      </c>
      <c r="U619" s="4">
        <f t="shared" si="244"/>
        <v>1365780.2197568582</v>
      </c>
      <c r="V619" s="4">
        <f t="shared" si="260"/>
        <v>22.03957669689834</v>
      </c>
      <c r="W619" s="4">
        <f t="shared" si="245"/>
        <v>1361615.9164652834</v>
      </c>
      <c r="X619" s="4">
        <f t="shared" si="249"/>
        <v>-1529.0460486758966</v>
      </c>
      <c r="Y619" s="9">
        <f>SUM($X$6:X619)</f>
        <v>361615.91646528337</v>
      </c>
      <c r="Z619" s="16">
        <f t="shared" si="250"/>
        <v>0.36161591646528335</v>
      </c>
      <c r="AA619" s="16">
        <f t="shared" si="246"/>
        <v>0.51136986515903715</v>
      </c>
      <c r="AB619" s="16">
        <f t="shared" si="247"/>
        <v>-1.1217046541080831E-3</v>
      </c>
      <c r="AC619" s="16">
        <f t="shared" si="248"/>
        <v>-7.0888784859226596E-3</v>
      </c>
    </row>
    <row r="620" spans="1:29" x14ac:dyDescent="0.15">
      <c r="A620" s="8">
        <v>41803</v>
      </c>
      <c r="B620" s="4">
        <v>1936.16</v>
      </c>
      <c r="C620" s="1">
        <v>11.713699999999999</v>
      </c>
      <c r="D620" s="1">
        <v>2.02</v>
      </c>
      <c r="E620" s="1">
        <v>0.23730000000000001</v>
      </c>
      <c r="F620" s="4">
        <f t="shared" si="238"/>
        <v>0.11713699999999999</v>
      </c>
      <c r="G620" s="4">
        <f t="shared" si="239"/>
        <v>2.0199999999999999E-2</v>
      </c>
      <c r="H620" s="4">
        <f t="shared" si="240"/>
        <v>2.3730000000000001E-3</v>
      </c>
      <c r="I620" s="3">
        <f t="shared" si="241"/>
        <v>49.464520305067708</v>
      </c>
      <c r="J620" s="4">
        <f t="shared" si="251"/>
        <v>1365780.2197568582</v>
      </c>
      <c r="K620" s="1">
        <f t="shared" si="252"/>
        <v>1872.18</v>
      </c>
      <c r="L620" s="5">
        <f t="shared" si="253"/>
        <v>7.1232876712329057E-2</v>
      </c>
      <c r="M620" s="5">
        <f t="shared" si="254"/>
        <v>-0.14668092583151299</v>
      </c>
      <c r="N620" s="5">
        <f t="shared" si="255"/>
        <v>4.6401612570390558</v>
      </c>
      <c r="O620" s="1">
        <f t="shared" si="256"/>
        <v>0</v>
      </c>
      <c r="P620" s="1">
        <f t="shared" si="257"/>
        <v>1872.18</v>
      </c>
      <c r="Q620" s="5">
        <f t="shared" si="258"/>
        <v>7.1232876712329057E-2</v>
      </c>
      <c r="R620" s="5">
        <f t="shared" si="259"/>
        <v>-0.14668092583151299</v>
      </c>
      <c r="S620" s="5">
        <f t="shared" si="242"/>
        <v>4.6401612570390558</v>
      </c>
      <c r="T620" s="5">
        <f t="shared" si="243"/>
        <v>-709.2746757153252</v>
      </c>
      <c r="U620" s="4">
        <f t="shared" si="244"/>
        <v>1365802.2593335551</v>
      </c>
      <c r="V620" s="4">
        <f t="shared" si="260"/>
        <v>22.039932349245586</v>
      </c>
      <c r="W620" s="4">
        <f t="shared" si="245"/>
        <v>1362511.1104627019</v>
      </c>
      <c r="X620" s="4">
        <f t="shared" si="249"/>
        <v>895.19399741850793</v>
      </c>
      <c r="Y620" s="9">
        <f>SUM($X$6:X620)</f>
        <v>362511.11046270188</v>
      </c>
      <c r="Z620" s="16">
        <f t="shared" si="250"/>
        <v>0.3625111104627019</v>
      </c>
      <c r="AA620" s="16">
        <f t="shared" si="246"/>
        <v>0.51610730897530277</v>
      </c>
      <c r="AB620" s="16">
        <f t="shared" si="247"/>
        <v>6.5744971588052993E-4</v>
      </c>
      <c r="AC620" s="16">
        <f t="shared" si="248"/>
        <v>3.1345363735746576E-3</v>
      </c>
    </row>
    <row r="621" spans="1:29" x14ac:dyDescent="0.15">
      <c r="A621" s="8">
        <v>41806</v>
      </c>
      <c r="B621" s="4">
        <v>1937.78</v>
      </c>
      <c r="C621" s="1">
        <v>11.8164</v>
      </c>
      <c r="D621" s="1">
        <v>2.02</v>
      </c>
      <c r="E621" s="1">
        <v>0.23569999999999999</v>
      </c>
      <c r="F621" s="4">
        <f t="shared" si="238"/>
        <v>0.11816399999999999</v>
      </c>
      <c r="G621" s="4">
        <f t="shared" si="239"/>
        <v>2.0199999999999999E-2</v>
      </c>
      <c r="H621" s="4">
        <f t="shared" si="240"/>
        <v>2.3569999999999997E-3</v>
      </c>
      <c r="I621" s="3">
        <f t="shared" si="241"/>
        <v>49.904102522496373</v>
      </c>
      <c r="J621" s="4">
        <f t="shared" si="251"/>
        <v>1365802.2593335551</v>
      </c>
      <c r="K621" s="1">
        <f t="shared" si="252"/>
        <v>1872.18</v>
      </c>
      <c r="L621" s="5">
        <f t="shared" si="253"/>
        <v>6.3013698630137283E-2</v>
      </c>
      <c r="M621" s="5">
        <f t="shared" si="254"/>
        <v>-0.12740149900623321</v>
      </c>
      <c r="N621" s="5">
        <f t="shared" si="255"/>
        <v>3.6997426238434028</v>
      </c>
      <c r="O621" s="1">
        <f t="shared" si="256"/>
        <v>0</v>
      </c>
      <c r="P621" s="1">
        <f t="shared" si="257"/>
        <v>1872.18</v>
      </c>
      <c r="Q621" s="5">
        <f t="shared" si="258"/>
        <v>6.3013698630137283E-2</v>
      </c>
      <c r="R621" s="5">
        <f t="shared" si="259"/>
        <v>-0.12740149900623321</v>
      </c>
      <c r="S621" s="5">
        <f t="shared" si="242"/>
        <v>3.6997426238434028</v>
      </c>
      <c r="T621" s="5">
        <f t="shared" si="243"/>
        <v>-709.2746757153252</v>
      </c>
      <c r="U621" s="4">
        <f t="shared" si="244"/>
        <v>1365824.2992659044</v>
      </c>
      <c r="V621" s="4">
        <f t="shared" si="260"/>
        <v>66.12086402199597</v>
      </c>
      <c r="W621" s="4">
        <f t="shared" si="245"/>
        <v>1363200.1655161476</v>
      </c>
      <c r="X621" s="4">
        <f t="shared" si="249"/>
        <v>689.0550534457434</v>
      </c>
      <c r="Y621" s="9">
        <f>SUM($X$6:X621)</f>
        <v>363200.16551614762</v>
      </c>
      <c r="Z621" s="16">
        <f t="shared" si="250"/>
        <v>0.36320016551614764</v>
      </c>
      <c r="AA621" s="16">
        <f t="shared" si="246"/>
        <v>0.51737584765007127</v>
      </c>
      <c r="AB621" s="16">
        <f t="shared" si="247"/>
        <v>5.057243556801117E-4</v>
      </c>
      <c r="AC621" s="16">
        <f t="shared" si="248"/>
        <v>8.3670771010654638E-4</v>
      </c>
    </row>
    <row r="622" spans="1:29" x14ac:dyDescent="0.15">
      <c r="A622" s="8">
        <v>41807</v>
      </c>
      <c r="B622" s="4">
        <v>1941.99</v>
      </c>
      <c r="C622" s="1">
        <v>11.4498</v>
      </c>
      <c r="D622" s="1">
        <v>2.0099999999999998</v>
      </c>
      <c r="E622" s="1">
        <v>0.2361</v>
      </c>
      <c r="F622" s="4">
        <f t="shared" si="238"/>
        <v>0.114498</v>
      </c>
      <c r="G622" s="4">
        <f t="shared" si="239"/>
        <v>2.0099999999999996E-2</v>
      </c>
      <c r="H622" s="4">
        <f t="shared" si="240"/>
        <v>2.3610000000000003E-3</v>
      </c>
      <c r="I622" s="3">
        <f t="shared" si="241"/>
        <v>48.577009360849786</v>
      </c>
      <c r="J622" s="4">
        <f t="shared" si="251"/>
        <v>1365824.2992659044</v>
      </c>
      <c r="K622" s="1">
        <f t="shared" si="252"/>
        <v>1872.18</v>
      </c>
      <c r="L622" s="5">
        <f t="shared" si="253"/>
        <v>6.027397260274002E-2</v>
      </c>
      <c r="M622" s="5">
        <f t="shared" si="254"/>
        <v>-0.1004349904821399</v>
      </c>
      <c r="N622" s="5">
        <f t="shared" si="255"/>
        <v>2.6293169373549636</v>
      </c>
      <c r="O622" s="1">
        <f t="shared" si="256"/>
        <v>0</v>
      </c>
      <c r="P622" s="1">
        <f t="shared" si="257"/>
        <v>1872.18</v>
      </c>
      <c r="Q622" s="5">
        <f t="shared" si="258"/>
        <v>6.027397260274002E-2</v>
      </c>
      <c r="R622" s="5">
        <f t="shared" si="259"/>
        <v>-0.1004349904821399</v>
      </c>
      <c r="S622" s="5">
        <f t="shared" si="242"/>
        <v>2.6293169373549636</v>
      </c>
      <c r="T622" s="5">
        <f t="shared" si="243"/>
        <v>-709.2746757153252</v>
      </c>
      <c r="U622" s="4">
        <f t="shared" si="244"/>
        <v>1365890.4201299264</v>
      </c>
      <c r="V622" s="4">
        <f t="shared" si="260"/>
        <v>22.041354998808949</v>
      </c>
      <c r="W622" s="4">
        <f t="shared" si="245"/>
        <v>1364025.5122118311</v>
      </c>
      <c r="X622" s="4">
        <f t="shared" si="249"/>
        <v>825.34669568343088</v>
      </c>
      <c r="Y622" s="9">
        <f>SUM($X$6:X622)</f>
        <v>364025.51221183105</v>
      </c>
      <c r="Z622" s="16">
        <f t="shared" si="250"/>
        <v>0.36402551221183105</v>
      </c>
      <c r="AA622" s="16">
        <f t="shared" si="246"/>
        <v>0.52067248210734041</v>
      </c>
      <c r="AB622" s="16">
        <f t="shared" si="247"/>
        <v>6.0544791334508853E-4</v>
      </c>
      <c r="AC622" s="16">
        <f t="shared" si="248"/>
        <v>2.1725892516178493E-3</v>
      </c>
    </row>
    <row r="623" spans="1:29" x14ac:dyDescent="0.15">
      <c r="A623" s="8">
        <v>41808</v>
      </c>
      <c r="B623" s="4">
        <v>1956.98</v>
      </c>
      <c r="C623" s="1">
        <v>10.653499999999999</v>
      </c>
      <c r="D623" s="1">
        <v>2</v>
      </c>
      <c r="E623" s="1">
        <v>0.23599999999999999</v>
      </c>
      <c r="F623" s="4">
        <f t="shared" si="238"/>
        <v>0.10653499999999999</v>
      </c>
      <c r="G623" s="4">
        <f t="shared" si="239"/>
        <v>0.02</v>
      </c>
      <c r="H623" s="4">
        <f t="shared" si="240"/>
        <v>2.3599999999999997E-3</v>
      </c>
      <c r="I623" s="3">
        <f t="shared" si="241"/>
        <v>45.842479969094143</v>
      </c>
      <c r="J623" s="4">
        <f t="shared" si="251"/>
        <v>1365890.4201299264</v>
      </c>
      <c r="K623" s="1">
        <f t="shared" si="252"/>
        <v>1872.18</v>
      </c>
      <c r="L623" s="5">
        <f t="shared" si="253"/>
        <v>5.7534246575342757E-2</v>
      </c>
      <c r="M623" s="5">
        <f t="shared" si="254"/>
        <v>-4.3896154732792063E-2</v>
      </c>
      <c r="N623" s="5">
        <f t="shared" si="255"/>
        <v>0.90738415451374221</v>
      </c>
      <c r="O623" s="1">
        <f t="shared" si="256"/>
        <v>1</v>
      </c>
      <c r="P623" s="1">
        <f t="shared" si="257"/>
        <v>1956.98</v>
      </c>
      <c r="Q623" s="5">
        <f t="shared" si="258"/>
        <v>0.24931506849315069</v>
      </c>
      <c r="R623" s="5">
        <f t="shared" si="259"/>
        <v>-0.51976238527084051</v>
      </c>
      <c r="S623" s="5">
        <f t="shared" si="242"/>
        <v>45.842479969094143</v>
      </c>
      <c r="T623" s="5">
        <f t="shared" si="243"/>
        <v>-697.6294267330195</v>
      </c>
      <c r="U623" s="4">
        <f t="shared" si="244"/>
        <v>1397249.9399038423</v>
      </c>
      <c r="V623" s="4">
        <f t="shared" si="260"/>
        <v>22.547403139818162</v>
      </c>
      <c r="W623" s="4">
        <f t="shared" si="245"/>
        <v>1365268.8768829831</v>
      </c>
      <c r="X623" s="4">
        <f t="shared" si="249"/>
        <v>1243.3646711520851</v>
      </c>
      <c r="Y623" s="9">
        <f>SUM($X$6:X623)</f>
        <v>365268.87688298314</v>
      </c>
      <c r="Z623" s="16">
        <f t="shared" si="250"/>
        <v>0.36526887688298315</v>
      </c>
      <c r="AA623" s="16">
        <f t="shared" si="246"/>
        <v>0.53241038009177333</v>
      </c>
      <c r="AB623" s="16">
        <f t="shared" si="247"/>
        <v>9.1154062737133941E-4</v>
      </c>
      <c r="AC623" s="16">
        <f t="shared" si="248"/>
        <v>7.7188862970458188E-3</v>
      </c>
    </row>
    <row r="624" spans="1:29" x14ac:dyDescent="0.15">
      <c r="A624" s="8">
        <v>41809</v>
      </c>
      <c r="B624" s="4">
        <v>1959.48</v>
      </c>
      <c r="C624" s="1">
        <v>10.440300000000001</v>
      </c>
      <c r="D624" s="1">
        <v>1.99</v>
      </c>
      <c r="E624" s="1">
        <v>0.23469999999999999</v>
      </c>
      <c r="F624" s="4">
        <f t="shared" si="238"/>
        <v>0.10440300000000001</v>
      </c>
      <c r="G624" s="4">
        <f t="shared" si="239"/>
        <v>1.9900000000000001E-2</v>
      </c>
      <c r="H624" s="4">
        <f t="shared" si="240"/>
        <v>2.3470000000000001E-3</v>
      </c>
      <c r="I624" s="3">
        <f t="shared" si="241"/>
        <v>45.052385141346065</v>
      </c>
      <c r="J624" s="4">
        <f t="shared" si="251"/>
        <v>1397249.9399038423</v>
      </c>
      <c r="K624" s="1">
        <f t="shared" si="252"/>
        <v>1956.98</v>
      </c>
      <c r="L624" s="5">
        <f t="shared" si="253"/>
        <v>0.24657534246575344</v>
      </c>
      <c r="M624" s="5">
        <f t="shared" si="254"/>
        <v>-0.51062659982207537</v>
      </c>
      <c r="N624" s="5">
        <f t="shared" si="255"/>
        <v>43.434676776444803</v>
      </c>
      <c r="O624" s="1">
        <f t="shared" si="256"/>
        <v>0</v>
      </c>
      <c r="P624" s="1">
        <f t="shared" si="257"/>
        <v>1956.98</v>
      </c>
      <c r="Q624" s="5">
        <f t="shared" si="258"/>
        <v>0.24657534246575344</v>
      </c>
      <c r="R624" s="5">
        <f t="shared" si="259"/>
        <v>-0.51062659982207537</v>
      </c>
      <c r="S624" s="5">
        <f t="shared" si="242"/>
        <v>43.434676776444803</v>
      </c>
      <c r="T624" s="5">
        <f t="shared" si="243"/>
        <v>-697.6294267330195</v>
      </c>
      <c r="U624" s="4">
        <f t="shared" si="244"/>
        <v>1397272.487306982</v>
      </c>
      <c r="V624" s="4">
        <f t="shared" si="260"/>
        <v>22.547766986953761</v>
      </c>
      <c r="W624" s="4">
        <f t="shared" si="245"/>
        <v>1366971.178647097</v>
      </c>
      <c r="X624" s="4">
        <f t="shared" si="249"/>
        <v>1702.3017641138285</v>
      </c>
      <c r="Y624" s="9">
        <f>SUM($X$6:X624)</f>
        <v>366971.17864709697</v>
      </c>
      <c r="Z624" s="16">
        <f t="shared" si="250"/>
        <v>0.36697117864709694</v>
      </c>
      <c r="AA624" s="16">
        <f t="shared" si="246"/>
        <v>0.53436800150345332</v>
      </c>
      <c r="AB624" s="16">
        <f t="shared" si="247"/>
        <v>1.2468619133839175E-3</v>
      </c>
      <c r="AC624" s="16">
        <f t="shared" si="248"/>
        <v>1.2774785639096977E-3</v>
      </c>
    </row>
    <row r="625" spans="1:29" x14ac:dyDescent="0.15">
      <c r="A625" s="8">
        <v>41810</v>
      </c>
      <c r="B625" s="4">
        <v>1962.87</v>
      </c>
      <c r="C625" s="1">
        <v>10.462199999999999</v>
      </c>
      <c r="D625" s="1">
        <v>1.99</v>
      </c>
      <c r="E625" s="1">
        <v>0.23569999999999999</v>
      </c>
      <c r="F625" s="4">
        <f t="shared" si="238"/>
        <v>0.10462199999999999</v>
      </c>
      <c r="G625" s="4">
        <f t="shared" si="239"/>
        <v>1.9900000000000001E-2</v>
      </c>
      <c r="H625" s="4">
        <f t="shared" si="240"/>
        <v>2.3569999999999997E-3</v>
      </c>
      <c r="I625" s="3">
        <f t="shared" si="241"/>
        <v>45.212731671935202</v>
      </c>
      <c r="J625" s="4">
        <f t="shared" si="251"/>
        <v>1397272.487306982</v>
      </c>
      <c r="K625" s="1">
        <f t="shared" si="252"/>
        <v>1956.98</v>
      </c>
      <c r="L625" s="5">
        <f t="shared" si="253"/>
        <v>0.24383561643835619</v>
      </c>
      <c r="M625" s="5">
        <f t="shared" si="254"/>
        <v>-0.49710253026298223</v>
      </c>
      <c r="N625" s="5">
        <f t="shared" si="255"/>
        <v>41.536142281863178</v>
      </c>
      <c r="O625" s="1">
        <f t="shared" si="256"/>
        <v>0</v>
      </c>
      <c r="P625" s="1">
        <f t="shared" si="257"/>
        <v>1956.98</v>
      </c>
      <c r="Q625" s="5">
        <f t="shared" si="258"/>
        <v>0.24383561643835619</v>
      </c>
      <c r="R625" s="5">
        <f t="shared" si="259"/>
        <v>-0.49710253026298223</v>
      </c>
      <c r="S625" s="5">
        <f t="shared" si="242"/>
        <v>41.536142281863178</v>
      </c>
      <c r="T625" s="5">
        <f t="shared" si="243"/>
        <v>-697.6294267330195</v>
      </c>
      <c r="U625" s="4">
        <f t="shared" si="244"/>
        <v>1397295.035073969</v>
      </c>
      <c r="V625" s="4">
        <f t="shared" si="260"/>
        <v>22.548130839960759</v>
      </c>
      <c r="W625" s="4">
        <f t="shared" si="245"/>
        <v>1368318.1999451716</v>
      </c>
      <c r="X625" s="4">
        <f t="shared" si="249"/>
        <v>1347.0212980746292</v>
      </c>
      <c r="Y625" s="9">
        <f>SUM($X$6:X625)</f>
        <v>368318.1999451716</v>
      </c>
      <c r="Z625" s="16">
        <f t="shared" si="250"/>
        <v>0.36831819994517162</v>
      </c>
      <c r="AA625" s="16">
        <f t="shared" si="246"/>
        <v>0.53702253613769124</v>
      </c>
      <c r="AB625" s="16">
        <f t="shared" si="247"/>
        <v>9.8540577820213269E-4</v>
      </c>
      <c r="AC625" s="16">
        <f t="shared" si="248"/>
        <v>1.7300508298119259E-3</v>
      </c>
    </row>
    <row r="626" spans="1:29" x14ac:dyDescent="0.15">
      <c r="A626" s="8">
        <v>41813</v>
      </c>
      <c r="B626" s="4">
        <v>1962.61</v>
      </c>
      <c r="C626" s="1">
        <v>10.324999999999999</v>
      </c>
      <c r="D626" s="1">
        <v>1.99</v>
      </c>
      <c r="E626" s="1">
        <v>0.23780000000000001</v>
      </c>
      <c r="F626" s="4">
        <f t="shared" si="238"/>
        <v>0.10324999999999999</v>
      </c>
      <c r="G626" s="4">
        <f t="shared" si="239"/>
        <v>1.9900000000000001E-2</v>
      </c>
      <c r="H626" s="4">
        <f t="shared" si="240"/>
        <v>2.3779999999999999E-3</v>
      </c>
      <c r="I626" s="3">
        <f t="shared" si="241"/>
        <v>44.668338085511017</v>
      </c>
      <c r="J626" s="4">
        <f t="shared" si="251"/>
        <v>1397295.035073969</v>
      </c>
      <c r="K626" s="1">
        <f t="shared" si="252"/>
        <v>1956.98</v>
      </c>
      <c r="L626" s="5">
        <f t="shared" si="253"/>
        <v>0.23561643835616441</v>
      </c>
      <c r="M626" s="5">
        <f t="shared" si="254"/>
        <v>-0.49765966146464691</v>
      </c>
      <c r="N626" s="5">
        <f t="shared" si="255"/>
        <v>40.317117385190699</v>
      </c>
      <c r="O626" s="1">
        <f t="shared" si="256"/>
        <v>0</v>
      </c>
      <c r="P626" s="1">
        <f t="shared" si="257"/>
        <v>1956.98</v>
      </c>
      <c r="Q626" s="5">
        <f t="shared" si="258"/>
        <v>0.23561643835616441</v>
      </c>
      <c r="R626" s="5">
        <f t="shared" si="259"/>
        <v>-0.49765966146464691</v>
      </c>
      <c r="S626" s="5">
        <f t="shared" si="242"/>
        <v>40.317117385190699</v>
      </c>
      <c r="T626" s="5">
        <f t="shared" si="243"/>
        <v>-697.6294267330195</v>
      </c>
      <c r="U626" s="4">
        <f t="shared" si="244"/>
        <v>1397317.5832048091</v>
      </c>
      <c r="V626" s="4">
        <f t="shared" si="260"/>
        <v>67.645484096517734</v>
      </c>
      <c r="W626" s="4">
        <f t="shared" si="245"/>
        <v>1369191.1757158507</v>
      </c>
      <c r="X626" s="4">
        <f t="shared" si="249"/>
        <v>872.97577067906968</v>
      </c>
      <c r="Y626" s="9">
        <f>SUM($X$6:X626)</f>
        <v>369191.17571585067</v>
      </c>
      <c r="Z626" s="16">
        <f t="shared" si="250"/>
        <v>0.36919117571585064</v>
      </c>
      <c r="AA626" s="16">
        <f t="shared" si="246"/>
        <v>0.53681894351087656</v>
      </c>
      <c r="AB626" s="16">
        <f t="shared" si="247"/>
        <v>6.3799178488896055E-4</v>
      </c>
      <c r="AC626" s="16">
        <f t="shared" si="248"/>
        <v>-1.3245910325186637E-4</v>
      </c>
    </row>
    <row r="627" spans="1:29" x14ac:dyDescent="0.15">
      <c r="A627" s="8">
        <v>41814</v>
      </c>
      <c r="B627" s="4">
        <v>1949.98</v>
      </c>
      <c r="C627" s="1">
        <v>11.2112</v>
      </c>
      <c r="D627" s="1">
        <v>2</v>
      </c>
      <c r="E627" s="1">
        <v>0.23880000000000001</v>
      </c>
      <c r="F627" s="4">
        <f t="shared" si="238"/>
        <v>0.112112</v>
      </c>
      <c r="G627" s="4">
        <f t="shared" si="239"/>
        <v>0.02</v>
      </c>
      <c r="H627" s="4">
        <f t="shared" si="240"/>
        <v>2.3879999999999999E-3</v>
      </c>
      <c r="I627" s="3">
        <f t="shared" si="241"/>
        <v>47.823571600511499</v>
      </c>
      <c r="J627" s="4">
        <f t="shared" si="251"/>
        <v>1397317.5832048091</v>
      </c>
      <c r="K627" s="1">
        <f t="shared" si="252"/>
        <v>1956.98</v>
      </c>
      <c r="L627" s="5">
        <f t="shared" si="253"/>
        <v>0.23287671232876717</v>
      </c>
      <c r="M627" s="5">
        <f t="shared" si="254"/>
        <v>-0.54323769638362285</v>
      </c>
      <c r="N627" s="5">
        <f t="shared" si="255"/>
        <v>49.958464261479534</v>
      </c>
      <c r="O627" s="1">
        <f t="shared" si="256"/>
        <v>0</v>
      </c>
      <c r="P627" s="1">
        <f t="shared" si="257"/>
        <v>1956.98</v>
      </c>
      <c r="Q627" s="5">
        <f t="shared" si="258"/>
        <v>0.23287671232876717</v>
      </c>
      <c r="R627" s="5">
        <f t="shared" si="259"/>
        <v>-0.54323769638362285</v>
      </c>
      <c r="S627" s="5">
        <f t="shared" si="242"/>
        <v>49.958464261479534</v>
      </c>
      <c r="T627" s="5">
        <f t="shared" si="243"/>
        <v>-697.6294267330195</v>
      </c>
      <c r="U627" s="4">
        <f t="shared" si="244"/>
        <v>1397385.2286889057</v>
      </c>
      <c r="V627" s="4">
        <f t="shared" si="260"/>
        <v>22.549586293089465</v>
      </c>
      <c r="W627" s="4">
        <f t="shared" si="245"/>
        <v>1362532.7339057077</v>
      </c>
      <c r="X627" s="4">
        <f t="shared" si="249"/>
        <v>-6658.4418101429474</v>
      </c>
      <c r="Y627" s="9">
        <f>SUM($X$6:X627)</f>
        <v>362532.73390570772</v>
      </c>
      <c r="Z627" s="16">
        <f t="shared" si="250"/>
        <v>0.36253273390570773</v>
      </c>
      <c r="AA627" s="16">
        <f t="shared" si="246"/>
        <v>0.52692904013906949</v>
      </c>
      <c r="AB627" s="16">
        <f t="shared" si="247"/>
        <v>-4.863047562851646E-3</v>
      </c>
      <c r="AC627" s="16">
        <f t="shared" si="248"/>
        <v>-6.4353080846423294E-3</v>
      </c>
    </row>
    <row r="628" spans="1:29" x14ac:dyDescent="0.15">
      <c r="A628" s="8">
        <v>41815</v>
      </c>
      <c r="B628" s="4">
        <v>1959.53</v>
      </c>
      <c r="C628" s="1">
        <v>10.773199999999999</v>
      </c>
      <c r="D628" s="1">
        <v>1.99</v>
      </c>
      <c r="E628" s="1">
        <v>0.2389</v>
      </c>
      <c r="F628" s="4">
        <f t="shared" si="238"/>
        <v>0.10773199999999999</v>
      </c>
      <c r="G628" s="4">
        <f t="shared" si="239"/>
        <v>1.9900000000000001E-2</v>
      </c>
      <c r="H628" s="4">
        <f t="shared" si="240"/>
        <v>2.3890000000000001E-3</v>
      </c>
      <c r="I628" s="3">
        <f t="shared" si="241"/>
        <v>46.33335107503251</v>
      </c>
      <c r="J628" s="4">
        <f t="shared" si="251"/>
        <v>1397385.2286889057</v>
      </c>
      <c r="K628" s="1">
        <f t="shared" si="252"/>
        <v>1956.98</v>
      </c>
      <c r="L628" s="5">
        <f t="shared" si="253"/>
        <v>0.23013698630136992</v>
      </c>
      <c r="M628" s="5">
        <f t="shared" si="254"/>
        <v>-0.50841196921243625</v>
      </c>
      <c r="N628" s="5">
        <f t="shared" si="255"/>
        <v>42.987598270235068</v>
      </c>
      <c r="O628" s="1">
        <f t="shared" si="256"/>
        <v>0</v>
      </c>
      <c r="P628" s="1">
        <f t="shared" si="257"/>
        <v>1956.98</v>
      </c>
      <c r="Q628" s="5">
        <f t="shared" si="258"/>
        <v>0.23013698630136992</v>
      </c>
      <c r="R628" s="5">
        <f t="shared" si="259"/>
        <v>-0.50841196921243625</v>
      </c>
      <c r="S628" s="5">
        <f t="shared" si="242"/>
        <v>42.987598270235068</v>
      </c>
      <c r="T628" s="5">
        <f t="shared" si="243"/>
        <v>-697.6294267330195</v>
      </c>
      <c r="U628" s="4">
        <f t="shared" si="244"/>
        <v>1397407.7782751988</v>
      </c>
      <c r="V628" s="4">
        <f t="shared" si="260"/>
        <v>22.549950175454576</v>
      </c>
      <c r="W628" s="4">
        <f t="shared" si="245"/>
        <v>1367418.3647373053</v>
      </c>
      <c r="X628" s="4">
        <f t="shared" si="249"/>
        <v>4885.6308315976057</v>
      </c>
      <c r="Y628" s="9">
        <f>SUM($X$6:X628)</f>
        <v>367418.36473730532</v>
      </c>
      <c r="Z628" s="16">
        <f t="shared" si="250"/>
        <v>0.36741836473730533</v>
      </c>
      <c r="AA628" s="16">
        <f t="shared" si="246"/>
        <v>0.53440715393168692</v>
      </c>
      <c r="AB628" s="16">
        <f t="shared" si="247"/>
        <v>3.5856979506047664E-3</v>
      </c>
      <c r="AC628" s="16">
        <f t="shared" si="248"/>
        <v>4.8974861280628289E-3</v>
      </c>
    </row>
    <row r="629" spans="1:29" x14ac:dyDescent="0.15">
      <c r="A629" s="8">
        <v>41816</v>
      </c>
      <c r="B629" s="4">
        <v>1957.22</v>
      </c>
      <c r="C629" s="1">
        <v>10.7803</v>
      </c>
      <c r="D629" s="1">
        <v>2</v>
      </c>
      <c r="E629" s="1">
        <v>0.23930000000000001</v>
      </c>
      <c r="F629" s="4">
        <f t="shared" si="238"/>
        <v>0.10780300000000001</v>
      </c>
      <c r="G629" s="4">
        <f t="shared" si="239"/>
        <v>0.02</v>
      </c>
      <c r="H629" s="4">
        <f t="shared" si="240"/>
        <v>2.3930000000000002E-3</v>
      </c>
      <c r="I629" s="3">
        <f t="shared" si="241"/>
        <v>46.330505649887435</v>
      </c>
      <c r="J629" s="4">
        <f t="shared" si="251"/>
        <v>1397407.7782751988</v>
      </c>
      <c r="K629" s="1">
        <f t="shared" si="252"/>
        <v>1956.98</v>
      </c>
      <c r="L629" s="5">
        <f t="shared" si="253"/>
        <v>0.22739726027397267</v>
      </c>
      <c r="M629" s="5">
        <f t="shared" si="254"/>
        <v>-0.51749811339906571</v>
      </c>
      <c r="N629" s="5">
        <f t="shared" si="255"/>
        <v>43.93301270526397</v>
      </c>
      <c r="O629" s="1">
        <f t="shared" si="256"/>
        <v>0</v>
      </c>
      <c r="P629" s="1">
        <f t="shared" si="257"/>
        <v>1956.98</v>
      </c>
      <c r="Q629" s="5">
        <f t="shared" si="258"/>
        <v>0.22739726027397267</v>
      </c>
      <c r="R629" s="5">
        <f t="shared" si="259"/>
        <v>-0.51749811339906571</v>
      </c>
      <c r="S629" s="5">
        <f t="shared" si="242"/>
        <v>43.93301270526397</v>
      </c>
      <c r="T629" s="5">
        <f t="shared" si="243"/>
        <v>-697.6294267330195</v>
      </c>
      <c r="U629" s="4">
        <f t="shared" si="244"/>
        <v>1397430.3282253742</v>
      </c>
      <c r="V629" s="4">
        <f t="shared" si="260"/>
        <v>22.550314063691651</v>
      </c>
      <c r="W629" s="4">
        <f t="shared" si="245"/>
        <v>1366781.3657571464</v>
      </c>
      <c r="X629" s="4">
        <f t="shared" si="249"/>
        <v>-636.99898015893996</v>
      </c>
      <c r="Y629" s="9">
        <f>SUM($X$6:X629)</f>
        <v>366781.36575714638</v>
      </c>
      <c r="Z629" s="16">
        <f t="shared" si="250"/>
        <v>0.36678136575714637</v>
      </c>
      <c r="AA629" s="16">
        <f t="shared" si="246"/>
        <v>0.53259831174729466</v>
      </c>
      <c r="AB629" s="16">
        <f t="shared" si="247"/>
        <v>-4.6584059172067194E-4</v>
      </c>
      <c r="AC629" s="16">
        <f t="shared" si="248"/>
        <v>-1.178854112976043E-3</v>
      </c>
    </row>
    <row r="630" spans="1:29" x14ac:dyDescent="0.15">
      <c r="A630" s="8">
        <v>41817</v>
      </c>
      <c r="B630" s="4">
        <v>1960.96</v>
      </c>
      <c r="C630" s="1">
        <v>10.6571</v>
      </c>
      <c r="D630" s="1">
        <v>1.99</v>
      </c>
      <c r="E630" s="1">
        <v>0.23980000000000001</v>
      </c>
      <c r="F630" s="4">
        <f t="shared" si="238"/>
        <v>0.106571</v>
      </c>
      <c r="G630" s="4">
        <f t="shared" si="239"/>
        <v>1.9900000000000001E-2</v>
      </c>
      <c r="H630" s="4">
        <f t="shared" si="240"/>
        <v>2.398E-3</v>
      </c>
      <c r="I630" s="3">
        <f t="shared" si="241"/>
        <v>45.91418911191586</v>
      </c>
      <c r="J630" s="4">
        <f t="shared" si="251"/>
        <v>1397430.3282253742</v>
      </c>
      <c r="K630" s="1">
        <f t="shared" si="252"/>
        <v>1956.98</v>
      </c>
      <c r="L630" s="5">
        <f t="shared" si="253"/>
        <v>0.22465753424657542</v>
      </c>
      <c r="M630" s="5">
        <f t="shared" si="254"/>
        <v>-0.50267986674051635</v>
      </c>
      <c r="N630" s="5">
        <f t="shared" si="255"/>
        <v>41.25793139595207</v>
      </c>
      <c r="O630" s="1">
        <f t="shared" si="256"/>
        <v>0</v>
      </c>
      <c r="P630" s="1">
        <f t="shared" si="257"/>
        <v>1956.98</v>
      </c>
      <c r="Q630" s="5">
        <f t="shared" si="258"/>
        <v>0.22465753424657542</v>
      </c>
      <c r="R630" s="5">
        <f t="shared" si="259"/>
        <v>-0.50267986674051635</v>
      </c>
      <c r="S630" s="5">
        <f t="shared" si="242"/>
        <v>41.25793139595207</v>
      </c>
      <c r="T630" s="5">
        <f t="shared" si="243"/>
        <v>-697.6294267330195</v>
      </c>
      <c r="U630" s="4">
        <f t="shared" si="244"/>
        <v>1397452.8785394379</v>
      </c>
      <c r="V630" s="4">
        <f t="shared" si="260"/>
        <v>22.550677957800794</v>
      </c>
      <c r="W630" s="4">
        <f t="shared" si="245"/>
        <v>1368670.1315114896</v>
      </c>
      <c r="X630" s="4">
        <f t="shared" si="249"/>
        <v>1888.7657543432433</v>
      </c>
      <c r="Y630" s="9">
        <f>SUM($X$6:X630)</f>
        <v>368670.13151148963</v>
      </c>
      <c r="Z630" s="16">
        <f t="shared" si="250"/>
        <v>0.36867013151148964</v>
      </c>
      <c r="AA630" s="16">
        <f t="shared" si="246"/>
        <v>0.53552691337916791</v>
      </c>
      <c r="AB630" s="16">
        <f t="shared" si="247"/>
        <v>1.3819077444745063E-3</v>
      </c>
      <c r="AC630" s="16">
        <f t="shared" si="248"/>
        <v>1.9108735860046439E-3</v>
      </c>
    </row>
    <row r="631" spans="1:29" x14ac:dyDescent="0.15">
      <c r="A631" s="8">
        <v>41820</v>
      </c>
      <c r="B631" s="4">
        <v>1960.23</v>
      </c>
      <c r="C631" s="1">
        <v>10.6929</v>
      </c>
      <c r="D631" s="1">
        <v>1.99</v>
      </c>
      <c r="E631" s="1">
        <v>0.23580000000000001</v>
      </c>
      <c r="F631" s="4">
        <f t="shared" si="238"/>
        <v>0.106929</v>
      </c>
      <c r="G631" s="4">
        <f t="shared" si="239"/>
        <v>1.9900000000000001E-2</v>
      </c>
      <c r="H631" s="4">
        <f t="shared" si="240"/>
        <v>2.3580000000000003E-3</v>
      </c>
      <c r="I631" s="3">
        <f t="shared" si="241"/>
        <v>46.046595186035688</v>
      </c>
      <c r="J631" s="4">
        <f t="shared" si="251"/>
        <v>1397452.8785394379</v>
      </c>
      <c r="K631" s="1">
        <f t="shared" si="252"/>
        <v>1956.98</v>
      </c>
      <c r="L631" s="5">
        <f t="shared" si="253"/>
        <v>0.21643835616438364</v>
      </c>
      <c r="M631" s="5">
        <f t="shared" si="254"/>
        <v>-0.50503768390646642</v>
      </c>
      <c r="N631" s="5">
        <f t="shared" si="255"/>
        <v>40.896860211491443</v>
      </c>
      <c r="O631" s="1">
        <f t="shared" si="256"/>
        <v>0</v>
      </c>
      <c r="P631" s="1">
        <f t="shared" si="257"/>
        <v>1956.98</v>
      </c>
      <c r="Q631" s="5">
        <f t="shared" si="258"/>
        <v>0.21643835616438364</v>
      </c>
      <c r="R631" s="5">
        <f t="shared" si="259"/>
        <v>-0.50503768390646642</v>
      </c>
      <c r="S631" s="5">
        <f t="shared" si="242"/>
        <v>40.896860211491443</v>
      </c>
      <c r="T631" s="5">
        <f t="shared" si="243"/>
        <v>-697.6294267330195</v>
      </c>
      <c r="U631" s="4">
        <f t="shared" si="244"/>
        <v>1397475.4292173956</v>
      </c>
      <c r="V631" s="4">
        <f t="shared" si="260"/>
        <v>67.653125573346244</v>
      </c>
      <c r="W631" s="4">
        <f t="shared" si="245"/>
        <v>1368944.5760728724</v>
      </c>
      <c r="X631" s="4">
        <f t="shared" si="249"/>
        <v>274.44456138275564</v>
      </c>
      <c r="Y631" s="9">
        <f>SUM($X$6:X631)</f>
        <v>368944.57607287238</v>
      </c>
      <c r="Z631" s="16">
        <f t="shared" si="250"/>
        <v>0.3689445760728724</v>
      </c>
      <c r="AA631" s="16">
        <f t="shared" si="246"/>
        <v>0.53495528792695735</v>
      </c>
      <c r="AB631" s="16">
        <f t="shared" si="247"/>
        <v>2.0051914268025489E-4</v>
      </c>
      <c r="AC631" s="16">
        <f t="shared" si="248"/>
        <v>-3.7226664490862547E-4</v>
      </c>
    </row>
    <row r="632" spans="1:29" x14ac:dyDescent="0.15">
      <c r="A632" s="8">
        <v>41821</v>
      </c>
      <c r="B632" s="4">
        <v>1973.32</v>
      </c>
      <c r="C632" s="1">
        <v>10.4902</v>
      </c>
      <c r="D632" s="1">
        <v>1.99</v>
      </c>
      <c r="E632" s="1">
        <v>0.23699999999999999</v>
      </c>
      <c r="F632" s="4">
        <f t="shared" si="238"/>
        <v>0.104902</v>
      </c>
      <c r="G632" s="4">
        <f t="shared" si="239"/>
        <v>1.9900000000000001E-2</v>
      </c>
      <c r="H632" s="4">
        <f t="shared" si="240"/>
        <v>2.3699999999999997E-3</v>
      </c>
      <c r="I632" s="3">
        <f t="shared" si="241"/>
        <v>45.559299117181922</v>
      </c>
      <c r="J632" s="4">
        <f t="shared" si="251"/>
        <v>1397475.4292173956</v>
      </c>
      <c r="K632" s="1">
        <f t="shared" si="252"/>
        <v>1956.98</v>
      </c>
      <c r="L632" s="5">
        <f t="shared" si="253"/>
        <v>0.21369863013698639</v>
      </c>
      <c r="M632" s="5">
        <f t="shared" si="254"/>
        <v>-0.45092940531268483</v>
      </c>
      <c r="N632" s="5">
        <f t="shared" si="255"/>
        <v>33.613469962733248</v>
      </c>
      <c r="O632" s="1">
        <f t="shared" si="256"/>
        <v>0</v>
      </c>
      <c r="P632" s="1">
        <f t="shared" si="257"/>
        <v>1956.98</v>
      </c>
      <c r="Q632" s="5">
        <f t="shared" si="258"/>
        <v>0.21369863013698639</v>
      </c>
      <c r="R632" s="5">
        <f t="shared" si="259"/>
        <v>-0.45092940531268483</v>
      </c>
      <c r="S632" s="5">
        <f t="shared" si="242"/>
        <v>33.613469962733248</v>
      </c>
      <c r="T632" s="5">
        <f t="shared" si="243"/>
        <v>-697.6294267330195</v>
      </c>
      <c r="U632" s="4">
        <f t="shared" si="244"/>
        <v>1397543.082342969</v>
      </c>
      <c r="V632" s="4">
        <f t="shared" si="260"/>
        <v>22.552133575342705</v>
      </c>
      <c r="W632" s="4">
        <f t="shared" si="245"/>
        <v>1374093.3365623599</v>
      </c>
      <c r="X632" s="4">
        <f t="shared" si="249"/>
        <v>5148.7604894875549</v>
      </c>
      <c r="Y632" s="9">
        <f>SUM($X$6:X632)</f>
        <v>374093.33656235994</v>
      </c>
      <c r="Z632" s="16">
        <f t="shared" si="250"/>
        <v>0.37409333656235993</v>
      </c>
      <c r="AA632" s="16">
        <f t="shared" si="246"/>
        <v>0.5452053936385135</v>
      </c>
      <c r="AB632" s="16">
        <f t="shared" si="247"/>
        <v>3.7611168337128307E-3</v>
      </c>
      <c r="AC632" s="16">
        <f t="shared" si="248"/>
        <v>6.6777878106140188E-3</v>
      </c>
    </row>
    <row r="633" spans="1:29" x14ac:dyDescent="0.15">
      <c r="A633" s="8">
        <v>41822</v>
      </c>
      <c r="B633" s="4">
        <v>1974.62</v>
      </c>
      <c r="C633" s="1">
        <v>10.3756</v>
      </c>
      <c r="D633" s="1">
        <v>1.99</v>
      </c>
      <c r="E633" s="1">
        <v>0.23980000000000001</v>
      </c>
      <c r="F633" s="4">
        <f t="shared" si="238"/>
        <v>0.103756</v>
      </c>
      <c r="G633" s="4">
        <f t="shared" si="239"/>
        <v>1.9900000000000001E-2</v>
      </c>
      <c r="H633" s="4">
        <f t="shared" si="240"/>
        <v>2.398E-3</v>
      </c>
      <c r="I633" s="3">
        <f t="shared" si="241"/>
        <v>45.134033999020552</v>
      </c>
      <c r="J633" s="4">
        <f t="shared" si="251"/>
        <v>1397543.082342969</v>
      </c>
      <c r="K633" s="1">
        <f t="shared" si="252"/>
        <v>1956.98</v>
      </c>
      <c r="L633" s="5">
        <f t="shared" si="253"/>
        <v>0.21095890410958915</v>
      </c>
      <c r="M633" s="5">
        <f t="shared" si="254"/>
        <v>-0.44457384003506767</v>
      </c>
      <c r="N633" s="5">
        <f t="shared" si="255"/>
        <v>32.331648508707161</v>
      </c>
      <c r="O633" s="1">
        <f t="shared" si="256"/>
        <v>0</v>
      </c>
      <c r="P633" s="1">
        <f t="shared" si="257"/>
        <v>1956.98</v>
      </c>
      <c r="Q633" s="5">
        <f t="shared" si="258"/>
        <v>0.21095890410958915</v>
      </c>
      <c r="R633" s="5">
        <f t="shared" si="259"/>
        <v>-0.44457384003506767</v>
      </c>
      <c r="S633" s="5">
        <f t="shared" si="242"/>
        <v>32.331648508707161</v>
      </c>
      <c r="T633" s="5">
        <f t="shared" si="243"/>
        <v>-697.6294267330195</v>
      </c>
      <c r="U633" s="4">
        <f t="shared" si="244"/>
        <v>1397565.6344765443</v>
      </c>
      <c r="V633" s="4">
        <f t="shared" si="260"/>
        <v>22.552497498813274</v>
      </c>
      <c r="W633" s="4">
        <f t="shared" si="245"/>
        <v>1375010.1250620815</v>
      </c>
      <c r="X633" s="4">
        <f t="shared" si="249"/>
        <v>916.78849972155876</v>
      </c>
      <c r="Y633" s="9">
        <f>SUM($X$6:X633)</f>
        <v>375010.1250620815</v>
      </c>
      <c r="Z633" s="16">
        <f t="shared" si="250"/>
        <v>0.37501012506208148</v>
      </c>
      <c r="AA633" s="16">
        <f t="shared" si="246"/>
        <v>0.54622335677258704</v>
      </c>
      <c r="AB633" s="16">
        <f t="shared" si="247"/>
        <v>6.6719521543939352E-4</v>
      </c>
      <c r="AC633" s="16">
        <f t="shared" si="248"/>
        <v>6.5878823505561928E-4</v>
      </c>
    </row>
    <row r="634" spans="1:29" x14ac:dyDescent="0.15">
      <c r="A634" s="8">
        <v>41823</v>
      </c>
      <c r="B634" s="4">
        <v>1985.44</v>
      </c>
      <c r="C634" s="1">
        <v>10.1457</v>
      </c>
      <c r="D634" s="1">
        <v>1.98</v>
      </c>
      <c r="E634" s="1">
        <v>0.23730000000000001</v>
      </c>
      <c r="F634" s="4">
        <f t="shared" si="238"/>
        <v>0.10145699999999999</v>
      </c>
      <c r="G634" s="4">
        <f t="shared" si="239"/>
        <v>1.9799999999999998E-2</v>
      </c>
      <c r="H634" s="4">
        <f t="shared" si="240"/>
        <v>2.3730000000000001E-3</v>
      </c>
      <c r="I634" s="3">
        <f t="shared" si="241"/>
        <v>44.459121073590694</v>
      </c>
      <c r="J634" s="4">
        <f t="shared" si="251"/>
        <v>1397565.6344765443</v>
      </c>
      <c r="K634" s="1">
        <f t="shared" si="252"/>
        <v>1956.98</v>
      </c>
      <c r="L634" s="5">
        <f t="shared" si="253"/>
        <v>0.2082191780821919</v>
      </c>
      <c r="M634" s="5">
        <f t="shared" si="254"/>
        <v>-0.39709014787955182</v>
      </c>
      <c r="N634" s="5">
        <f t="shared" si="255"/>
        <v>26.675706712249255</v>
      </c>
      <c r="O634" s="1">
        <f t="shared" si="256"/>
        <v>0</v>
      </c>
      <c r="P634" s="1">
        <f t="shared" si="257"/>
        <v>1956.98</v>
      </c>
      <c r="Q634" s="5">
        <f t="shared" si="258"/>
        <v>0.2082191780821919</v>
      </c>
      <c r="R634" s="5">
        <f t="shared" si="259"/>
        <v>-0.39709014787955182</v>
      </c>
      <c r="S634" s="5">
        <f t="shared" si="242"/>
        <v>26.675706712249255</v>
      </c>
      <c r="T634" s="5">
        <f t="shared" si="243"/>
        <v>-697.6294267330195</v>
      </c>
      <c r="U634" s="4">
        <f t="shared" si="244"/>
        <v>1397588.1869740433</v>
      </c>
      <c r="V634" s="4">
        <f t="shared" si="260"/>
        <v>22.552861428156479</v>
      </c>
      <c r="W634" s="4">
        <f t="shared" si="245"/>
        <v>1378978.4289926786</v>
      </c>
      <c r="X634" s="4">
        <f t="shared" si="249"/>
        <v>3968.303930597147</v>
      </c>
      <c r="Y634" s="9">
        <f>SUM($X$6:X634)</f>
        <v>378978.42899267864</v>
      </c>
      <c r="Z634" s="16">
        <f t="shared" si="250"/>
        <v>0.37897842899267864</v>
      </c>
      <c r="AA634" s="16">
        <f t="shared" si="246"/>
        <v>0.55469594224233798</v>
      </c>
      <c r="AB634" s="16">
        <f t="shared" si="247"/>
        <v>2.8860179705352922E-3</v>
      </c>
      <c r="AC634" s="16">
        <f t="shared" si="248"/>
        <v>5.4795353029950897E-3</v>
      </c>
    </row>
    <row r="635" spans="1:29" x14ac:dyDescent="0.15">
      <c r="A635" s="8">
        <v>41827</v>
      </c>
      <c r="B635" s="4">
        <v>1977.65</v>
      </c>
      <c r="C635" s="1">
        <v>10.739100000000001</v>
      </c>
      <c r="D635" s="1">
        <v>1.98</v>
      </c>
      <c r="E635" s="1">
        <v>0.23930000000000001</v>
      </c>
      <c r="F635" s="4">
        <f t="shared" si="238"/>
        <v>0.107391</v>
      </c>
      <c r="G635" s="4">
        <f t="shared" si="239"/>
        <v>1.9799999999999998E-2</v>
      </c>
      <c r="H635" s="4">
        <f t="shared" si="240"/>
        <v>2.3930000000000002E-3</v>
      </c>
      <c r="I635" s="3">
        <f t="shared" si="241"/>
        <v>46.601663938388462</v>
      </c>
      <c r="J635" s="4">
        <f t="shared" si="251"/>
        <v>1397588.1869740433</v>
      </c>
      <c r="K635" s="1">
        <f t="shared" si="252"/>
        <v>1956.98</v>
      </c>
      <c r="L635" s="5">
        <f t="shared" si="253"/>
        <v>0.19726027397260285</v>
      </c>
      <c r="M635" s="5">
        <f t="shared" si="254"/>
        <v>-0.42998039948594552</v>
      </c>
      <c r="N635" s="5">
        <f t="shared" si="255"/>
        <v>30.816425088384548</v>
      </c>
      <c r="O635" s="1">
        <f t="shared" si="256"/>
        <v>0</v>
      </c>
      <c r="P635" s="1">
        <f t="shared" si="257"/>
        <v>1956.98</v>
      </c>
      <c r="Q635" s="5">
        <f t="shared" si="258"/>
        <v>0.19726027397260285</v>
      </c>
      <c r="R635" s="5">
        <f t="shared" si="259"/>
        <v>-0.42998039948594552</v>
      </c>
      <c r="S635" s="5">
        <f t="shared" si="242"/>
        <v>30.816425088384548</v>
      </c>
      <c r="T635" s="5">
        <f t="shared" si="243"/>
        <v>-697.6294267330195</v>
      </c>
      <c r="U635" s="4">
        <f t="shared" si="244"/>
        <v>1397610.7398354714</v>
      </c>
      <c r="V635" s="4">
        <f t="shared" si="260"/>
        <v>90.212901453489593</v>
      </c>
      <c r="W635" s="4">
        <f t="shared" si="245"/>
        <v>1376112.2948671007</v>
      </c>
      <c r="X635" s="4">
        <f t="shared" si="249"/>
        <v>-2866.1341255779844</v>
      </c>
      <c r="Y635" s="9">
        <f>SUM($X$6:X635)</f>
        <v>376112.29486710066</v>
      </c>
      <c r="Z635" s="16">
        <f t="shared" si="250"/>
        <v>0.37611229486710068</v>
      </c>
      <c r="AA635" s="16">
        <f t="shared" si="246"/>
        <v>0.5485959939235433</v>
      </c>
      <c r="AB635" s="16">
        <f t="shared" si="247"/>
        <v>-2.0784473965061575E-3</v>
      </c>
      <c r="AC635" s="16">
        <f t="shared" si="248"/>
        <v>-3.9235635425900368E-3</v>
      </c>
    </row>
    <row r="636" spans="1:29" x14ac:dyDescent="0.15">
      <c r="A636" s="8">
        <v>41828</v>
      </c>
      <c r="B636" s="4">
        <v>1963.71</v>
      </c>
      <c r="C636" s="1">
        <v>11.109299999999999</v>
      </c>
      <c r="D636" s="1">
        <v>2</v>
      </c>
      <c r="E636" s="1">
        <v>0.23880000000000001</v>
      </c>
      <c r="F636" s="4">
        <f t="shared" si="238"/>
        <v>0.111093</v>
      </c>
      <c r="G636" s="4">
        <f t="shared" si="239"/>
        <v>0.02</v>
      </c>
      <c r="H636" s="4">
        <f t="shared" si="240"/>
        <v>2.3879999999999999E-3</v>
      </c>
      <c r="I636" s="3">
        <f t="shared" si="241"/>
        <v>47.764200113996139</v>
      </c>
      <c r="J636" s="4">
        <f t="shared" si="251"/>
        <v>1397610.7398354714</v>
      </c>
      <c r="K636" s="1">
        <f t="shared" si="252"/>
        <v>1956.98</v>
      </c>
      <c r="L636" s="5">
        <f t="shared" si="253"/>
        <v>0.1945205479452056</v>
      </c>
      <c r="M636" s="5">
        <f t="shared" si="254"/>
        <v>-0.48826582074484981</v>
      </c>
      <c r="N636" s="5">
        <f t="shared" si="255"/>
        <v>38.224563563169674</v>
      </c>
      <c r="O636" s="1">
        <f t="shared" si="256"/>
        <v>0</v>
      </c>
      <c r="P636" s="1">
        <f t="shared" si="257"/>
        <v>1956.98</v>
      </c>
      <c r="Q636" s="5">
        <f t="shared" si="258"/>
        <v>0.1945205479452056</v>
      </c>
      <c r="R636" s="5">
        <f t="shared" si="259"/>
        <v>-0.48826582074484981</v>
      </c>
      <c r="S636" s="5">
        <f t="shared" si="242"/>
        <v>38.224563563169674</v>
      </c>
      <c r="T636" s="5">
        <f t="shared" si="243"/>
        <v>-697.6294267330195</v>
      </c>
      <c r="U636" s="4">
        <f t="shared" si="244"/>
        <v>1397700.9527369249</v>
      </c>
      <c r="V636" s="4">
        <f t="shared" si="260"/>
        <v>22.55468112772736</v>
      </c>
      <c r="W636" s="4">
        <f t="shared" si="245"/>
        <v>1371034.372371231</v>
      </c>
      <c r="X636" s="4">
        <f t="shared" si="249"/>
        <v>-5077.9224958696868</v>
      </c>
      <c r="Y636" s="9">
        <f>SUM($X$6:X636)</f>
        <v>371034.37237123097</v>
      </c>
      <c r="Z636" s="16">
        <f t="shared" si="250"/>
        <v>0.37103437237123099</v>
      </c>
      <c r="AA636" s="16">
        <f t="shared" si="246"/>
        <v>0.5376802969320158</v>
      </c>
      <c r="AB636" s="16">
        <f t="shared" si="247"/>
        <v>-3.6900495074496022E-3</v>
      </c>
      <c r="AC636" s="16">
        <f t="shared" si="248"/>
        <v>-7.048770004803708E-3</v>
      </c>
    </row>
    <row r="637" spans="1:29" x14ac:dyDescent="0.15">
      <c r="A637" s="8">
        <v>41829</v>
      </c>
      <c r="B637" s="4">
        <v>1972.83</v>
      </c>
      <c r="C637" s="1">
        <v>10.9528</v>
      </c>
      <c r="D637" s="1">
        <v>1.99</v>
      </c>
      <c r="E637" s="1">
        <v>0.23910000000000001</v>
      </c>
      <c r="F637" s="4">
        <f t="shared" si="238"/>
        <v>0.109528</v>
      </c>
      <c r="G637" s="4">
        <f t="shared" si="239"/>
        <v>1.9900000000000001E-2</v>
      </c>
      <c r="H637" s="4">
        <f t="shared" si="240"/>
        <v>2.3909999999999999E-3</v>
      </c>
      <c r="I637" s="3">
        <f t="shared" si="241"/>
        <v>47.348603040831932</v>
      </c>
      <c r="J637" s="4">
        <f t="shared" si="251"/>
        <v>1397700.9527369249</v>
      </c>
      <c r="K637" s="1">
        <f t="shared" si="252"/>
        <v>1956.98</v>
      </c>
      <c r="L637" s="5">
        <f t="shared" si="253"/>
        <v>0.19178082191780835</v>
      </c>
      <c r="M637" s="5">
        <f t="shared" si="254"/>
        <v>-0.4496701174923915</v>
      </c>
      <c r="N637" s="5">
        <f t="shared" si="255"/>
        <v>33.079611011218802</v>
      </c>
      <c r="O637" s="1">
        <f t="shared" si="256"/>
        <v>0</v>
      </c>
      <c r="P637" s="1">
        <f t="shared" si="257"/>
        <v>1956.98</v>
      </c>
      <c r="Q637" s="5">
        <f t="shared" si="258"/>
        <v>0.19178082191780835</v>
      </c>
      <c r="R637" s="5">
        <f t="shared" si="259"/>
        <v>-0.4496701174923915</v>
      </c>
      <c r="S637" s="5">
        <f t="shared" si="242"/>
        <v>33.079611011218802</v>
      </c>
      <c r="T637" s="5">
        <f t="shared" si="243"/>
        <v>-697.6294267330195</v>
      </c>
      <c r="U637" s="4">
        <f t="shared" si="244"/>
        <v>1397723.5074180525</v>
      </c>
      <c r="V637" s="4">
        <f t="shared" si="260"/>
        <v>22.555045092307747</v>
      </c>
      <c r="W637" s="4">
        <f t="shared" si="245"/>
        <v>1374646.1973517446</v>
      </c>
      <c r="X637" s="4">
        <f t="shared" si="249"/>
        <v>3611.8249805136584</v>
      </c>
      <c r="Y637" s="9">
        <f>SUM($X$6:X637)</f>
        <v>374646.19735174463</v>
      </c>
      <c r="Z637" s="16">
        <f t="shared" si="250"/>
        <v>0.37464619735174465</v>
      </c>
      <c r="AA637" s="16">
        <f t="shared" si="246"/>
        <v>0.54482169984182416</v>
      </c>
      <c r="AB637" s="16">
        <f t="shared" si="247"/>
        <v>2.6343795992998598E-3</v>
      </c>
      <c r="AC637" s="16">
        <f t="shared" si="248"/>
        <v>4.6442702843087274E-3</v>
      </c>
    </row>
    <row r="638" spans="1:29" x14ac:dyDescent="0.15">
      <c r="A638" s="8">
        <v>41830</v>
      </c>
      <c r="B638" s="4">
        <v>1964.68</v>
      </c>
      <c r="C638" s="1">
        <v>11.475099999999999</v>
      </c>
      <c r="D638" s="1">
        <v>2</v>
      </c>
      <c r="E638" s="1">
        <v>0.23880000000000001</v>
      </c>
      <c r="F638" s="4">
        <f t="shared" si="238"/>
        <v>0.11475099999999999</v>
      </c>
      <c r="G638" s="4">
        <f t="shared" si="239"/>
        <v>0.02</v>
      </c>
      <c r="H638" s="4">
        <f t="shared" si="240"/>
        <v>2.3879999999999999E-3</v>
      </c>
      <c r="I638" s="3">
        <f t="shared" si="241"/>
        <v>49.210508945539708</v>
      </c>
      <c r="J638" s="4">
        <f t="shared" si="251"/>
        <v>1397723.5074180525</v>
      </c>
      <c r="K638" s="1">
        <f t="shared" si="252"/>
        <v>1956.98</v>
      </c>
      <c r="L638" s="5">
        <f t="shared" si="253"/>
        <v>0.1890410958904111</v>
      </c>
      <c r="M638" s="5">
        <f t="shared" si="254"/>
        <v>-0.48344216565178821</v>
      </c>
      <c r="N638" s="5">
        <f t="shared" si="255"/>
        <v>38.360343730956401</v>
      </c>
      <c r="O638" s="1">
        <f t="shared" si="256"/>
        <v>0</v>
      </c>
      <c r="P638" s="1">
        <f t="shared" si="257"/>
        <v>1956.98</v>
      </c>
      <c r="Q638" s="5">
        <f t="shared" si="258"/>
        <v>0.1890410958904111</v>
      </c>
      <c r="R638" s="5">
        <f t="shared" si="259"/>
        <v>-0.48344216565178821</v>
      </c>
      <c r="S638" s="5">
        <f t="shared" si="242"/>
        <v>38.360343730956401</v>
      </c>
      <c r="T638" s="5">
        <f t="shared" si="243"/>
        <v>-697.6294267330195</v>
      </c>
      <c r="U638" s="4">
        <f t="shared" si="244"/>
        <v>1397746.0624631448</v>
      </c>
      <c r="V638" s="4">
        <f t="shared" si="260"/>
        <v>22.555409062761431</v>
      </c>
      <c r="W638" s="4">
        <f t="shared" si="245"/>
        <v>1370984.7578568361</v>
      </c>
      <c r="X638" s="4">
        <f t="shared" si="249"/>
        <v>-3661.4394949085545</v>
      </c>
      <c r="Y638" s="9">
        <f>SUM($X$6:X638)</f>
        <v>370984.75785683608</v>
      </c>
      <c r="Z638" s="16">
        <f t="shared" si="250"/>
        <v>0.3709847578568361</v>
      </c>
      <c r="AA638" s="16">
        <f t="shared" si="246"/>
        <v>0.5384398540397477</v>
      </c>
      <c r="AB638" s="16">
        <f t="shared" si="247"/>
        <v>-2.6635504480806162E-3</v>
      </c>
      <c r="AC638" s="16">
        <f t="shared" si="248"/>
        <v>-4.1311212826243846E-3</v>
      </c>
    </row>
    <row r="639" spans="1:29" x14ac:dyDescent="0.15">
      <c r="A639" s="8">
        <v>41831</v>
      </c>
      <c r="B639" s="4">
        <v>1967.57</v>
      </c>
      <c r="C639" s="1">
        <v>11.1675</v>
      </c>
      <c r="D639" s="1">
        <v>2</v>
      </c>
      <c r="E639" s="1">
        <v>0.23880000000000001</v>
      </c>
      <c r="F639" s="4">
        <f t="shared" si="238"/>
        <v>0.11167500000000001</v>
      </c>
      <c r="G639" s="4">
        <f t="shared" si="239"/>
        <v>0.02</v>
      </c>
      <c r="H639" s="4">
        <f t="shared" si="240"/>
        <v>2.3879999999999999E-3</v>
      </c>
      <c r="I639" s="3">
        <f t="shared" si="241"/>
        <v>48.084763817153956</v>
      </c>
      <c r="J639" s="4">
        <f t="shared" si="251"/>
        <v>1397746.0624631448</v>
      </c>
      <c r="K639" s="1">
        <f t="shared" si="252"/>
        <v>1956.98</v>
      </c>
      <c r="L639" s="5">
        <f t="shared" si="253"/>
        <v>0.18630136986301385</v>
      </c>
      <c r="M639" s="5">
        <f t="shared" si="254"/>
        <v>-0.47113693699088799</v>
      </c>
      <c r="N639" s="5">
        <f t="shared" si="255"/>
        <v>35.616544637399159</v>
      </c>
      <c r="O639" s="1">
        <f t="shared" si="256"/>
        <v>0</v>
      </c>
      <c r="P639" s="1">
        <f t="shared" si="257"/>
        <v>1956.98</v>
      </c>
      <c r="Q639" s="5">
        <f t="shared" si="258"/>
        <v>0.18630136986301385</v>
      </c>
      <c r="R639" s="5">
        <f t="shared" si="259"/>
        <v>-0.47113693699088799</v>
      </c>
      <c r="S639" s="5">
        <f t="shared" si="242"/>
        <v>35.616544637399159</v>
      </c>
      <c r="T639" s="5">
        <f t="shared" si="243"/>
        <v>-697.6294267330195</v>
      </c>
      <c r="U639" s="4">
        <f t="shared" si="244"/>
        <v>1397768.6178722074</v>
      </c>
      <c r="V639" s="4">
        <f t="shared" si="260"/>
        <v>22.555773039088496</v>
      </c>
      <c r="W639" s="4">
        <f t="shared" si="245"/>
        <v>1372921.4682546076</v>
      </c>
      <c r="X639" s="4">
        <f t="shared" si="249"/>
        <v>1936.7103977715597</v>
      </c>
      <c r="Y639" s="9">
        <f>SUM($X$6:X639)</f>
        <v>372921.46825460764</v>
      </c>
      <c r="Z639" s="16">
        <f t="shared" si="250"/>
        <v>0.37292146825460765</v>
      </c>
      <c r="AA639" s="16">
        <f t="shared" si="246"/>
        <v>0.54070286439164961</v>
      </c>
      <c r="AB639" s="16">
        <f t="shared" si="247"/>
        <v>1.4126418157989463E-3</v>
      </c>
      <c r="AC639" s="16">
        <f t="shared" si="248"/>
        <v>1.4709774619784761E-3</v>
      </c>
    </row>
    <row r="640" spans="1:29" x14ac:dyDescent="0.15">
      <c r="A640" s="8">
        <v>41834</v>
      </c>
      <c r="B640" s="4">
        <v>1977.1</v>
      </c>
      <c r="C640" s="1">
        <v>10.8729</v>
      </c>
      <c r="D640" s="1">
        <v>1.99</v>
      </c>
      <c r="E640" s="1">
        <v>0.23780000000000001</v>
      </c>
      <c r="F640" s="4">
        <f t="shared" si="238"/>
        <v>0.10872899999999999</v>
      </c>
      <c r="G640" s="4">
        <f t="shared" si="239"/>
        <v>1.9900000000000001E-2</v>
      </c>
      <c r="H640" s="4">
        <f t="shared" si="240"/>
        <v>2.3779999999999999E-3</v>
      </c>
      <c r="I640" s="3">
        <f t="shared" si="241"/>
        <v>47.141882360392465</v>
      </c>
      <c r="J640" s="4">
        <f t="shared" si="251"/>
        <v>1397768.6178722074</v>
      </c>
      <c r="K640" s="1">
        <f t="shared" si="252"/>
        <v>1956.98</v>
      </c>
      <c r="L640" s="5">
        <f t="shared" si="253"/>
        <v>0.17808219178082207</v>
      </c>
      <c r="M640" s="5">
        <f t="shared" si="254"/>
        <v>-0.42789634436545265</v>
      </c>
      <c r="N640" s="5">
        <f t="shared" si="255"/>
        <v>29.384610568482504</v>
      </c>
      <c r="O640" s="1">
        <f t="shared" si="256"/>
        <v>0</v>
      </c>
      <c r="P640" s="1">
        <f t="shared" si="257"/>
        <v>1956.98</v>
      </c>
      <c r="Q640" s="5">
        <f t="shared" si="258"/>
        <v>0.17808219178082207</v>
      </c>
      <c r="R640" s="5">
        <f t="shared" si="259"/>
        <v>-0.42789634436545265</v>
      </c>
      <c r="S640" s="5">
        <f t="shared" si="242"/>
        <v>29.384610568482504</v>
      </c>
      <c r="T640" s="5">
        <f t="shared" si="243"/>
        <v>-697.6294267330195</v>
      </c>
      <c r="U640" s="4">
        <f t="shared" si="244"/>
        <v>1397791.1736452465</v>
      </c>
      <c r="V640" s="4">
        <f t="shared" si="260"/>
        <v>67.668411063867126</v>
      </c>
      <c r="W640" s="4">
        <f t="shared" si="245"/>
        <v>1377291.6046195831</v>
      </c>
      <c r="X640" s="4">
        <f t="shared" si="249"/>
        <v>4370.1363649754785</v>
      </c>
      <c r="Y640" s="9">
        <f>SUM($X$6:X640)</f>
        <v>377291.60461958311</v>
      </c>
      <c r="Z640" s="16">
        <f t="shared" si="250"/>
        <v>0.37729160461958311</v>
      </c>
      <c r="AA640" s="16">
        <f t="shared" si="246"/>
        <v>0.54816531721297357</v>
      </c>
      <c r="AB640" s="16">
        <f t="shared" si="247"/>
        <v>3.1830927449413579E-3</v>
      </c>
      <c r="AC640" s="16">
        <f t="shared" si="248"/>
        <v>4.8435379681535974E-3</v>
      </c>
    </row>
    <row r="641" spans="1:29" x14ac:dyDescent="0.15">
      <c r="A641" s="8">
        <v>41835</v>
      </c>
      <c r="B641" s="4">
        <v>1973.28</v>
      </c>
      <c r="C641" s="1">
        <v>11.092700000000001</v>
      </c>
      <c r="D641" s="1">
        <v>1.99</v>
      </c>
      <c r="E641" s="1">
        <v>0.23830000000000001</v>
      </c>
      <c r="F641" s="4">
        <f t="shared" si="238"/>
        <v>0.11092700000000001</v>
      </c>
      <c r="G641" s="4">
        <f t="shared" si="239"/>
        <v>1.9900000000000001E-2</v>
      </c>
      <c r="H641" s="4">
        <f t="shared" si="240"/>
        <v>2.3830000000000001E-3</v>
      </c>
      <c r="I641" s="3">
        <f t="shared" si="241"/>
        <v>47.907990579713697</v>
      </c>
      <c r="J641" s="4">
        <f t="shared" si="251"/>
        <v>1397791.1736452465</v>
      </c>
      <c r="K641" s="1">
        <f t="shared" si="252"/>
        <v>1956.98</v>
      </c>
      <c r="L641" s="5">
        <f t="shared" si="253"/>
        <v>0.17534246575342483</v>
      </c>
      <c r="M641" s="5">
        <f t="shared" si="254"/>
        <v>-0.44448600315301329</v>
      </c>
      <c r="N641" s="5">
        <f t="shared" si="255"/>
        <v>31.448035734484062</v>
      </c>
      <c r="O641" s="1">
        <f t="shared" si="256"/>
        <v>0</v>
      </c>
      <c r="P641" s="1">
        <f t="shared" si="257"/>
        <v>1956.98</v>
      </c>
      <c r="Q641" s="5">
        <f t="shared" si="258"/>
        <v>0.17534246575342483</v>
      </c>
      <c r="R641" s="5">
        <f t="shared" si="259"/>
        <v>-0.44448600315301329</v>
      </c>
      <c r="S641" s="5">
        <f t="shared" si="242"/>
        <v>31.448035734484062</v>
      </c>
      <c r="T641" s="5">
        <f t="shared" si="243"/>
        <v>-697.6294267330195</v>
      </c>
      <c r="U641" s="4">
        <f t="shared" si="244"/>
        <v>1397858.8420563105</v>
      </c>
      <c r="V641" s="4">
        <f t="shared" si="260"/>
        <v>22.557228985511419</v>
      </c>
      <c r="W641" s="4">
        <f t="shared" si="245"/>
        <v>1375919.7669149828</v>
      </c>
      <c r="X641" s="4">
        <f t="shared" si="249"/>
        <v>-1371.8377046003006</v>
      </c>
      <c r="Y641" s="9">
        <f>SUM($X$6:X641)</f>
        <v>375919.76691498281</v>
      </c>
      <c r="Z641" s="16">
        <f t="shared" si="250"/>
        <v>0.3759197669149828</v>
      </c>
      <c r="AA641" s="16">
        <f t="shared" si="246"/>
        <v>0.54517407169592658</v>
      </c>
      <c r="AB641" s="16">
        <f t="shared" si="247"/>
        <v>-9.9604012686856612E-4</v>
      </c>
      <c r="AC641" s="16">
        <f t="shared" si="248"/>
        <v>-1.9321228061301586E-3</v>
      </c>
    </row>
    <row r="642" spans="1:29" x14ac:dyDescent="0.15">
      <c r="A642" s="8">
        <v>41836</v>
      </c>
      <c r="B642" s="4">
        <v>1981.57</v>
      </c>
      <c r="C642" s="1">
        <v>10.7081</v>
      </c>
      <c r="D642" s="1">
        <v>1.98</v>
      </c>
      <c r="E642" s="1">
        <v>0.2387</v>
      </c>
      <c r="F642" s="4">
        <f t="shared" si="238"/>
        <v>0.107081</v>
      </c>
      <c r="G642" s="4">
        <f t="shared" si="239"/>
        <v>1.9799999999999998E-2</v>
      </c>
      <c r="H642" s="4">
        <f t="shared" si="240"/>
        <v>2.3869999999999998E-3</v>
      </c>
      <c r="I642" s="3">
        <f t="shared" si="241"/>
        <v>46.574061256818268</v>
      </c>
      <c r="J642" s="4">
        <f t="shared" si="251"/>
        <v>1397858.8420563105</v>
      </c>
      <c r="K642" s="1">
        <f t="shared" si="252"/>
        <v>1956.98</v>
      </c>
      <c r="L642" s="5">
        <f t="shared" si="253"/>
        <v>0.17260273972602758</v>
      </c>
      <c r="M642" s="5">
        <f t="shared" si="254"/>
        <v>-0.40557201121423925</v>
      </c>
      <c r="N642" s="5">
        <f t="shared" si="255"/>
        <v>26.351694096283385</v>
      </c>
      <c r="O642" s="1">
        <f t="shared" si="256"/>
        <v>0</v>
      </c>
      <c r="P642" s="1">
        <f t="shared" si="257"/>
        <v>1956.98</v>
      </c>
      <c r="Q642" s="5">
        <f t="shared" si="258"/>
        <v>0.17260273972602758</v>
      </c>
      <c r="R642" s="5">
        <f t="shared" si="259"/>
        <v>-0.40557201121423925</v>
      </c>
      <c r="S642" s="5">
        <f t="shared" si="242"/>
        <v>26.351694096283385</v>
      </c>
      <c r="T642" s="5">
        <f t="shared" si="243"/>
        <v>-697.6294267330195</v>
      </c>
      <c r="U642" s="4">
        <f t="shared" si="244"/>
        <v>1397881.399285296</v>
      </c>
      <c r="V642" s="4">
        <f t="shared" si="260"/>
        <v>22.557592991206551</v>
      </c>
      <c r="W642" s="4">
        <f t="shared" si="245"/>
        <v>1379497.6820394618</v>
      </c>
      <c r="X642" s="4">
        <f t="shared" si="249"/>
        <v>3577.9151244789828</v>
      </c>
      <c r="Y642" s="9">
        <f>SUM($X$6:X642)</f>
        <v>379497.6820394618</v>
      </c>
      <c r="Z642" s="16">
        <f t="shared" si="250"/>
        <v>0.37949768203946177</v>
      </c>
      <c r="AA642" s="16">
        <f t="shared" si="246"/>
        <v>0.55166554429705728</v>
      </c>
      <c r="AB642" s="16">
        <f t="shared" si="247"/>
        <v>2.6003806402906775E-3</v>
      </c>
      <c r="AC642" s="16">
        <f t="shared" si="248"/>
        <v>4.201127057488022E-3</v>
      </c>
    </row>
    <row r="643" spans="1:29" x14ac:dyDescent="0.15">
      <c r="A643" s="8">
        <v>41837</v>
      </c>
      <c r="B643" s="4">
        <v>1958.12</v>
      </c>
      <c r="C643" s="1">
        <v>12.3773</v>
      </c>
      <c r="D643" s="1">
        <v>2.0099999999999998</v>
      </c>
      <c r="E643" s="1">
        <v>0.23880000000000001</v>
      </c>
      <c r="F643" s="4">
        <f t="shared" si="238"/>
        <v>0.12377299999999999</v>
      </c>
      <c r="G643" s="4">
        <f t="shared" si="239"/>
        <v>2.0099999999999996E-2</v>
      </c>
      <c r="H643" s="4">
        <f t="shared" si="240"/>
        <v>2.3879999999999999E-3</v>
      </c>
      <c r="I643" s="3">
        <f t="shared" si="241"/>
        <v>52.569424706480298</v>
      </c>
      <c r="J643" s="4">
        <f t="shared" si="251"/>
        <v>1397881.399285296</v>
      </c>
      <c r="K643" s="1">
        <f t="shared" si="252"/>
        <v>1956.98</v>
      </c>
      <c r="L643" s="5">
        <f t="shared" si="253"/>
        <v>0.16986301369863033</v>
      </c>
      <c r="M643" s="5">
        <f t="shared" si="254"/>
        <v>-0.50706411593379741</v>
      </c>
      <c r="N643" s="5">
        <f t="shared" si="255"/>
        <v>42.172943971643313</v>
      </c>
      <c r="O643" s="1">
        <f t="shared" si="256"/>
        <v>0</v>
      </c>
      <c r="P643" s="1">
        <f t="shared" si="257"/>
        <v>1956.98</v>
      </c>
      <c r="Q643" s="5">
        <f t="shared" si="258"/>
        <v>0.16986301369863033</v>
      </c>
      <c r="R643" s="5">
        <f t="shared" si="259"/>
        <v>-0.50706411593379741</v>
      </c>
      <c r="S643" s="5">
        <f t="shared" si="242"/>
        <v>42.172943971643313</v>
      </c>
      <c r="T643" s="5">
        <f t="shared" si="243"/>
        <v>-697.6294267330195</v>
      </c>
      <c r="U643" s="4">
        <f t="shared" si="244"/>
        <v>1397903.9568782873</v>
      </c>
      <c r="V643" s="4">
        <f t="shared" si="260"/>
        <v>22.557957002775648</v>
      </c>
      <c r="W643" s="4">
        <f t="shared" si="245"/>
        <v>1368482.870151706</v>
      </c>
      <c r="X643" s="4">
        <f t="shared" si="249"/>
        <v>-11014.811887755757</v>
      </c>
      <c r="Y643" s="9">
        <f>SUM($X$6:X643)</f>
        <v>368482.87015170604</v>
      </c>
      <c r="Z643" s="16">
        <f t="shared" si="250"/>
        <v>0.36848287015170605</v>
      </c>
      <c r="AA643" s="16">
        <f t="shared" si="246"/>
        <v>0.53330305545549928</v>
      </c>
      <c r="AB643" s="16">
        <f t="shared" si="247"/>
        <v>-7.9846541470597904E-3</v>
      </c>
      <c r="AC643" s="16">
        <f t="shared" si="248"/>
        <v>-1.1834050777918543E-2</v>
      </c>
    </row>
    <row r="644" spans="1:29" x14ac:dyDescent="0.15">
      <c r="A644" s="8">
        <v>41838</v>
      </c>
      <c r="B644" s="4">
        <v>1978.22</v>
      </c>
      <c r="C644" s="1">
        <v>11.0228</v>
      </c>
      <c r="D644" s="1">
        <v>1.99</v>
      </c>
      <c r="E644" s="1">
        <v>0.23669999999999999</v>
      </c>
      <c r="F644" s="4">
        <f t="shared" si="238"/>
        <v>0.11022800000000001</v>
      </c>
      <c r="G644" s="4">
        <f t="shared" si="239"/>
        <v>1.9900000000000001E-2</v>
      </c>
      <c r="H644" s="4">
        <f t="shared" si="240"/>
        <v>2.3669999999999997E-3</v>
      </c>
      <c r="I644" s="3">
        <f t="shared" si="241"/>
        <v>47.758485187941716</v>
      </c>
      <c r="J644" s="4">
        <f t="shared" si="251"/>
        <v>1397903.9568782873</v>
      </c>
      <c r="K644" s="1">
        <f t="shared" si="252"/>
        <v>1956.98</v>
      </c>
      <c r="L644" s="5">
        <f t="shared" si="253"/>
        <v>0.16712328767123308</v>
      </c>
      <c r="M644" s="5">
        <f t="shared" si="254"/>
        <v>-0.42048792566041987</v>
      </c>
      <c r="N644" s="5">
        <f t="shared" si="255"/>
        <v>28.116144019039993</v>
      </c>
      <c r="O644" s="1">
        <f t="shared" si="256"/>
        <v>0</v>
      </c>
      <c r="P644" s="1">
        <f t="shared" si="257"/>
        <v>1956.98</v>
      </c>
      <c r="Q644" s="5">
        <f t="shared" si="258"/>
        <v>0.16712328767123308</v>
      </c>
      <c r="R644" s="5">
        <f t="shared" si="259"/>
        <v>-0.42048792566041987</v>
      </c>
      <c r="S644" s="5">
        <f t="shared" si="242"/>
        <v>28.116144019039993</v>
      </c>
      <c r="T644" s="5">
        <f t="shared" si="243"/>
        <v>-697.6294267330195</v>
      </c>
      <c r="U644" s="4">
        <f t="shared" si="244"/>
        <v>1397926.5148352899</v>
      </c>
      <c r="V644" s="4">
        <f t="shared" si="260"/>
        <v>22.558321020218784</v>
      </c>
      <c r="W644" s="4">
        <f t="shared" si="245"/>
        <v>1378311.8654013441</v>
      </c>
      <c r="X644" s="4">
        <f t="shared" si="249"/>
        <v>9828.9952496381011</v>
      </c>
      <c r="Y644" s="9">
        <f>SUM($X$6:X644)</f>
        <v>378311.86540134414</v>
      </c>
      <c r="Z644" s="16">
        <f t="shared" si="250"/>
        <v>0.37831186540134415</v>
      </c>
      <c r="AA644" s="16">
        <f t="shared" si="246"/>
        <v>0.54904233160540628</v>
      </c>
      <c r="AB644" s="16">
        <f t="shared" si="247"/>
        <v>7.182402837492944E-3</v>
      </c>
      <c r="AC644" s="16">
        <f t="shared" si="248"/>
        <v>1.0264948011357904E-2</v>
      </c>
    </row>
    <row r="645" spans="1:29" x14ac:dyDescent="0.15">
      <c r="A645" s="8">
        <v>41841</v>
      </c>
      <c r="B645" s="4">
        <v>1973.63</v>
      </c>
      <c r="C645" s="1">
        <v>11.4581</v>
      </c>
      <c r="D645" s="1">
        <v>1.99</v>
      </c>
      <c r="E645" s="1">
        <v>0.23830000000000001</v>
      </c>
      <c r="F645" s="4">
        <f t="shared" si="238"/>
        <v>0.114581</v>
      </c>
      <c r="G645" s="4">
        <f t="shared" si="239"/>
        <v>1.9900000000000001E-2</v>
      </c>
      <c r="H645" s="4">
        <f t="shared" si="240"/>
        <v>2.3830000000000001E-3</v>
      </c>
      <c r="I645" s="3">
        <f t="shared" si="241"/>
        <v>49.344175566656496</v>
      </c>
      <c r="J645" s="4">
        <f t="shared" si="251"/>
        <v>1397926.5148352899</v>
      </c>
      <c r="K645" s="1">
        <f t="shared" si="252"/>
        <v>1956.98</v>
      </c>
      <c r="L645" s="5">
        <f t="shared" si="253"/>
        <v>0.1589041095890413</v>
      </c>
      <c r="M645" s="5">
        <f t="shared" si="254"/>
        <v>-0.44002241767469874</v>
      </c>
      <c r="N645" s="5">
        <f t="shared" si="255"/>
        <v>30.441604591813743</v>
      </c>
      <c r="O645" s="1">
        <f t="shared" si="256"/>
        <v>0</v>
      </c>
      <c r="P645" s="1">
        <f t="shared" si="257"/>
        <v>1956.98</v>
      </c>
      <c r="Q645" s="5">
        <f t="shared" si="258"/>
        <v>0.1589041095890413</v>
      </c>
      <c r="R645" s="5">
        <f t="shared" si="259"/>
        <v>-0.44002241767469874</v>
      </c>
      <c r="S645" s="5">
        <f t="shared" si="242"/>
        <v>30.441604591813743</v>
      </c>
      <c r="T645" s="5">
        <f t="shared" si="243"/>
        <v>-697.6294267330195</v>
      </c>
      <c r="U645" s="4">
        <f t="shared" si="244"/>
        <v>1397949.0731563102</v>
      </c>
      <c r="V645" s="4">
        <f t="shared" si="260"/>
        <v>67.676055130608219</v>
      </c>
      <c r="W645" s="4">
        <f t="shared" si="245"/>
        <v>1376712.1139960899</v>
      </c>
      <c r="X645" s="4">
        <f t="shared" si="249"/>
        <v>-1599.7514052542392</v>
      </c>
      <c r="Y645" s="9">
        <f>SUM($X$6:X645)</f>
        <v>376712.1139960899</v>
      </c>
      <c r="Z645" s="16">
        <f t="shared" si="250"/>
        <v>0.37671211399608989</v>
      </c>
      <c r="AA645" s="16">
        <f t="shared" si="246"/>
        <v>0.5454481386935619</v>
      </c>
      <c r="AB645" s="16">
        <f t="shared" si="247"/>
        <v>-1.1606599677558571E-3</v>
      </c>
      <c r="AC645" s="16">
        <f t="shared" si="248"/>
        <v>-2.3202677154208927E-3</v>
      </c>
    </row>
    <row r="646" spans="1:29" x14ac:dyDescent="0.15">
      <c r="A646" s="8">
        <v>41842</v>
      </c>
      <c r="B646" s="4">
        <v>1983.53</v>
      </c>
      <c r="C646" s="1">
        <v>11.3324</v>
      </c>
      <c r="D646" s="1">
        <v>1.98</v>
      </c>
      <c r="E646" s="1">
        <v>0.23780000000000001</v>
      </c>
      <c r="F646" s="4">
        <f t="shared" si="238"/>
        <v>0.11332399999999999</v>
      </c>
      <c r="G646" s="4">
        <f t="shared" si="239"/>
        <v>1.9799999999999998E-2</v>
      </c>
      <c r="H646" s="4">
        <f t="shared" si="240"/>
        <v>2.3779999999999999E-3</v>
      </c>
      <c r="I646" s="3">
        <f t="shared" si="241"/>
        <v>49.073847759207396</v>
      </c>
      <c r="J646" s="4">
        <f t="shared" si="251"/>
        <v>1397949.0731563102</v>
      </c>
      <c r="K646" s="1">
        <f t="shared" si="252"/>
        <v>1956.98</v>
      </c>
      <c r="L646" s="5">
        <f t="shared" si="253"/>
        <v>0.15616438356164405</v>
      </c>
      <c r="M646" s="5">
        <f t="shared" si="254"/>
        <v>-0.39522554917128433</v>
      </c>
      <c r="N646" s="5">
        <f t="shared" si="255"/>
        <v>25.56786103013404</v>
      </c>
      <c r="O646" s="1">
        <f t="shared" si="256"/>
        <v>0</v>
      </c>
      <c r="P646" s="1">
        <f t="shared" si="257"/>
        <v>1956.98</v>
      </c>
      <c r="Q646" s="5">
        <f t="shared" si="258"/>
        <v>0.15616438356164405</v>
      </c>
      <c r="R646" s="5">
        <f t="shared" si="259"/>
        <v>-0.39522554917128433</v>
      </c>
      <c r="S646" s="5">
        <f t="shared" si="242"/>
        <v>25.56786103013404</v>
      </c>
      <c r="T646" s="5">
        <f t="shared" si="243"/>
        <v>-697.6294267330195</v>
      </c>
      <c r="U646" s="4">
        <f t="shared" si="244"/>
        <v>1398016.7492114408</v>
      </c>
      <c r="V646" s="4">
        <f t="shared" si="260"/>
        <v>22.559777131110643</v>
      </c>
      <c r="W646" s="4">
        <f t="shared" si="245"/>
        <v>1380179.856978199</v>
      </c>
      <c r="X646" s="4">
        <f t="shared" si="249"/>
        <v>3467.7429821090773</v>
      </c>
      <c r="Y646" s="9">
        <f>SUM($X$6:X646)</f>
        <v>380179.85697819898</v>
      </c>
      <c r="Z646" s="16">
        <f t="shared" si="250"/>
        <v>0.380179856978199</v>
      </c>
      <c r="AA646" s="16">
        <f t="shared" si="246"/>
        <v>0.55320031948381443</v>
      </c>
      <c r="AB646" s="16">
        <f t="shared" si="247"/>
        <v>2.5188584794561676E-3</v>
      </c>
      <c r="AC646" s="16">
        <f t="shared" si="248"/>
        <v>5.016137776584194E-3</v>
      </c>
    </row>
    <row r="647" spans="1:29" x14ac:dyDescent="0.15">
      <c r="A647" s="8">
        <v>41843</v>
      </c>
      <c r="B647" s="4">
        <v>1987.01</v>
      </c>
      <c r="C647" s="1">
        <v>11.4488</v>
      </c>
      <c r="D647" s="1">
        <v>1.97</v>
      </c>
      <c r="E647" s="1">
        <v>0.2392</v>
      </c>
      <c r="F647" s="4">
        <f t="shared" ref="F647:F710" si="261">C647/100</f>
        <v>0.11448800000000001</v>
      </c>
      <c r="G647" s="4">
        <f t="shared" ref="G647:G710" si="262">D647/100</f>
        <v>1.9699999999999999E-2</v>
      </c>
      <c r="H647" s="4">
        <f t="shared" ref="H647:H710" si="263">E647/100</f>
        <v>2.392E-3</v>
      </c>
      <c r="I647" s="3">
        <f t="shared" ref="I647:I710" si="264">BSM_Put(B647,B647,F647,H647,G647,$B$3,$F$3)</f>
        <v>49.588542010410961</v>
      </c>
      <c r="J647" s="4">
        <f t="shared" si="251"/>
        <v>1398016.7492114408</v>
      </c>
      <c r="K647" s="1">
        <f t="shared" si="252"/>
        <v>1956.98</v>
      </c>
      <c r="L647" s="5">
        <f t="shared" si="253"/>
        <v>0.15342465753424681</v>
      </c>
      <c r="M647" s="5">
        <f t="shared" si="254"/>
        <v>-0.37987382200787095</v>
      </c>
      <c r="N647" s="5">
        <f t="shared" si="255"/>
        <v>24.215738039514431</v>
      </c>
      <c r="O647" s="1">
        <f t="shared" si="256"/>
        <v>0</v>
      </c>
      <c r="P647" s="1">
        <f t="shared" si="257"/>
        <v>1956.98</v>
      </c>
      <c r="Q647" s="5">
        <f t="shared" si="258"/>
        <v>0.15342465753424681</v>
      </c>
      <c r="R647" s="5">
        <f t="shared" si="259"/>
        <v>-0.37987382200787095</v>
      </c>
      <c r="S647" s="5">
        <f t="shared" ref="S647:S710" si="265">BSM_Put(B647,P647,F647,H647,G647,Q647,$F$3)</f>
        <v>24.215738039514431</v>
      </c>
      <c r="T647" s="5">
        <f t="shared" si="243"/>
        <v>-697.6294267330195</v>
      </c>
      <c r="U647" s="4">
        <f t="shared" si="244"/>
        <v>1398039.3089885719</v>
      </c>
      <c r="V647" s="4">
        <f t="shared" si="260"/>
        <v>22.560141177925171</v>
      </c>
      <c r="W647" s="4">
        <f t="shared" si="245"/>
        <v>1381145.6975421484</v>
      </c>
      <c r="X647" s="4">
        <f t="shared" si="249"/>
        <v>965.84056394943036</v>
      </c>
      <c r="Y647" s="9">
        <f>SUM($X$6:X647)</f>
        <v>381145.69754214841</v>
      </c>
      <c r="Z647" s="16">
        <f t="shared" si="250"/>
        <v>0.38114569754214839</v>
      </c>
      <c r="AA647" s="16">
        <f t="shared" si="246"/>
        <v>0.55592532848887299</v>
      </c>
      <c r="AB647" s="16">
        <f t="shared" si="247"/>
        <v>6.9979326177391568E-4</v>
      </c>
      <c r="AC647" s="16">
        <f t="shared" si="248"/>
        <v>1.7544478782776254E-3</v>
      </c>
    </row>
    <row r="648" spans="1:29" x14ac:dyDescent="0.15">
      <c r="A648" s="8">
        <v>41844</v>
      </c>
      <c r="B648" s="4">
        <v>1987.98</v>
      </c>
      <c r="C648" s="1">
        <v>11.568200000000001</v>
      </c>
      <c r="D648" s="1">
        <v>1.97</v>
      </c>
      <c r="E648" s="1">
        <v>0.24030000000000001</v>
      </c>
      <c r="F648" s="4">
        <f t="shared" si="261"/>
        <v>0.11568200000000001</v>
      </c>
      <c r="G648" s="4">
        <f t="shared" si="262"/>
        <v>1.9699999999999999E-2</v>
      </c>
      <c r="H648" s="4">
        <f t="shared" si="263"/>
        <v>2.4030000000000002E-3</v>
      </c>
      <c r="I648" s="3">
        <f t="shared" si="264"/>
        <v>50.079803855157138</v>
      </c>
      <c r="J648" s="4">
        <f t="shared" si="251"/>
        <v>1398039.3089885719</v>
      </c>
      <c r="K648" s="1">
        <f t="shared" si="252"/>
        <v>1956.98</v>
      </c>
      <c r="L648" s="5">
        <f t="shared" si="253"/>
        <v>0.15068493150684956</v>
      </c>
      <c r="M648" s="5">
        <f t="shared" si="254"/>
        <v>-0.37549137940143673</v>
      </c>
      <c r="N648" s="5">
        <f t="shared" si="255"/>
        <v>23.858864627029906</v>
      </c>
      <c r="O648" s="1">
        <f t="shared" si="256"/>
        <v>0</v>
      </c>
      <c r="P648" s="1">
        <f t="shared" si="257"/>
        <v>1956.98</v>
      </c>
      <c r="Q648" s="5">
        <f t="shared" si="258"/>
        <v>0.15068493150684956</v>
      </c>
      <c r="R648" s="5">
        <f t="shared" si="259"/>
        <v>-0.37549137940143673</v>
      </c>
      <c r="S648" s="5">
        <f t="shared" si="265"/>
        <v>23.858864627029906</v>
      </c>
      <c r="T648" s="5">
        <f t="shared" ref="T648:T711" si="266">IF(O648,-(J648+IF(L648&lt;=0.00001, MAX(K648-B648,0),N648)*T647)/P648,T647)</f>
        <v>-697.6294267330195</v>
      </c>
      <c r="U648" s="4">
        <f t="shared" ref="U648:U711" si="267">IF(O648,(J648+IF(L648&lt;=0.00001, MAX(K648-B648,0),N648)*T647)-(S648*T648),U647)+V647</f>
        <v>1398061.8691297497</v>
      </c>
      <c r="V648" s="4">
        <f t="shared" si="260"/>
        <v>22.560505230614318</v>
      </c>
      <c r="W648" s="4">
        <f t="shared" ref="W648:W711" si="268">S648*T648+U648</f>
        <v>1381417.2230774942</v>
      </c>
      <c r="X648" s="4">
        <f t="shared" si="249"/>
        <v>271.52553534577601</v>
      </c>
      <c r="Y648" s="9">
        <f>SUM($X$6:X648)</f>
        <v>381417.22307749419</v>
      </c>
      <c r="Z648" s="16">
        <f t="shared" si="250"/>
        <v>0.38141722307749421</v>
      </c>
      <c r="AA648" s="16">
        <f t="shared" ref="AA648:AA711" si="269">(B648-$B$6)/$B$6</f>
        <v>0.55668488559660478</v>
      </c>
      <c r="AB648" s="16">
        <f t="shared" ref="AB648:AB711" si="270">X648/W647</f>
        <v>1.9659441855336183E-4</v>
      </c>
      <c r="AC648" s="16">
        <f t="shared" ref="AC648:AC711" si="271">(B648-B647)/B647</f>
        <v>4.8817066849186832E-4</v>
      </c>
    </row>
    <row r="649" spans="1:29" x14ac:dyDescent="0.15">
      <c r="A649" s="8">
        <v>41845</v>
      </c>
      <c r="B649" s="4">
        <v>1978.34</v>
      </c>
      <c r="C649" s="1">
        <v>11.913</v>
      </c>
      <c r="D649" s="1">
        <v>1.98</v>
      </c>
      <c r="E649" s="1">
        <v>0.23930000000000001</v>
      </c>
      <c r="F649" s="4">
        <f t="shared" si="261"/>
        <v>0.11913</v>
      </c>
      <c r="G649" s="4">
        <f t="shared" si="262"/>
        <v>1.9799999999999998E-2</v>
      </c>
      <c r="H649" s="4">
        <f t="shared" si="263"/>
        <v>2.3930000000000002E-3</v>
      </c>
      <c r="I649" s="3">
        <f t="shared" si="264"/>
        <v>51.21581652650449</v>
      </c>
      <c r="J649" s="4">
        <f t="shared" si="251"/>
        <v>1398061.8691297497</v>
      </c>
      <c r="K649" s="1">
        <f t="shared" si="252"/>
        <v>1956.98</v>
      </c>
      <c r="L649" s="5">
        <f t="shared" si="253"/>
        <v>0.14794520547945231</v>
      </c>
      <c r="M649" s="5">
        <f t="shared" si="254"/>
        <v>-0.41809910613188345</v>
      </c>
      <c r="N649" s="5">
        <f t="shared" si="255"/>
        <v>28.358488561611328</v>
      </c>
      <c r="O649" s="1">
        <f t="shared" si="256"/>
        <v>0</v>
      </c>
      <c r="P649" s="1">
        <f t="shared" si="257"/>
        <v>1956.98</v>
      </c>
      <c r="Q649" s="5">
        <f t="shared" si="258"/>
        <v>0.14794520547945231</v>
      </c>
      <c r="R649" s="5">
        <f t="shared" si="259"/>
        <v>-0.41809910613188345</v>
      </c>
      <c r="S649" s="5">
        <f t="shared" si="265"/>
        <v>28.358488561611328</v>
      </c>
      <c r="T649" s="5">
        <f t="shared" si="266"/>
        <v>-697.6294267330195</v>
      </c>
      <c r="U649" s="4">
        <f t="shared" si="267"/>
        <v>1398084.4296349804</v>
      </c>
      <c r="V649" s="4">
        <f t="shared" si="260"/>
        <v>22.560869289178175</v>
      </c>
      <c r="W649" s="4">
        <f t="shared" si="268"/>
        <v>1378300.7135167285</v>
      </c>
      <c r="X649" s="4">
        <f t="shared" ref="X649:X712" si="272">W649-W648</f>
        <v>-3116.5095607656986</v>
      </c>
      <c r="Y649" s="9">
        <f>SUM($X$6:X649)</f>
        <v>378300.71351672849</v>
      </c>
      <c r="Z649" s="16">
        <f t="shared" si="250"/>
        <v>0.3783007135167285</v>
      </c>
      <c r="AA649" s="16">
        <f t="shared" si="269"/>
        <v>0.54913629743316683</v>
      </c>
      <c r="AB649" s="16">
        <f t="shared" si="270"/>
        <v>-2.2560233857681316E-3</v>
      </c>
      <c r="AC649" s="16">
        <f t="shared" si="271"/>
        <v>-4.849143351542822E-3</v>
      </c>
    </row>
    <row r="650" spans="1:29" x14ac:dyDescent="0.15">
      <c r="A650" s="8">
        <v>41848</v>
      </c>
      <c r="B650" s="4">
        <v>1978.91</v>
      </c>
      <c r="C650" s="1">
        <v>11.8751</v>
      </c>
      <c r="D650" s="1">
        <v>1.98</v>
      </c>
      <c r="E650" s="1">
        <v>0.24129999999999999</v>
      </c>
      <c r="F650" s="4">
        <f t="shared" si="261"/>
        <v>0.118751</v>
      </c>
      <c r="G650" s="4">
        <f t="shared" si="262"/>
        <v>1.9799999999999998E-2</v>
      </c>
      <c r="H650" s="4">
        <f t="shared" si="263"/>
        <v>2.4129999999999998E-3</v>
      </c>
      <c r="I650" s="3">
        <f t="shared" si="264"/>
        <v>51.076714222609979</v>
      </c>
      <c r="J650" s="4">
        <f t="shared" si="251"/>
        <v>1398084.4296349804</v>
      </c>
      <c r="K650" s="1">
        <f t="shared" si="252"/>
        <v>1956.98</v>
      </c>
      <c r="L650" s="5">
        <f t="shared" si="253"/>
        <v>0.13972602739726053</v>
      </c>
      <c r="M650" s="5">
        <f t="shared" si="254"/>
        <v>-0.41237305592952428</v>
      </c>
      <c r="N650" s="5">
        <f t="shared" si="255"/>
        <v>26.899549778058695</v>
      </c>
      <c r="O650" s="1">
        <f t="shared" si="256"/>
        <v>0</v>
      </c>
      <c r="P650" s="1">
        <f t="shared" si="257"/>
        <v>1956.98</v>
      </c>
      <c r="Q650" s="5">
        <f t="shared" si="258"/>
        <v>0.13972602739726053</v>
      </c>
      <c r="R650" s="5">
        <f t="shared" si="259"/>
        <v>-0.41237305592952428</v>
      </c>
      <c r="S650" s="5">
        <f t="shared" si="265"/>
        <v>26.899549778058695</v>
      </c>
      <c r="T650" s="5">
        <f t="shared" si="266"/>
        <v>-697.6294267330195</v>
      </c>
      <c r="U650" s="4">
        <f t="shared" si="267"/>
        <v>1398106.9905042695</v>
      </c>
      <c r="V650" s="4">
        <f t="shared" si="260"/>
        <v>67.683700060850526</v>
      </c>
      <c r="W650" s="4">
        <f t="shared" si="268"/>
        <v>1379341.073013226</v>
      </c>
      <c r="X650" s="4">
        <f t="shared" si="272"/>
        <v>1040.3594964975491</v>
      </c>
      <c r="Y650" s="9">
        <f>SUM($X$6:X650)</f>
        <v>379341.07301322604</v>
      </c>
      <c r="Z650" s="16">
        <f t="shared" si="250"/>
        <v>0.37934107301322606</v>
      </c>
      <c r="AA650" s="16">
        <f t="shared" si="269"/>
        <v>0.54958263511502992</v>
      </c>
      <c r="AB650" s="16">
        <f t="shared" si="270"/>
        <v>7.5481314512496783E-4</v>
      </c>
      <c r="AC650" s="16">
        <f t="shared" si="271"/>
        <v>2.8812034331821815E-4</v>
      </c>
    </row>
    <row r="651" spans="1:29" x14ac:dyDescent="0.15">
      <c r="A651" s="8">
        <v>41849</v>
      </c>
      <c r="B651" s="4">
        <v>1969.95</v>
      </c>
      <c r="C651" s="1">
        <v>12.1197</v>
      </c>
      <c r="D651" s="1">
        <v>1.99</v>
      </c>
      <c r="E651" s="1">
        <v>0.2424</v>
      </c>
      <c r="F651" s="4">
        <f t="shared" si="261"/>
        <v>0.121197</v>
      </c>
      <c r="G651" s="4">
        <f t="shared" si="262"/>
        <v>1.9900000000000001E-2</v>
      </c>
      <c r="H651" s="4">
        <f t="shared" si="263"/>
        <v>2.4239999999999999E-3</v>
      </c>
      <c r="I651" s="3">
        <f t="shared" si="264"/>
        <v>51.822026841907572</v>
      </c>
      <c r="J651" s="4">
        <f t="shared" si="251"/>
        <v>1398106.9905042695</v>
      </c>
      <c r="K651" s="1">
        <f t="shared" si="252"/>
        <v>1956.98</v>
      </c>
      <c r="L651" s="5">
        <f t="shared" si="253"/>
        <v>0.13698630136986328</v>
      </c>
      <c r="M651" s="5">
        <f t="shared" si="254"/>
        <v>-0.45246410923551011</v>
      </c>
      <c r="N651" s="5">
        <f t="shared" si="255"/>
        <v>31.106221920104989</v>
      </c>
      <c r="O651" s="1">
        <f t="shared" si="256"/>
        <v>0</v>
      </c>
      <c r="P651" s="1">
        <f t="shared" si="257"/>
        <v>1956.98</v>
      </c>
      <c r="Q651" s="5">
        <f t="shared" si="258"/>
        <v>0.13698630136986328</v>
      </c>
      <c r="R651" s="5">
        <f t="shared" si="259"/>
        <v>-0.45246410923551011</v>
      </c>
      <c r="S651" s="5">
        <f t="shared" si="265"/>
        <v>31.106221920104989</v>
      </c>
      <c r="T651" s="5">
        <f t="shared" si="266"/>
        <v>-697.6294267330195</v>
      </c>
      <c r="U651" s="4">
        <f t="shared" si="267"/>
        <v>1398174.6742043304</v>
      </c>
      <c r="V651" s="4">
        <f t="shared" si="260"/>
        <v>22.56232556455755</v>
      </c>
      <c r="W651" s="4">
        <f t="shared" si="268"/>
        <v>1376474.0584383775</v>
      </c>
      <c r="X651" s="4">
        <f t="shared" si="272"/>
        <v>-2867.0145748485811</v>
      </c>
      <c r="Y651" s="9">
        <f>SUM($X$6:X651)</f>
        <v>376474.05843837745</v>
      </c>
      <c r="Z651" s="16">
        <f t="shared" si="250"/>
        <v>0.37647405843837745</v>
      </c>
      <c r="AA651" s="16">
        <f t="shared" si="269"/>
        <v>0.54256651997556904</v>
      </c>
      <c r="AB651" s="16">
        <f t="shared" si="270"/>
        <v>-2.0785392612035197E-3</v>
      </c>
      <c r="AC651" s="16">
        <f t="shared" si="271"/>
        <v>-4.5277450717819585E-3</v>
      </c>
    </row>
    <row r="652" spans="1:29" x14ac:dyDescent="0.15">
      <c r="A652" s="8">
        <v>41850</v>
      </c>
      <c r="B652" s="4">
        <v>1970.07</v>
      </c>
      <c r="C652" s="1">
        <v>12.2043</v>
      </c>
      <c r="D652" s="1">
        <v>1.99</v>
      </c>
      <c r="E652" s="1">
        <v>0.24479999999999999</v>
      </c>
      <c r="F652" s="4">
        <f t="shared" si="261"/>
        <v>0.122043</v>
      </c>
      <c r="G652" s="4">
        <f t="shared" si="262"/>
        <v>1.9900000000000001E-2</v>
      </c>
      <c r="H652" s="4">
        <f t="shared" si="263"/>
        <v>2.4480000000000001E-3</v>
      </c>
      <c r="I652" s="3">
        <f t="shared" si="264"/>
        <v>52.14888776694189</v>
      </c>
      <c r="J652" s="4">
        <f t="shared" si="251"/>
        <v>1398174.6742043304</v>
      </c>
      <c r="K652" s="1">
        <f t="shared" si="252"/>
        <v>1956.98</v>
      </c>
      <c r="L652" s="5">
        <f t="shared" si="253"/>
        <v>0.13424657534246603</v>
      </c>
      <c r="M652" s="5">
        <f t="shared" si="254"/>
        <v>-0.45140992460586882</v>
      </c>
      <c r="N652" s="5">
        <f t="shared" si="255"/>
        <v>30.89695110707428</v>
      </c>
      <c r="O652" s="1">
        <f t="shared" si="256"/>
        <v>0</v>
      </c>
      <c r="P652" s="1">
        <f t="shared" si="257"/>
        <v>1956.98</v>
      </c>
      <c r="Q652" s="5">
        <f t="shared" si="258"/>
        <v>0.13424657534246603</v>
      </c>
      <c r="R652" s="5">
        <f t="shared" si="259"/>
        <v>-0.45140992460586882</v>
      </c>
      <c r="S652" s="5">
        <f t="shared" si="265"/>
        <v>30.89695110707428</v>
      </c>
      <c r="T652" s="5">
        <f t="shared" si="266"/>
        <v>-697.6294267330195</v>
      </c>
      <c r="U652" s="4">
        <f t="shared" si="267"/>
        <v>1398197.2365298949</v>
      </c>
      <c r="V652" s="4">
        <f t="shared" si="260"/>
        <v>22.562689652496108</v>
      </c>
      <c r="W652" s="4">
        <f t="shared" si="268"/>
        <v>1376642.6142412685</v>
      </c>
      <c r="X652" s="4">
        <f t="shared" si="272"/>
        <v>168.55580289103091</v>
      </c>
      <c r="Y652" s="9">
        <f>SUM($X$6:X652)</f>
        <v>376642.61424126849</v>
      </c>
      <c r="Z652" s="16">
        <f t="shared" si="250"/>
        <v>0.37664261424126849</v>
      </c>
      <c r="AA652" s="16">
        <f t="shared" si="269"/>
        <v>0.54266048580332948</v>
      </c>
      <c r="AB652" s="16">
        <f t="shared" si="270"/>
        <v>1.2245476175719506E-4</v>
      </c>
      <c r="AC652" s="16">
        <f t="shared" si="271"/>
        <v>6.0915251656078004E-5</v>
      </c>
    </row>
    <row r="653" spans="1:29" x14ac:dyDescent="0.15">
      <c r="A653" s="8">
        <v>41851</v>
      </c>
      <c r="B653" s="4">
        <v>1930.67</v>
      </c>
      <c r="C653" s="1">
        <v>14.2087</v>
      </c>
      <c r="D653" s="1">
        <v>2.0299999999999998</v>
      </c>
      <c r="E653" s="1">
        <v>0.24440000000000001</v>
      </c>
      <c r="F653" s="4">
        <f t="shared" si="261"/>
        <v>0.14208699999999999</v>
      </c>
      <c r="G653" s="4">
        <f t="shared" si="262"/>
        <v>2.0299999999999999E-2</v>
      </c>
      <c r="H653" s="4">
        <f t="shared" si="263"/>
        <v>2.444E-3</v>
      </c>
      <c r="I653" s="3">
        <f t="shared" si="264"/>
        <v>58.870990566982663</v>
      </c>
      <c r="J653" s="4">
        <f t="shared" si="251"/>
        <v>1398197.2365298949</v>
      </c>
      <c r="K653" s="1">
        <f t="shared" si="252"/>
        <v>1956.98</v>
      </c>
      <c r="L653" s="5">
        <f t="shared" si="253"/>
        <v>0.13150684931506879</v>
      </c>
      <c r="M653" s="5">
        <f t="shared" si="254"/>
        <v>-0.60958979845264194</v>
      </c>
      <c r="N653" s="5">
        <f t="shared" si="255"/>
        <v>57.187767264053782</v>
      </c>
      <c r="O653" s="1">
        <f t="shared" si="256"/>
        <v>0</v>
      </c>
      <c r="P653" s="1">
        <f t="shared" si="257"/>
        <v>1956.98</v>
      </c>
      <c r="Q653" s="5">
        <f t="shared" si="258"/>
        <v>0.13150684931506879</v>
      </c>
      <c r="R653" s="5">
        <f t="shared" si="259"/>
        <v>-0.60958979845264194</v>
      </c>
      <c r="S653" s="5">
        <f t="shared" si="265"/>
        <v>57.187767264053782</v>
      </c>
      <c r="T653" s="5">
        <f t="shared" si="266"/>
        <v>-697.6294267330195</v>
      </c>
      <c r="U653" s="4">
        <f t="shared" si="267"/>
        <v>1398219.7992195473</v>
      </c>
      <c r="V653" s="4">
        <f t="shared" si="260"/>
        <v>22.563053746309951</v>
      </c>
      <c r="W653" s="4">
        <f t="shared" si="268"/>
        <v>1358323.929926984</v>
      </c>
      <c r="X653" s="4">
        <f t="shared" si="272"/>
        <v>-18318.684314284474</v>
      </c>
      <c r="Y653" s="9">
        <f>SUM($X$6:X653)</f>
        <v>358323.92992698401</v>
      </c>
      <c r="Z653" s="16">
        <f t="shared" si="250"/>
        <v>0.35832392992698403</v>
      </c>
      <c r="AA653" s="16">
        <f t="shared" si="269"/>
        <v>0.51180837235525356</v>
      </c>
      <c r="AB653" s="16">
        <f t="shared" si="270"/>
        <v>-1.3306782838754957E-2</v>
      </c>
      <c r="AC653" s="16">
        <f t="shared" si="271"/>
        <v>-1.9999289365352432E-2</v>
      </c>
    </row>
    <row r="654" spans="1:29" x14ac:dyDescent="0.15">
      <c r="A654" s="8">
        <v>41852</v>
      </c>
      <c r="B654" s="4">
        <v>1925.15</v>
      </c>
      <c r="C654" s="1">
        <v>14.569699999999999</v>
      </c>
      <c r="D654" s="1">
        <v>2.04</v>
      </c>
      <c r="E654" s="1">
        <v>0.24340000000000001</v>
      </c>
      <c r="F654" s="4">
        <f t="shared" si="261"/>
        <v>0.14569699999999999</v>
      </c>
      <c r="G654" s="4">
        <f t="shared" si="262"/>
        <v>2.0400000000000001E-2</v>
      </c>
      <c r="H654" s="4">
        <f t="shared" si="263"/>
        <v>2.434E-3</v>
      </c>
      <c r="I654" s="3">
        <f t="shared" si="264"/>
        <v>60.10653682590511</v>
      </c>
      <c r="J654" s="4">
        <f t="shared" si="251"/>
        <v>1398219.7992195473</v>
      </c>
      <c r="K654" s="1">
        <f t="shared" si="252"/>
        <v>1956.98</v>
      </c>
      <c r="L654" s="5">
        <f t="shared" si="253"/>
        <v>0.12876712328767154</v>
      </c>
      <c r="M654" s="5">
        <f t="shared" si="254"/>
        <v>-0.62831347010808269</v>
      </c>
      <c r="N654" s="5">
        <f t="shared" si="255"/>
        <v>61.116763585018141</v>
      </c>
      <c r="O654" s="1">
        <f t="shared" si="256"/>
        <v>0</v>
      </c>
      <c r="P654" s="1">
        <f t="shared" si="257"/>
        <v>1956.98</v>
      </c>
      <c r="Q654" s="5">
        <f t="shared" si="258"/>
        <v>0.12876712328767154</v>
      </c>
      <c r="R654" s="5">
        <f t="shared" si="259"/>
        <v>-0.62831347010808269</v>
      </c>
      <c r="S654" s="5">
        <f t="shared" si="265"/>
        <v>61.116763585018141</v>
      </c>
      <c r="T654" s="5">
        <f t="shared" si="266"/>
        <v>-697.6294267330195</v>
      </c>
      <c r="U654" s="4">
        <f t="shared" si="267"/>
        <v>1398242.3622732935</v>
      </c>
      <c r="V654" s="4">
        <f t="shared" si="260"/>
        <v>22.563417845999172</v>
      </c>
      <c r="W654" s="4">
        <f t="shared" si="268"/>
        <v>1355605.5095296998</v>
      </c>
      <c r="X654" s="4">
        <f t="shared" si="272"/>
        <v>-2718.4203972842079</v>
      </c>
      <c r="Y654" s="9">
        <f>SUM($X$6:X654)</f>
        <v>355605.5095296998</v>
      </c>
      <c r="Z654" s="16">
        <f t="shared" si="250"/>
        <v>0.35560550952969983</v>
      </c>
      <c r="AA654" s="16">
        <f t="shared" si="269"/>
        <v>0.50748594427826432</v>
      </c>
      <c r="AB654" s="16">
        <f t="shared" si="270"/>
        <v>-2.0013049445652738E-3</v>
      </c>
      <c r="AC654" s="16">
        <f t="shared" si="271"/>
        <v>-2.8591110857888618E-3</v>
      </c>
    </row>
    <row r="655" spans="1:29" x14ac:dyDescent="0.15">
      <c r="A655" s="8">
        <v>41855</v>
      </c>
      <c r="B655" s="4">
        <v>1938.99</v>
      </c>
      <c r="C655" s="1">
        <v>13.542300000000001</v>
      </c>
      <c r="D655" s="1">
        <v>2.02</v>
      </c>
      <c r="E655" s="1">
        <v>0.2424</v>
      </c>
      <c r="F655" s="4">
        <f t="shared" si="261"/>
        <v>0.13542300000000002</v>
      </c>
      <c r="G655" s="4">
        <f t="shared" si="262"/>
        <v>2.0199999999999999E-2</v>
      </c>
      <c r="H655" s="4">
        <f t="shared" si="263"/>
        <v>2.4239999999999999E-3</v>
      </c>
      <c r="I655" s="3">
        <f t="shared" si="264"/>
        <v>56.545442565177794</v>
      </c>
      <c r="J655" s="4">
        <f t="shared" si="251"/>
        <v>1398242.3622732935</v>
      </c>
      <c r="K655" s="1">
        <f t="shared" si="252"/>
        <v>1956.98</v>
      </c>
      <c r="L655" s="5">
        <f t="shared" si="253"/>
        <v>0.12054794520547976</v>
      </c>
      <c r="M655" s="5">
        <f t="shared" si="254"/>
        <v>-0.58504636367246288</v>
      </c>
      <c r="N655" s="5">
        <f t="shared" si="255"/>
        <v>48.616968731341956</v>
      </c>
      <c r="O655" s="1">
        <f t="shared" si="256"/>
        <v>0</v>
      </c>
      <c r="P655" s="1">
        <f t="shared" si="257"/>
        <v>1956.98</v>
      </c>
      <c r="Q655" s="5">
        <f t="shared" si="258"/>
        <v>0.12054794520547976</v>
      </c>
      <c r="R655" s="5">
        <f t="shared" si="259"/>
        <v>-0.58504636367246288</v>
      </c>
      <c r="S655" s="5">
        <f t="shared" si="265"/>
        <v>48.616968731341956</v>
      </c>
      <c r="T655" s="5">
        <f t="shared" si="266"/>
        <v>-697.6294267330195</v>
      </c>
      <c r="U655" s="4">
        <f t="shared" si="267"/>
        <v>1398264.9256911397</v>
      </c>
      <c r="V655" s="4">
        <f t="shared" si="260"/>
        <v>67.691345854691605</v>
      </c>
      <c r="W655" s="4">
        <f t="shared" si="268"/>
        <v>1364348.2976655965</v>
      </c>
      <c r="X655" s="4">
        <f t="shared" si="272"/>
        <v>8742.7881358966697</v>
      </c>
      <c r="Y655" s="9">
        <f>SUM($X$6:X655)</f>
        <v>364348.29766559647</v>
      </c>
      <c r="Z655" s="16">
        <f t="shared" si="250"/>
        <v>0.36434829766559645</v>
      </c>
      <c r="AA655" s="16">
        <f t="shared" si="269"/>
        <v>0.5183233364133244</v>
      </c>
      <c r="AB655" s="16">
        <f t="shared" si="270"/>
        <v>6.4493601379134293E-3</v>
      </c>
      <c r="AC655" s="16">
        <f t="shared" si="271"/>
        <v>7.1890502038801747E-3</v>
      </c>
    </row>
    <row r="656" spans="1:29" x14ac:dyDescent="0.15">
      <c r="A656" s="8">
        <v>41856</v>
      </c>
      <c r="B656" s="4">
        <v>1920.21</v>
      </c>
      <c r="C656" s="1">
        <v>14.675599999999999</v>
      </c>
      <c r="D656" s="1">
        <v>2.04</v>
      </c>
      <c r="E656" s="1">
        <v>0.2424</v>
      </c>
      <c r="F656" s="4">
        <f t="shared" si="261"/>
        <v>0.146756</v>
      </c>
      <c r="G656" s="4">
        <f t="shared" si="262"/>
        <v>2.0400000000000001E-2</v>
      </c>
      <c r="H656" s="4">
        <f t="shared" si="263"/>
        <v>2.4239999999999999E-3</v>
      </c>
      <c r="I656" s="3">
        <f t="shared" si="264"/>
        <v>60.357769706033508</v>
      </c>
      <c r="J656" s="4">
        <f t="shared" si="251"/>
        <v>1398264.9256911397</v>
      </c>
      <c r="K656" s="1">
        <f t="shared" si="252"/>
        <v>1956.98</v>
      </c>
      <c r="L656" s="5">
        <f t="shared" si="253"/>
        <v>0.1178082191780825</v>
      </c>
      <c r="M656" s="5">
        <f t="shared" si="254"/>
        <v>-0.65142714890646847</v>
      </c>
      <c r="N656" s="5">
        <f t="shared" si="255"/>
        <v>62.669269476150113</v>
      </c>
      <c r="O656" s="1">
        <f t="shared" si="256"/>
        <v>0</v>
      </c>
      <c r="P656" s="1">
        <f t="shared" si="257"/>
        <v>1956.98</v>
      </c>
      <c r="Q656" s="5">
        <f t="shared" si="258"/>
        <v>0.1178082191780825</v>
      </c>
      <c r="R656" s="5">
        <f t="shared" si="259"/>
        <v>-0.65142714890646847</v>
      </c>
      <c r="S656" s="5">
        <f t="shared" si="265"/>
        <v>62.669269476150113</v>
      </c>
      <c r="T656" s="5">
        <f t="shared" si="266"/>
        <v>-697.6294267330195</v>
      </c>
      <c r="U656" s="4">
        <f t="shared" si="267"/>
        <v>1398332.6170369943</v>
      </c>
      <c r="V656" s="4">
        <f t="shared" si="260"/>
        <v>22.564874285884645</v>
      </c>
      <c r="W656" s="4">
        <f t="shared" si="268"/>
        <v>1354612.6904985707</v>
      </c>
      <c r="X656" s="4">
        <f t="shared" si="272"/>
        <v>-9735.6071670257952</v>
      </c>
      <c r="Y656" s="9">
        <f>SUM($X$6:X656)</f>
        <v>354612.69049857068</v>
      </c>
      <c r="Z656" s="16">
        <f t="shared" si="250"/>
        <v>0.35461269049857069</v>
      </c>
      <c r="AA656" s="16">
        <f t="shared" si="269"/>
        <v>0.50361768436878462</v>
      </c>
      <c r="AB656" s="16">
        <f t="shared" si="270"/>
        <v>-7.1357198038678573E-3</v>
      </c>
      <c r="AC656" s="16">
        <f t="shared" si="271"/>
        <v>-9.6854547986322641E-3</v>
      </c>
    </row>
    <row r="657" spans="1:29" x14ac:dyDescent="0.15">
      <c r="A657" s="8">
        <v>41857</v>
      </c>
      <c r="B657" s="4">
        <v>1920.24</v>
      </c>
      <c r="C657" s="1">
        <v>14.614800000000001</v>
      </c>
      <c r="D657" s="1">
        <v>2.04</v>
      </c>
      <c r="E657" s="1">
        <v>0.23930000000000001</v>
      </c>
      <c r="F657" s="4">
        <f t="shared" si="261"/>
        <v>0.146148</v>
      </c>
      <c r="G657" s="4">
        <f t="shared" si="262"/>
        <v>2.0400000000000001E-2</v>
      </c>
      <c r="H657" s="4">
        <f t="shared" si="263"/>
        <v>2.3930000000000002E-3</v>
      </c>
      <c r="I657" s="3">
        <f t="shared" si="264"/>
        <v>60.135393516156519</v>
      </c>
      <c r="J657" s="4">
        <f t="shared" si="251"/>
        <v>1398332.6170369943</v>
      </c>
      <c r="K657" s="1">
        <f t="shared" si="252"/>
        <v>1956.98</v>
      </c>
      <c r="L657" s="5">
        <f t="shared" si="253"/>
        <v>0.11506849315068524</v>
      </c>
      <c r="M657" s="5">
        <f t="shared" si="254"/>
        <v>-0.65362602764682953</v>
      </c>
      <c r="N657" s="5">
        <f t="shared" si="255"/>
        <v>62.031129809934441</v>
      </c>
      <c r="O657" s="1">
        <f t="shared" si="256"/>
        <v>0</v>
      </c>
      <c r="P657" s="1">
        <f t="shared" si="257"/>
        <v>1956.98</v>
      </c>
      <c r="Q657" s="5">
        <f t="shared" si="258"/>
        <v>0.11506849315068524</v>
      </c>
      <c r="R657" s="5">
        <f t="shared" si="259"/>
        <v>-0.65362602764682953</v>
      </c>
      <c r="S657" s="5">
        <f t="shared" si="265"/>
        <v>62.031129809934441</v>
      </c>
      <c r="T657" s="5">
        <f t="shared" si="266"/>
        <v>-697.6294267330195</v>
      </c>
      <c r="U657" s="4">
        <f t="shared" si="267"/>
        <v>1398355.1819112801</v>
      </c>
      <c r="V657" s="4">
        <f t="shared" si="260"/>
        <v>22.565238414951889</v>
      </c>
      <c r="W657" s="4">
        <f t="shared" si="268"/>
        <v>1355080.440382374</v>
      </c>
      <c r="X657" s="4">
        <f t="shared" si="272"/>
        <v>467.74988380330615</v>
      </c>
      <c r="Y657" s="9">
        <f>SUM($X$6:X657)</f>
        <v>355080.44038237398</v>
      </c>
      <c r="Z657" s="16">
        <f t="shared" si="250"/>
        <v>0.35508044038237396</v>
      </c>
      <c r="AA657" s="16">
        <f t="shared" si="269"/>
        <v>0.50364117582572476</v>
      </c>
      <c r="AB657" s="16">
        <f t="shared" si="270"/>
        <v>3.453015663326976E-4</v>
      </c>
      <c r="AC657" s="16">
        <f t="shared" si="271"/>
        <v>1.5623291202510513E-5</v>
      </c>
    </row>
    <row r="658" spans="1:29" x14ac:dyDescent="0.15">
      <c r="A658" s="8">
        <v>41858</v>
      </c>
      <c r="B658" s="4">
        <v>1909.57</v>
      </c>
      <c r="C658" s="1">
        <v>15.012</v>
      </c>
      <c r="D658" s="1">
        <v>2.0499999999999998</v>
      </c>
      <c r="E658" s="1">
        <v>0.2382</v>
      </c>
      <c r="F658" s="4">
        <f t="shared" si="261"/>
        <v>0.15012</v>
      </c>
      <c r="G658" s="4">
        <f t="shared" si="262"/>
        <v>2.0499999999999997E-2</v>
      </c>
      <c r="H658" s="4">
        <f t="shared" si="263"/>
        <v>2.382E-3</v>
      </c>
      <c r="I658" s="3">
        <f t="shared" si="264"/>
        <v>61.330964972319698</v>
      </c>
      <c r="J658" s="4">
        <f t="shared" si="251"/>
        <v>1398355.1819112801</v>
      </c>
      <c r="K658" s="1">
        <f t="shared" si="252"/>
        <v>1956.98</v>
      </c>
      <c r="L658" s="5">
        <f t="shared" si="253"/>
        <v>0.11232876712328797</v>
      </c>
      <c r="M658" s="5">
        <f t="shared" si="254"/>
        <v>-0.69082860641613086</v>
      </c>
      <c r="N658" s="5">
        <f t="shared" si="255"/>
        <v>69.666672648207765</v>
      </c>
      <c r="O658" s="1">
        <f t="shared" si="256"/>
        <v>0</v>
      </c>
      <c r="P658" s="1">
        <f t="shared" si="257"/>
        <v>1956.98</v>
      </c>
      <c r="Q658" s="5">
        <f t="shared" si="258"/>
        <v>0.11232876712328797</v>
      </c>
      <c r="R658" s="5">
        <f t="shared" si="259"/>
        <v>-0.69082860641613086</v>
      </c>
      <c r="S658" s="5">
        <f t="shared" si="265"/>
        <v>69.666672648207765</v>
      </c>
      <c r="T658" s="5">
        <f t="shared" si="266"/>
        <v>-697.6294267330195</v>
      </c>
      <c r="U658" s="4">
        <f t="shared" si="267"/>
        <v>1398377.7471496952</v>
      </c>
      <c r="V658" s="4">
        <f t="shared" si="260"/>
        <v>22.565602549895075</v>
      </c>
      <c r="W658" s="4">
        <f t="shared" si="268"/>
        <v>1349776.226247729</v>
      </c>
      <c r="X658" s="4">
        <f t="shared" si="272"/>
        <v>-5304.2141346449498</v>
      </c>
      <c r="Y658" s="9">
        <f>SUM($X$6:X658)</f>
        <v>349776.22624772904</v>
      </c>
      <c r="Z658" s="16">
        <f t="shared" ref="Z658:Z721" si="273">Y658/$H$3</f>
        <v>0.34977622624772903</v>
      </c>
      <c r="AA658" s="16">
        <f t="shared" si="269"/>
        <v>0.49528604764067469</v>
      </c>
      <c r="AB658" s="16">
        <f t="shared" si="270"/>
        <v>-3.9143168011105062E-3</v>
      </c>
      <c r="AC658" s="16">
        <f t="shared" si="271"/>
        <v>-5.5565970920302011E-3</v>
      </c>
    </row>
    <row r="659" spans="1:29" x14ac:dyDescent="0.15">
      <c r="A659" s="8">
        <v>41859</v>
      </c>
      <c r="B659" s="4">
        <v>1931.59</v>
      </c>
      <c r="C659" s="1">
        <v>14.4155</v>
      </c>
      <c r="D659" s="1">
        <v>2.0299999999999998</v>
      </c>
      <c r="E659" s="1">
        <v>0.24030000000000001</v>
      </c>
      <c r="F659" s="4">
        <f t="shared" si="261"/>
        <v>0.14415500000000001</v>
      </c>
      <c r="G659" s="4">
        <f t="shared" si="262"/>
        <v>2.0299999999999999E-2</v>
      </c>
      <c r="H659" s="4">
        <f t="shared" si="263"/>
        <v>2.4030000000000002E-3</v>
      </c>
      <c r="I659" s="3">
        <f t="shared" si="264"/>
        <v>59.701084046509159</v>
      </c>
      <c r="J659" s="4">
        <f t="shared" si="251"/>
        <v>1398377.7471496952</v>
      </c>
      <c r="K659" s="1">
        <f t="shared" si="252"/>
        <v>1956.98</v>
      </c>
      <c r="L659" s="5">
        <f t="shared" si="253"/>
        <v>0.10958904109589071</v>
      </c>
      <c r="M659" s="5">
        <f t="shared" si="254"/>
        <v>-0.61306639788922568</v>
      </c>
      <c r="N659" s="5">
        <f t="shared" si="255"/>
        <v>53.36544214993279</v>
      </c>
      <c r="O659" s="1">
        <f t="shared" si="256"/>
        <v>0</v>
      </c>
      <c r="P659" s="1">
        <f t="shared" si="257"/>
        <v>1956.98</v>
      </c>
      <c r="Q659" s="5">
        <f t="shared" si="258"/>
        <v>0.10958904109589071</v>
      </c>
      <c r="R659" s="5">
        <f t="shared" si="259"/>
        <v>-0.61306639788922568</v>
      </c>
      <c r="S659" s="5">
        <f t="shared" si="265"/>
        <v>53.36544214993279</v>
      </c>
      <c r="T659" s="5">
        <f t="shared" si="266"/>
        <v>-697.6294267330195</v>
      </c>
      <c r="U659" s="4">
        <f t="shared" si="267"/>
        <v>1398400.312752245</v>
      </c>
      <c r="V659" s="4">
        <f t="shared" si="260"/>
        <v>22.565966690714308</v>
      </c>
      <c r="W659" s="4">
        <f t="shared" si="268"/>
        <v>1361171.0099378333</v>
      </c>
      <c r="X659" s="4">
        <f t="shared" si="272"/>
        <v>11394.783690104261</v>
      </c>
      <c r="Y659" s="9">
        <f>SUM($X$6:X659)</f>
        <v>361171.0099378333</v>
      </c>
      <c r="Z659" s="16">
        <f t="shared" si="273"/>
        <v>0.3611710099378333</v>
      </c>
      <c r="AA659" s="16">
        <f t="shared" si="269"/>
        <v>0.51252877703475175</v>
      </c>
      <c r="AB659" s="16">
        <f t="shared" si="270"/>
        <v>8.4419798397108066E-3</v>
      </c>
      <c r="AC659" s="16">
        <f t="shared" si="271"/>
        <v>1.153139188403671E-2</v>
      </c>
    </row>
    <row r="660" spans="1:29" x14ac:dyDescent="0.15">
      <c r="A660" s="8">
        <v>41862</v>
      </c>
      <c r="B660" s="4">
        <v>1936.92</v>
      </c>
      <c r="C660" s="1">
        <v>13.6153</v>
      </c>
      <c r="D660" s="1">
        <v>2.0299999999999998</v>
      </c>
      <c r="E660" s="1">
        <v>0.23899999999999999</v>
      </c>
      <c r="F660" s="4">
        <f t="shared" si="261"/>
        <v>0.136153</v>
      </c>
      <c r="G660" s="4">
        <f t="shared" si="262"/>
        <v>2.0299999999999999E-2</v>
      </c>
      <c r="H660" s="4">
        <f t="shared" si="263"/>
        <v>2.3899999999999998E-3</v>
      </c>
      <c r="I660" s="3">
        <f t="shared" si="264"/>
        <v>56.798659315155618</v>
      </c>
      <c r="J660" s="4">
        <f t="shared" si="251"/>
        <v>1398400.312752245</v>
      </c>
      <c r="K660" s="1">
        <f t="shared" si="252"/>
        <v>1956.98</v>
      </c>
      <c r="L660" s="5">
        <f t="shared" si="253"/>
        <v>0.10136986301369894</v>
      </c>
      <c r="M660" s="5">
        <f t="shared" si="254"/>
        <v>-0.60051709298352685</v>
      </c>
      <c r="N660" s="5">
        <f t="shared" si="255"/>
        <v>46.718370650049629</v>
      </c>
      <c r="O660" s="1">
        <f t="shared" si="256"/>
        <v>0</v>
      </c>
      <c r="P660" s="1">
        <f t="shared" si="257"/>
        <v>1956.98</v>
      </c>
      <c r="Q660" s="5">
        <f t="shared" si="258"/>
        <v>0.10136986301369894</v>
      </c>
      <c r="R660" s="5">
        <f t="shared" si="259"/>
        <v>-0.60051709298352685</v>
      </c>
      <c r="S660" s="5">
        <f t="shared" si="265"/>
        <v>46.718370650049629</v>
      </c>
      <c r="T660" s="5">
        <f t="shared" si="266"/>
        <v>-697.6294267330195</v>
      </c>
      <c r="U660" s="4">
        <f t="shared" si="267"/>
        <v>1398422.8787189357</v>
      </c>
      <c r="V660" s="4">
        <f t="shared" si="260"/>
        <v>67.698992512229026</v>
      </c>
      <c r="W660" s="4">
        <f t="shared" si="268"/>
        <v>1365830.7685844407</v>
      </c>
      <c r="X660" s="4">
        <f t="shared" si="272"/>
        <v>4659.758646607399</v>
      </c>
      <c r="Y660" s="9">
        <f>SUM($X$6:X660)</f>
        <v>365830.7685844407</v>
      </c>
      <c r="Z660" s="16">
        <f t="shared" si="273"/>
        <v>0.36583076858444069</v>
      </c>
      <c r="AA660" s="16">
        <f t="shared" si="269"/>
        <v>0.51670242588445348</v>
      </c>
      <c r="AB660" s="16">
        <f t="shared" si="270"/>
        <v>3.4233454963312929E-3</v>
      </c>
      <c r="AC660" s="16">
        <f t="shared" si="271"/>
        <v>2.7593847555641491E-3</v>
      </c>
    </row>
    <row r="661" spans="1:29" x14ac:dyDescent="0.15">
      <c r="A661" s="8">
        <v>41863</v>
      </c>
      <c r="B661" s="4">
        <v>1933.75</v>
      </c>
      <c r="C661" s="1">
        <v>13.5756</v>
      </c>
      <c r="D661" s="1">
        <v>2.0299999999999998</v>
      </c>
      <c r="E661" s="1">
        <v>0.23830000000000001</v>
      </c>
      <c r="F661" s="4">
        <f t="shared" si="261"/>
        <v>0.13575599999999999</v>
      </c>
      <c r="G661" s="4">
        <f t="shared" si="262"/>
        <v>2.0299999999999999E-2</v>
      </c>
      <c r="H661" s="4">
        <f t="shared" si="263"/>
        <v>2.3830000000000001E-3</v>
      </c>
      <c r="I661" s="3">
        <f t="shared" si="264"/>
        <v>56.555447239949636</v>
      </c>
      <c r="J661" s="4">
        <f t="shared" si="251"/>
        <v>1398422.8787189357</v>
      </c>
      <c r="K661" s="1">
        <f t="shared" si="252"/>
        <v>1956.98</v>
      </c>
      <c r="L661" s="5">
        <f t="shared" si="253"/>
        <v>9.8630136986301672E-2</v>
      </c>
      <c r="M661" s="5">
        <f t="shared" si="254"/>
        <v>-0.61675771684796854</v>
      </c>
      <c r="N661" s="5">
        <f t="shared" si="255"/>
        <v>48.061523566571644</v>
      </c>
      <c r="O661" s="1">
        <f t="shared" si="256"/>
        <v>0</v>
      </c>
      <c r="P661" s="1">
        <f t="shared" si="257"/>
        <v>1956.98</v>
      </c>
      <c r="Q661" s="5">
        <f t="shared" si="258"/>
        <v>9.8630136986301672E-2</v>
      </c>
      <c r="R661" s="5">
        <f t="shared" si="259"/>
        <v>-0.61675771684796854</v>
      </c>
      <c r="S661" s="5">
        <f t="shared" si="265"/>
        <v>48.061523566571644</v>
      </c>
      <c r="T661" s="5">
        <f t="shared" si="266"/>
        <v>-697.6294267330195</v>
      </c>
      <c r="U661" s="4">
        <f t="shared" si="267"/>
        <v>1398490.5777114478</v>
      </c>
      <c r="V661" s="4">
        <f t="shared" si="260"/>
        <v>22.567423295124456</v>
      </c>
      <c r="W661" s="4">
        <f t="shared" si="268"/>
        <v>1364961.444577785</v>
      </c>
      <c r="X661" s="4">
        <f t="shared" si="272"/>
        <v>-869.32400665571913</v>
      </c>
      <c r="Y661" s="9">
        <f>SUM($X$6:X661)</f>
        <v>364961.44457778498</v>
      </c>
      <c r="Z661" s="16">
        <f t="shared" si="273"/>
        <v>0.36496144457778495</v>
      </c>
      <c r="AA661" s="16">
        <f t="shared" si="269"/>
        <v>0.5142201619344432</v>
      </c>
      <c r="AB661" s="16">
        <f t="shared" si="270"/>
        <v>-6.3648002860317336E-4</v>
      </c>
      <c r="AC661" s="16">
        <f t="shared" si="271"/>
        <v>-1.6366189620635198E-3</v>
      </c>
    </row>
    <row r="662" spans="1:29" x14ac:dyDescent="0.15">
      <c r="A662" s="8">
        <v>41864</v>
      </c>
      <c r="B662" s="4">
        <v>1946.72</v>
      </c>
      <c r="C662" s="1">
        <v>12.7432</v>
      </c>
      <c r="D662" s="1">
        <v>2.02</v>
      </c>
      <c r="E662" s="1">
        <v>0.2387</v>
      </c>
      <c r="F662" s="4">
        <f t="shared" si="261"/>
        <v>0.12743199999999999</v>
      </c>
      <c r="G662" s="4">
        <f t="shared" si="262"/>
        <v>2.0199999999999999E-2</v>
      </c>
      <c r="H662" s="4">
        <f t="shared" si="263"/>
        <v>2.3869999999999998E-3</v>
      </c>
      <c r="I662" s="3">
        <f t="shared" si="264"/>
        <v>53.699231061765431</v>
      </c>
      <c r="J662" s="4">
        <f t="shared" si="251"/>
        <v>1398490.5777114478</v>
      </c>
      <c r="K662" s="1">
        <f t="shared" si="252"/>
        <v>1956.98</v>
      </c>
      <c r="L662" s="5">
        <f t="shared" si="253"/>
        <v>9.589041095890441E-2</v>
      </c>
      <c r="M662" s="5">
        <f t="shared" si="254"/>
        <v>-0.56119694840939438</v>
      </c>
      <c r="N662" s="5">
        <f t="shared" si="255"/>
        <v>37.958359230517338</v>
      </c>
      <c r="O662" s="1">
        <f t="shared" si="256"/>
        <v>0</v>
      </c>
      <c r="P662" s="1">
        <f t="shared" si="257"/>
        <v>1956.98</v>
      </c>
      <c r="Q662" s="5">
        <f t="shared" si="258"/>
        <v>9.589041095890441E-2</v>
      </c>
      <c r="R662" s="5">
        <f t="shared" si="259"/>
        <v>-0.56119694840939438</v>
      </c>
      <c r="S662" s="5">
        <f t="shared" si="265"/>
        <v>37.958359230517338</v>
      </c>
      <c r="T662" s="5">
        <f t="shared" si="266"/>
        <v>-697.6294267330195</v>
      </c>
      <c r="U662" s="4">
        <f t="shared" si="267"/>
        <v>1398513.1451347431</v>
      </c>
      <c r="V662" s="4">
        <f t="shared" si="260"/>
        <v>22.567787465325033</v>
      </c>
      <c r="W662" s="4">
        <f t="shared" si="268"/>
        <v>1372032.2767450311</v>
      </c>
      <c r="X662" s="4">
        <f t="shared" si="272"/>
        <v>7070.8321672461461</v>
      </c>
      <c r="Y662" s="9">
        <f>SUM($X$6:X662)</f>
        <v>372032.27674503112</v>
      </c>
      <c r="Z662" s="16">
        <f t="shared" si="273"/>
        <v>0.37203227674503114</v>
      </c>
      <c r="AA662" s="16">
        <f t="shared" si="269"/>
        <v>0.5243763018182388</v>
      </c>
      <c r="AB662" s="16">
        <f t="shared" si="270"/>
        <v>5.1802431455734797E-3</v>
      </c>
      <c r="AC662" s="16">
        <f t="shared" si="271"/>
        <v>6.7071751777634274E-3</v>
      </c>
    </row>
    <row r="663" spans="1:29" x14ac:dyDescent="0.15">
      <c r="A663" s="8">
        <v>41865</v>
      </c>
      <c r="B663" s="4">
        <v>1955.18</v>
      </c>
      <c r="C663" s="1">
        <v>12.0451</v>
      </c>
      <c r="D663" s="1">
        <v>2.0099999999999998</v>
      </c>
      <c r="E663" s="1">
        <v>0.23619999999999999</v>
      </c>
      <c r="F663" s="4">
        <f t="shared" si="261"/>
        <v>0.120451</v>
      </c>
      <c r="G663" s="4">
        <f t="shared" si="262"/>
        <v>2.0099999999999996E-2</v>
      </c>
      <c r="H663" s="4">
        <f t="shared" si="263"/>
        <v>2.362E-3</v>
      </c>
      <c r="I663" s="3">
        <f t="shared" si="264"/>
        <v>51.211139367874473</v>
      </c>
      <c r="J663" s="4">
        <f t="shared" si="251"/>
        <v>1398513.1451347431</v>
      </c>
      <c r="K663" s="1">
        <f t="shared" si="252"/>
        <v>1956.98</v>
      </c>
      <c r="L663" s="5">
        <f t="shared" si="253"/>
        <v>9.3150684931507147E-2</v>
      </c>
      <c r="M663" s="5">
        <f t="shared" si="254"/>
        <v>-0.51960079179874941</v>
      </c>
      <c r="N663" s="5">
        <f t="shared" si="255"/>
        <v>31.239916659716641</v>
      </c>
      <c r="O663" s="1">
        <f t="shared" si="256"/>
        <v>0</v>
      </c>
      <c r="P663" s="1">
        <f t="shared" si="257"/>
        <v>1956.98</v>
      </c>
      <c r="Q663" s="5">
        <f t="shared" si="258"/>
        <v>9.3150684931507147E-2</v>
      </c>
      <c r="R663" s="5">
        <f t="shared" si="259"/>
        <v>-0.51960079179874941</v>
      </c>
      <c r="S663" s="5">
        <f t="shared" si="265"/>
        <v>31.239916659716641</v>
      </c>
      <c r="T663" s="5">
        <f t="shared" si="266"/>
        <v>-697.6294267330195</v>
      </c>
      <c r="U663" s="4">
        <f t="shared" si="267"/>
        <v>1398535.7129222085</v>
      </c>
      <c r="V663" s="4">
        <f t="shared" si="260"/>
        <v>22.568151641402213</v>
      </c>
      <c r="W663" s="4">
        <f t="shared" si="268"/>
        <v>1376741.827771703</v>
      </c>
      <c r="X663" s="4">
        <f t="shared" si="272"/>
        <v>4709.551026671892</v>
      </c>
      <c r="Y663" s="9">
        <f>SUM($X$6:X663)</f>
        <v>376741.82777170301</v>
      </c>
      <c r="Z663" s="16">
        <f t="shared" si="273"/>
        <v>0.37674182777170301</v>
      </c>
      <c r="AA663" s="16">
        <f t="shared" si="269"/>
        <v>0.53100089267536388</v>
      </c>
      <c r="AB663" s="16">
        <f t="shared" si="270"/>
        <v>3.4325366148416653E-3</v>
      </c>
      <c r="AC663" s="16">
        <f t="shared" si="271"/>
        <v>4.3457713487301906E-3</v>
      </c>
    </row>
    <row r="664" spans="1:29" x14ac:dyDescent="0.15">
      <c r="A664" s="8">
        <v>41866</v>
      </c>
      <c r="B664" s="4">
        <v>1955.06</v>
      </c>
      <c r="C664" s="1">
        <v>12.0379</v>
      </c>
      <c r="D664" s="1">
        <v>2.0099999999999998</v>
      </c>
      <c r="E664" s="1">
        <v>0.23730000000000001</v>
      </c>
      <c r="F664" s="4">
        <f t="shared" si="261"/>
        <v>0.120379</v>
      </c>
      <c r="G664" s="4">
        <f t="shared" si="262"/>
        <v>2.0099999999999996E-2</v>
      </c>
      <c r="H664" s="4">
        <f t="shared" si="263"/>
        <v>2.3730000000000001E-3</v>
      </c>
      <c r="I664" s="3">
        <f t="shared" si="264"/>
        <v>51.177222522104913</v>
      </c>
      <c r="J664" s="4">
        <f t="shared" si="251"/>
        <v>1398535.7129222085</v>
      </c>
      <c r="K664" s="1">
        <f t="shared" si="252"/>
        <v>1956.98</v>
      </c>
      <c r="L664" s="5">
        <f t="shared" si="253"/>
        <v>9.0410958904109884E-2</v>
      </c>
      <c r="M664" s="5">
        <f t="shared" si="254"/>
        <v>-0.52030687064125536</v>
      </c>
      <c r="N664" s="5">
        <f t="shared" si="255"/>
        <v>30.811779291687934</v>
      </c>
      <c r="O664" s="1">
        <f t="shared" si="256"/>
        <v>0</v>
      </c>
      <c r="P664" s="1">
        <f t="shared" si="257"/>
        <v>1956.98</v>
      </c>
      <c r="Q664" s="5">
        <f t="shared" si="258"/>
        <v>9.0410958904109884E-2</v>
      </c>
      <c r="R664" s="5">
        <f t="shared" si="259"/>
        <v>-0.52030687064125536</v>
      </c>
      <c r="S664" s="5">
        <f t="shared" si="265"/>
        <v>30.811779291687934</v>
      </c>
      <c r="T664" s="5">
        <f t="shared" si="266"/>
        <v>-697.6294267330195</v>
      </c>
      <c r="U664" s="4">
        <f t="shared" si="267"/>
        <v>1398558.2810738499</v>
      </c>
      <c r="V664" s="4">
        <f t="shared" si="260"/>
        <v>22.568515823356098</v>
      </c>
      <c r="W664" s="4">
        <f t="shared" si="268"/>
        <v>1377063.0771499653</v>
      </c>
      <c r="X664" s="4">
        <f t="shared" si="272"/>
        <v>321.24937826232053</v>
      </c>
      <c r="Y664" s="9">
        <f>SUM($X$6:X664)</f>
        <v>377063.07714996533</v>
      </c>
      <c r="Z664" s="16">
        <f t="shared" si="273"/>
        <v>0.37706307714996534</v>
      </c>
      <c r="AA664" s="16">
        <f t="shared" si="269"/>
        <v>0.5309069268476031</v>
      </c>
      <c r="AB664" s="16">
        <f t="shared" si="270"/>
        <v>2.333403197186738E-4</v>
      </c>
      <c r="AC664" s="16">
        <f t="shared" si="271"/>
        <v>-6.137542323474986E-5</v>
      </c>
    </row>
    <row r="665" spans="1:29" x14ac:dyDescent="0.15">
      <c r="A665" s="8">
        <v>41869</v>
      </c>
      <c r="B665" s="4">
        <v>1971.74</v>
      </c>
      <c r="C665" s="1">
        <v>11.335000000000001</v>
      </c>
      <c r="D665" s="1">
        <v>1.99</v>
      </c>
      <c r="E665" s="1">
        <v>0.23730000000000001</v>
      </c>
      <c r="F665" s="4">
        <f t="shared" si="261"/>
        <v>0.11335000000000001</v>
      </c>
      <c r="G665" s="4">
        <f t="shared" si="262"/>
        <v>1.9900000000000001E-2</v>
      </c>
      <c r="H665" s="4">
        <f t="shared" si="263"/>
        <v>2.3730000000000001E-3</v>
      </c>
      <c r="I665" s="3">
        <f t="shared" si="264"/>
        <v>48.819043693974841</v>
      </c>
      <c r="J665" s="4">
        <f t="shared" si="251"/>
        <v>1398558.2810738499</v>
      </c>
      <c r="K665" s="1">
        <f t="shared" si="252"/>
        <v>1956.98</v>
      </c>
      <c r="L665" s="5">
        <f t="shared" si="253"/>
        <v>8.2191780821918109E-2</v>
      </c>
      <c r="M665" s="5">
        <f t="shared" si="254"/>
        <v>-0.41882671049361359</v>
      </c>
      <c r="N665" s="5">
        <f t="shared" si="255"/>
        <v>19.92523878800068</v>
      </c>
      <c r="O665" s="1">
        <f t="shared" si="256"/>
        <v>0</v>
      </c>
      <c r="P665" s="1">
        <f t="shared" si="257"/>
        <v>1956.98</v>
      </c>
      <c r="Q665" s="5">
        <f t="shared" si="258"/>
        <v>8.2191780821918109E-2</v>
      </c>
      <c r="R665" s="5">
        <f t="shared" si="259"/>
        <v>-0.41882671049361359</v>
      </c>
      <c r="S665" s="5">
        <f t="shared" si="265"/>
        <v>19.92523878800068</v>
      </c>
      <c r="T665" s="5">
        <f t="shared" si="266"/>
        <v>-697.6294267330195</v>
      </c>
      <c r="U665" s="4">
        <f t="shared" si="267"/>
        <v>1398580.8495896733</v>
      </c>
      <c r="V665" s="4">
        <f t="shared" si="260"/>
        <v>67.706640033560333</v>
      </c>
      <c r="W665" s="4">
        <f t="shared" si="268"/>
        <v>1384680.416676482</v>
      </c>
      <c r="X665" s="4">
        <f t="shared" si="272"/>
        <v>7617.3395265166182</v>
      </c>
      <c r="Y665" s="9">
        <f>SUM($X$6:X665)</f>
        <v>384680.41667648195</v>
      </c>
      <c r="Z665" s="16">
        <f t="shared" si="273"/>
        <v>0.38468041667648195</v>
      </c>
      <c r="AA665" s="16">
        <f t="shared" si="269"/>
        <v>0.54396817690633181</v>
      </c>
      <c r="AB665" s="16">
        <f t="shared" si="270"/>
        <v>5.5315835947630102E-3</v>
      </c>
      <c r="AC665" s="16">
        <f t="shared" si="271"/>
        <v>8.5317074667785459E-3</v>
      </c>
    </row>
    <row r="666" spans="1:29" x14ac:dyDescent="0.15">
      <c r="A666" s="8">
        <v>41870</v>
      </c>
      <c r="B666" s="4">
        <v>1981.6</v>
      </c>
      <c r="C666" s="1">
        <v>11.3287</v>
      </c>
      <c r="D666" s="1">
        <v>1.98</v>
      </c>
      <c r="E666" s="1">
        <v>0.23960000000000001</v>
      </c>
      <c r="F666" s="4">
        <f t="shared" si="261"/>
        <v>0.113287</v>
      </c>
      <c r="G666" s="4">
        <f t="shared" si="262"/>
        <v>1.9799999999999998E-2</v>
      </c>
      <c r="H666" s="4">
        <f t="shared" si="263"/>
        <v>2.3960000000000001E-3</v>
      </c>
      <c r="I666" s="3">
        <f t="shared" si="264"/>
        <v>49.006766803010798</v>
      </c>
      <c r="J666" s="4">
        <f t="shared" si="251"/>
        <v>1398580.8495896733</v>
      </c>
      <c r="K666" s="1">
        <f t="shared" si="252"/>
        <v>1956.98</v>
      </c>
      <c r="L666" s="5">
        <f t="shared" si="253"/>
        <v>7.9452054794520846E-2</v>
      </c>
      <c r="M666" s="5">
        <f t="shared" si="254"/>
        <v>-0.35729905983661547</v>
      </c>
      <c r="N666" s="5">
        <f t="shared" si="255"/>
        <v>15.629354649055998</v>
      </c>
      <c r="O666" s="1">
        <f t="shared" si="256"/>
        <v>0</v>
      </c>
      <c r="P666" s="1">
        <f t="shared" si="257"/>
        <v>1956.98</v>
      </c>
      <c r="Q666" s="5">
        <f t="shared" si="258"/>
        <v>7.9452054794520846E-2</v>
      </c>
      <c r="R666" s="5">
        <f t="shared" si="259"/>
        <v>-0.35729905983661547</v>
      </c>
      <c r="S666" s="5">
        <f t="shared" si="265"/>
        <v>15.629354649055998</v>
      </c>
      <c r="T666" s="5">
        <f t="shared" si="266"/>
        <v>-697.6294267330195</v>
      </c>
      <c r="U666" s="4">
        <f t="shared" si="267"/>
        <v>1398648.5562297069</v>
      </c>
      <c r="V666" s="4">
        <f t="shared" si="260"/>
        <v>22.569972592309515</v>
      </c>
      <c r="W666" s="4">
        <f t="shared" si="268"/>
        <v>1387745.0585056788</v>
      </c>
      <c r="X666" s="4">
        <f t="shared" si="272"/>
        <v>3064.6418291968293</v>
      </c>
      <c r="Y666" s="9">
        <f>SUM($X$6:X666)</f>
        <v>387745.05850567878</v>
      </c>
      <c r="Z666" s="16">
        <f t="shared" si="273"/>
        <v>0.38774505850567881</v>
      </c>
      <c r="AA666" s="16">
        <f t="shared" si="269"/>
        <v>0.55168903575399741</v>
      </c>
      <c r="AB666" s="16">
        <f t="shared" si="270"/>
        <v>2.2132484812290481E-3</v>
      </c>
      <c r="AC666" s="16">
        <f t="shared" si="271"/>
        <v>5.0006593161369649E-3</v>
      </c>
    </row>
    <row r="667" spans="1:29" x14ac:dyDescent="0.15">
      <c r="A667" s="8">
        <v>41871</v>
      </c>
      <c r="B667" s="4">
        <v>1986.51</v>
      </c>
      <c r="C667" s="1">
        <v>11.2432</v>
      </c>
      <c r="D667" s="1">
        <v>1.97</v>
      </c>
      <c r="E667" s="1">
        <v>0.24</v>
      </c>
      <c r="F667" s="4">
        <f t="shared" si="261"/>
        <v>0.112432</v>
      </c>
      <c r="G667" s="4">
        <f t="shared" si="262"/>
        <v>1.9699999999999999E-2</v>
      </c>
      <c r="H667" s="4">
        <f t="shared" si="263"/>
        <v>2.3999999999999998E-3</v>
      </c>
      <c r="I667" s="3">
        <f t="shared" si="264"/>
        <v>48.765254694961996</v>
      </c>
      <c r="J667" s="4">
        <f t="shared" si="251"/>
        <v>1398648.5562297069</v>
      </c>
      <c r="K667" s="1">
        <f t="shared" si="252"/>
        <v>1956.98</v>
      </c>
      <c r="L667" s="5">
        <f t="shared" si="253"/>
        <v>7.6712328767123583E-2</v>
      </c>
      <c r="M667" s="5">
        <f t="shared" si="254"/>
        <v>-0.32445942520653065</v>
      </c>
      <c r="N667" s="5">
        <f t="shared" si="255"/>
        <v>13.342170385823104</v>
      </c>
      <c r="O667" s="1">
        <f t="shared" si="256"/>
        <v>0</v>
      </c>
      <c r="P667" s="1">
        <f t="shared" si="257"/>
        <v>1956.98</v>
      </c>
      <c r="Q667" s="5">
        <f t="shared" si="258"/>
        <v>7.6712328767123583E-2</v>
      </c>
      <c r="R667" s="5">
        <f t="shared" si="259"/>
        <v>-0.32445942520653065</v>
      </c>
      <c r="S667" s="5">
        <f t="shared" si="265"/>
        <v>13.342170385823104</v>
      </c>
      <c r="T667" s="5">
        <f t="shared" si="266"/>
        <v>-697.6294267330195</v>
      </c>
      <c r="U667" s="4">
        <f t="shared" si="267"/>
        <v>1398671.1262022993</v>
      </c>
      <c r="V667" s="4">
        <f t="shared" si="260"/>
        <v>22.570336803648058</v>
      </c>
      <c r="W667" s="4">
        <f t="shared" si="268"/>
        <v>1389363.2355246632</v>
      </c>
      <c r="X667" s="4">
        <f t="shared" si="272"/>
        <v>1618.1770189844538</v>
      </c>
      <c r="Y667" s="9">
        <f>SUM($X$6:X667)</f>
        <v>389363.23552466324</v>
      </c>
      <c r="Z667" s="16">
        <f t="shared" si="273"/>
        <v>0.38936323552466323</v>
      </c>
      <c r="AA667" s="16">
        <f t="shared" si="269"/>
        <v>0.55553380420653697</v>
      </c>
      <c r="AB667" s="16">
        <f t="shared" si="270"/>
        <v>1.1660477614864675E-3</v>
      </c>
      <c r="AC667" s="16">
        <f t="shared" si="271"/>
        <v>2.4777957206298354E-3</v>
      </c>
    </row>
    <row r="668" spans="1:29" x14ac:dyDescent="0.15">
      <c r="A668" s="8">
        <v>41872</v>
      </c>
      <c r="B668" s="4">
        <v>1992.37</v>
      </c>
      <c r="C668" s="1">
        <v>11.2095</v>
      </c>
      <c r="D668" s="1">
        <v>1.97</v>
      </c>
      <c r="E668" s="1">
        <v>0.24010000000000001</v>
      </c>
      <c r="F668" s="4">
        <f t="shared" si="261"/>
        <v>0.112095</v>
      </c>
      <c r="G668" s="4">
        <f t="shared" si="262"/>
        <v>1.9699999999999999E-2</v>
      </c>
      <c r="H668" s="4">
        <f t="shared" si="263"/>
        <v>2.4009999999999999E-3</v>
      </c>
      <c r="I668" s="3">
        <f t="shared" si="264"/>
        <v>48.775905577560181</v>
      </c>
      <c r="J668" s="4">
        <f t="shared" ref="J668:J731" si="274">U667</f>
        <v>1398671.1262022993</v>
      </c>
      <c r="K668" s="1">
        <f t="shared" ref="K668:K731" si="275">P667</f>
        <v>1956.98</v>
      </c>
      <c r="L668" s="5">
        <f t="shared" ref="L668:L731" si="276">Q667-(A668-A667)/365</f>
        <v>7.397260273972632E-2</v>
      </c>
      <c r="M668" s="5">
        <f t="shared" ref="M668:M731" si="277">BSM_Put(B668,K668,F668,H668,G668,L668,$G$3)</f>
        <v>-0.28693532509562819</v>
      </c>
      <c r="N668" s="5">
        <f t="shared" ref="N668:N731" si="278">BSM_Put(B668,K668,F668,H668,G668,L668,$F$3)</f>
        <v>11.067529282593936</v>
      </c>
      <c r="O668" s="1">
        <f t="shared" ref="O668:O731" si="279">IF(OR(M668&gt;-0.05,L668&lt;=0.00001),1,0)</f>
        <v>0</v>
      </c>
      <c r="P668" s="1">
        <f t="shared" ref="P668:P731" si="280">IF(O668,B668,K668)</f>
        <v>1956.98</v>
      </c>
      <c r="Q668" s="5">
        <f t="shared" ref="Q668:Q731" si="281">IF(O668,$B$3,L668)</f>
        <v>7.397260273972632E-2</v>
      </c>
      <c r="R668" s="5">
        <f t="shared" ref="R668:R731" si="282">IF(O668,BSM_Put(B668,P668,F668,H668,G668,Q668,$G$3),M668)</f>
        <v>-0.28693532509562819</v>
      </c>
      <c r="S668" s="5">
        <f t="shared" si="265"/>
        <v>11.067529282593936</v>
      </c>
      <c r="T668" s="5">
        <f t="shared" si="266"/>
        <v>-697.6294267330195</v>
      </c>
      <c r="U668" s="4">
        <f t="shared" si="267"/>
        <v>1398693.6965391028</v>
      </c>
      <c r="V668" s="4">
        <f t="shared" ref="V668:V731" si="283">U668*$H$6*(A668-A667)/365</f>
        <v>22.570701020863876</v>
      </c>
      <c r="W668" s="4">
        <f t="shared" si="268"/>
        <v>1390972.662430336</v>
      </c>
      <c r="X668" s="4">
        <f t="shared" si="272"/>
        <v>1609.4269056727644</v>
      </c>
      <c r="Y668" s="9">
        <f>SUM($X$6:X668)</f>
        <v>390972.662430336</v>
      </c>
      <c r="Z668" s="16">
        <f t="shared" si="273"/>
        <v>0.39097266243033602</v>
      </c>
      <c r="AA668" s="16">
        <f t="shared" si="269"/>
        <v>0.56012246879551464</v>
      </c>
      <c r="AB668" s="16">
        <f t="shared" si="270"/>
        <v>1.158391747040146E-3</v>
      </c>
      <c r="AC668" s="16">
        <f t="shared" si="271"/>
        <v>2.9498970556402432E-3</v>
      </c>
    </row>
    <row r="669" spans="1:29" x14ac:dyDescent="0.15">
      <c r="A669" s="8">
        <v>41873</v>
      </c>
      <c r="B669" s="4">
        <v>1988.4</v>
      </c>
      <c r="C669" s="1">
        <v>11.3255</v>
      </c>
      <c r="D669" s="1">
        <v>1.97</v>
      </c>
      <c r="E669" s="1">
        <v>0.24360000000000001</v>
      </c>
      <c r="F669" s="4">
        <f t="shared" si="261"/>
        <v>0.11325499999999999</v>
      </c>
      <c r="G669" s="4">
        <f t="shared" si="262"/>
        <v>1.9699999999999999E-2</v>
      </c>
      <c r="H669" s="4">
        <f t="shared" si="263"/>
        <v>2.4360000000000002E-3</v>
      </c>
      <c r="I669" s="3">
        <f t="shared" si="264"/>
        <v>49.125992137558399</v>
      </c>
      <c r="J669" s="4">
        <f t="shared" si="274"/>
        <v>1398693.6965391028</v>
      </c>
      <c r="K669" s="1">
        <f t="shared" si="275"/>
        <v>1956.98</v>
      </c>
      <c r="L669" s="5">
        <f t="shared" si="276"/>
        <v>7.1232876712329057E-2</v>
      </c>
      <c r="M669" s="5">
        <f t="shared" si="277"/>
        <v>-0.30762452199424223</v>
      </c>
      <c r="N669" s="5">
        <f t="shared" si="278"/>
        <v>12.038707381619684</v>
      </c>
      <c r="O669" s="1">
        <f t="shared" si="279"/>
        <v>0</v>
      </c>
      <c r="P669" s="1">
        <f t="shared" si="280"/>
        <v>1956.98</v>
      </c>
      <c r="Q669" s="5">
        <f t="shared" si="281"/>
        <v>7.1232876712329057E-2</v>
      </c>
      <c r="R669" s="5">
        <f t="shared" si="282"/>
        <v>-0.30762452199424223</v>
      </c>
      <c r="S669" s="5">
        <f t="shared" si="265"/>
        <v>12.038707381619684</v>
      </c>
      <c r="T669" s="5">
        <f t="shared" si="266"/>
        <v>-697.6294267330195</v>
      </c>
      <c r="U669" s="4">
        <f t="shared" si="267"/>
        <v>1398716.2672401236</v>
      </c>
      <c r="V669" s="4">
        <f t="shared" si="283"/>
        <v>22.571065243957062</v>
      </c>
      <c r="W669" s="4">
        <f t="shared" si="268"/>
        <v>1390317.7107108778</v>
      </c>
      <c r="X669" s="4">
        <f t="shared" si="272"/>
        <v>-654.95171945821494</v>
      </c>
      <c r="Y669" s="9">
        <f>SUM($X$6:X669)</f>
        <v>390317.71071087779</v>
      </c>
      <c r="Z669" s="16">
        <f t="shared" si="273"/>
        <v>0.39031771071087779</v>
      </c>
      <c r="AA669" s="16">
        <f t="shared" si="269"/>
        <v>0.55701376599376706</v>
      </c>
      <c r="AB669" s="16">
        <f t="shared" si="270"/>
        <v>-4.7085880057043671E-4</v>
      </c>
      <c r="AC669" s="16">
        <f t="shared" si="271"/>
        <v>-1.9926017757744799E-3</v>
      </c>
    </row>
    <row r="670" spans="1:29" x14ac:dyDescent="0.15">
      <c r="A670" s="8">
        <v>41876</v>
      </c>
      <c r="B670" s="4">
        <v>1997.92</v>
      </c>
      <c r="C670" s="1">
        <v>11.180899999999999</v>
      </c>
      <c r="D670" s="1">
        <v>1.96</v>
      </c>
      <c r="E670" s="1">
        <v>0.24360000000000001</v>
      </c>
      <c r="F670" s="4">
        <f t="shared" si="261"/>
        <v>0.11180899999999999</v>
      </c>
      <c r="G670" s="4">
        <f t="shared" si="262"/>
        <v>1.9599999999999999E-2</v>
      </c>
      <c r="H670" s="4">
        <f t="shared" si="263"/>
        <v>2.4360000000000002E-3</v>
      </c>
      <c r="I670" s="3">
        <f t="shared" si="264"/>
        <v>48.763456711776534</v>
      </c>
      <c r="J670" s="4">
        <f t="shared" si="274"/>
        <v>1398716.2672401236</v>
      </c>
      <c r="K670" s="1">
        <f t="shared" si="275"/>
        <v>1956.98</v>
      </c>
      <c r="L670" s="5">
        <f t="shared" si="276"/>
        <v>6.3013698630137283E-2</v>
      </c>
      <c r="M670" s="5">
        <f t="shared" si="277"/>
        <v>-0.23757649456819607</v>
      </c>
      <c r="N670" s="5">
        <f t="shared" si="278"/>
        <v>7.9351445338832276</v>
      </c>
      <c r="O670" s="1">
        <f t="shared" si="279"/>
        <v>0</v>
      </c>
      <c r="P670" s="1">
        <f t="shared" si="280"/>
        <v>1956.98</v>
      </c>
      <c r="Q670" s="5">
        <f t="shared" si="281"/>
        <v>6.3013698630137283E-2</v>
      </c>
      <c r="R670" s="5">
        <f t="shared" si="282"/>
        <v>-0.23757649456819607</v>
      </c>
      <c r="S670" s="5">
        <f t="shared" si="265"/>
        <v>7.9351445338832276</v>
      </c>
      <c r="T670" s="5">
        <f t="shared" si="266"/>
        <v>-697.6294267330195</v>
      </c>
      <c r="U670" s="4">
        <f t="shared" si="267"/>
        <v>1398738.8383053676</v>
      </c>
      <c r="V670" s="4">
        <f t="shared" si="283"/>
        <v>67.714288418783127</v>
      </c>
      <c r="W670" s="4">
        <f t="shared" si="268"/>
        <v>1393203.0479731511</v>
      </c>
      <c r="X670" s="4">
        <f t="shared" si="272"/>
        <v>2885.3372622733004</v>
      </c>
      <c r="Y670" s="9">
        <f>SUM($X$6:X670)</f>
        <v>393203.04797315109</v>
      </c>
      <c r="Z670" s="16">
        <f t="shared" si="273"/>
        <v>0.39320304797315109</v>
      </c>
      <c r="AA670" s="16">
        <f t="shared" si="269"/>
        <v>0.56446838832944435</v>
      </c>
      <c r="AB670" s="16">
        <f t="shared" si="270"/>
        <v>2.0753078523311121E-3</v>
      </c>
      <c r="AC670" s="16">
        <f t="shared" si="271"/>
        <v>4.7877690605511872E-3</v>
      </c>
    </row>
    <row r="671" spans="1:29" x14ac:dyDescent="0.15">
      <c r="A671" s="8">
        <v>41877</v>
      </c>
      <c r="B671" s="4">
        <v>2000.02</v>
      </c>
      <c r="C671" s="1">
        <v>11.1938</v>
      </c>
      <c r="D671" s="1">
        <v>1.96</v>
      </c>
      <c r="E671" s="1">
        <v>0.24340000000000001</v>
      </c>
      <c r="F671" s="4">
        <f t="shared" si="261"/>
        <v>0.111938</v>
      </c>
      <c r="G671" s="4">
        <f t="shared" si="262"/>
        <v>1.9599999999999999E-2</v>
      </c>
      <c r="H671" s="4">
        <f t="shared" si="263"/>
        <v>2.434E-3</v>
      </c>
      <c r="I671" s="3">
        <f t="shared" si="264"/>
        <v>48.866333901827716</v>
      </c>
      <c r="J671" s="4">
        <f t="shared" si="274"/>
        <v>1398738.8383053676</v>
      </c>
      <c r="K671" s="1">
        <f t="shared" si="275"/>
        <v>1956.98</v>
      </c>
      <c r="L671" s="5">
        <f t="shared" si="276"/>
        <v>6.027397260274002E-2</v>
      </c>
      <c r="M671" s="5">
        <f t="shared" si="277"/>
        <v>-0.22107114582210541</v>
      </c>
      <c r="N671" s="5">
        <f t="shared" si="278"/>
        <v>7.0776844372867833</v>
      </c>
      <c r="O671" s="1">
        <f t="shared" si="279"/>
        <v>0</v>
      </c>
      <c r="P671" s="1">
        <f t="shared" si="280"/>
        <v>1956.98</v>
      </c>
      <c r="Q671" s="5">
        <f t="shared" si="281"/>
        <v>6.027397260274002E-2</v>
      </c>
      <c r="R671" s="5">
        <f t="shared" si="282"/>
        <v>-0.22107114582210541</v>
      </c>
      <c r="S671" s="5">
        <f t="shared" si="265"/>
        <v>7.0776844372867833</v>
      </c>
      <c r="T671" s="5">
        <f t="shared" si="266"/>
        <v>-697.6294267330195</v>
      </c>
      <c r="U671" s="4">
        <f t="shared" si="267"/>
        <v>1398806.5525937865</v>
      </c>
      <c r="V671" s="4">
        <f t="shared" si="283"/>
        <v>22.572522177472333</v>
      </c>
      <c r="W671" s="4">
        <f t="shared" si="268"/>
        <v>1393868.9516572049</v>
      </c>
      <c r="X671" s="4">
        <f t="shared" si="272"/>
        <v>665.90368405380286</v>
      </c>
      <c r="Y671" s="9">
        <f>SUM($X$6:X671)</f>
        <v>393868.95165720489</v>
      </c>
      <c r="Z671" s="16">
        <f t="shared" si="273"/>
        <v>0.39386895165720487</v>
      </c>
      <c r="AA671" s="16">
        <f t="shared" si="269"/>
        <v>0.56611279031525541</v>
      </c>
      <c r="AB671" s="16">
        <f t="shared" si="270"/>
        <v>4.7796599714777235E-4</v>
      </c>
      <c r="AC671" s="16">
        <f t="shared" si="271"/>
        <v>1.0510931368622914E-3</v>
      </c>
    </row>
    <row r="672" spans="1:29" x14ac:dyDescent="0.15">
      <c r="A672" s="8">
        <v>41878</v>
      </c>
      <c r="B672" s="4">
        <v>2000.12</v>
      </c>
      <c r="C672" s="1">
        <v>11.4618</v>
      </c>
      <c r="D672" s="1">
        <v>1.96</v>
      </c>
      <c r="E672" s="1">
        <v>0.2399</v>
      </c>
      <c r="F672" s="4">
        <f t="shared" si="261"/>
        <v>0.114618</v>
      </c>
      <c r="G672" s="4">
        <f t="shared" si="262"/>
        <v>1.9599999999999999E-2</v>
      </c>
      <c r="H672" s="4">
        <f t="shared" si="263"/>
        <v>2.3990000000000001E-3</v>
      </c>
      <c r="I672" s="3">
        <f t="shared" si="264"/>
        <v>49.939583339050657</v>
      </c>
      <c r="J672" s="4">
        <f t="shared" si="274"/>
        <v>1398806.5525937865</v>
      </c>
      <c r="K672" s="1">
        <f t="shared" si="275"/>
        <v>1956.98</v>
      </c>
      <c r="L672" s="5">
        <f t="shared" si="276"/>
        <v>5.7534246575342757E-2</v>
      </c>
      <c r="M672" s="5">
        <f t="shared" si="277"/>
        <v>-0.22014625707768284</v>
      </c>
      <c r="N672" s="5">
        <f t="shared" si="278"/>
        <v>7.0423357170428238</v>
      </c>
      <c r="O672" s="1">
        <f t="shared" si="279"/>
        <v>0</v>
      </c>
      <c r="P672" s="1">
        <f t="shared" si="280"/>
        <v>1956.98</v>
      </c>
      <c r="Q672" s="5">
        <f t="shared" si="281"/>
        <v>5.7534246575342757E-2</v>
      </c>
      <c r="R672" s="5">
        <f t="shared" si="282"/>
        <v>-0.22014625707768284</v>
      </c>
      <c r="S672" s="5">
        <f t="shared" si="265"/>
        <v>7.0423357170428238</v>
      </c>
      <c r="T672" s="5">
        <f t="shared" si="266"/>
        <v>-697.6294267330195</v>
      </c>
      <c r="U672" s="4">
        <f t="shared" si="267"/>
        <v>1398829.1251159639</v>
      </c>
      <c r="V672" s="4">
        <f t="shared" si="283"/>
        <v>22.572886429953495</v>
      </c>
      <c r="W672" s="4">
        <f t="shared" si="268"/>
        <v>1393916.1844868218</v>
      </c>
      <c r="X672" s="4">
        <f t="shared" si="272"/>
        <v>47.232829616870731</v>
      </c>
      <c r="Y672" s="9">
        <f>SUM($X$6:X672)</f>
        <v>393916.18448682176</v>
      </c>
      <c r="Z672" s="16">
        <f t="shared" si="273"/>
        <v>0.39391618448682175</v>
      </c>
      <c r="AA672" s="16">
        <f t="shared" si="269"/>
        <v>0.5661910951717225</v>
      </c>
      <c r="AB672" s="16">
        <f t="shared" si="270"/>
        <v>3.3886133671830814E-5</v>
      </c>
      <c r="AC672" s="16">
        <f t="shared" si="271"/>
        <v>4.9999500004954473E-5</v>
      </c>
    </row>
    <row r="673" spans="1:29" x14ac:dyDescent="0.15">
      <c r="A673" s="8">
        <v>41879</v>
      </c>
      <c r="B673" s="4">
        <v>1996.74</v>
      </c>
      <c r="C673" s="1">
        <v>11.7433</v>
      </c>
      <c r="D673" s="1">
        <v>1.96</v>
      </c>
      <c r="E673" s="1">
        <v>0.23619999999999999</v>
      </c>
      <c r="F673" s="4">
        <f t="shared" si="261"/>
        <v>0.117433</v>
      </c>
      <c r="G673" s="4">
        <f t="shared" si="262"/>
        <v>1.9599999999999999E-2</v>
      </c>
      <c r="H673" s="4">
        <f t="shared" si="263"/>
        <v>2.362E-3</v>
      </c>
      <c r="I673" s="3">
        <f t="shared" si="264"/>
        <v>50.978212549025848</v>
      </c>
      <c r="J673" s="4">
        <f t="shared" si="274"/>
        <v>1398829.1251159639</v>
      </c>
      <c r="K673" s="1">
        <f t="shared" si="275"/>
        <v>1956.98</v>
      </c>
      <c r="L673" s="5">
        <f t="shared" si="276"/>
        <v>5.4794520547945494E-2</v>
      </c>
      <c r="M673" s="5">
        <f t="shared" si="277"/>
        <v>-0.23826369423040092</v>
      </c>
      <c r="N673" s="5">
        <f t="shared" si="278"/>
        <v>7.7940290383953332</v>
      </c>
      <c r="O673" s="1">
        <f t="shared" si="279"/>
        <v>0</v>
      </c>
      <c r="P673" s="1">
        <f t="shared" si="280"/>
        <v>1956.98</v>
      </c>
      <c r="Q673" s="5">
        <f t="shared" si="281"/>
        <v>5.4794520547945494E-2</v>
      </c>
      <c r="R673" s="5">
        <f t="shared" si="282"/>
        <v>-0.23826369423040092</v>
      </c>
      <c r="S673" s="5">
        <f t="shared" si="265"/>
        <v>7.7940290383953332</v>
      </c>
      <c r="T673" s="5">
        <f t="shared" si="266"/>
        <v>-697.6294267330195</v>
      </c>
      <c r="U673" s="4">
        <f t="shared" si="267"/>
        <v>1398851.6980023938</v>
      </c>
      <c r="V673" s="4">
        <f t="shared" si="283"/>
        <v>22.573250688312598</v>
      </c>
      <c r="W673" s="4">
        <f t="shared" si="268"/>
        <v>1393414.3539923977</v>
      </c>
      <c r="X673" s="4">
        <f t="shared" si="272"/>
        <v>-501.83049442409538</v>
      </c>
      <c r="Y673" s="9">
        <f>SUM($X$6:X673)</f>
        <v>393414.35399239766</v>
      </c>
      <c r="Z673" s="16">
        <f t="shared" si="273"/>
        <v>0.39341435399239766</v>
      </c>
      <c r="AA673" s="16">
        <f t="shared" si="269"/>
        <v>0.56354439102313136</v>
      </c>
      <c r="AB673" s="16">
        <f t="shared" si="270"/>
        <v>-3.6001482729669802E-4</v>
      </c>
      <c r="AC673" s="16">
        <f t="shared" si="271"/>
        <v>-1.6898986060835759E-3</v>
      </c>
    </row>
    <row r="674" spans="1:29" x14ac:dyDescent="0.15">
      <c r="A674" s="8">
        <v>41880</v>
      </c>
      <c r="B674" s="4">
        <v>2003.37</v>
      </c>
      <c r="C674" s="1">
        <v>11.6538</v>
      </c>
      <c r="D674" s="1">
        <v>1.96</v>
      </c>
      <c r="E674" s="1">
        <v>0.23619999999999999</v>
      </c>
      <c r="F674" s="4">
        <f t="shared" si="261"/>
        <v>0.116538</v>
      </c>
      <c r="G674" s="4">
        <f t="shared" si="262"/>
        <v>1.9599999999999999E-2</v>
      </c>
      <c r="H674" s="4">
        <f t="shared" si="263"/>
        <v>2.362E-3</v>
      </c>
      <c r="I674" s="3">
        <f t="shared" si="264"/>
        <v>50.792407264981193</v>
      </c>
      <c r="J674" s="4">
        <f t="shared" si="274"/>
        <v>1398851.6980023938</v>
      </c>
      <c r="K674" s="1">
        <f t="shared" si="275"/>
        <v>1956.98</v>
      </c>
      <c r="L674" s="5">
        <f t="shared" si="276"/>
        <v>5.2054794520548231E-2</v>
      </c>
      <c r="M674" s="5">
        <f t="shared" si="277"/>
        <v>-0.1945081014127</v>
      </c>
      <c r="N674" s="5">
        <f t="shared" si="278"/>
        <v>5.8132598384013878</v>
      </c>
      <c r="O674" s="1">
        <f t="shared" si="279"/>
        <v>0</v>
      </c>
      <c r="P674" s="1">
        <f t="shared" si="280"/>
        <v>1956.98</v>
      </c>
      <c r="Q674" s="5">
        <f t="shared" si="281"/>
        <v>5.2054794520548231E-2</v>
      </c>
      <c r="R674" s="5">
        <f t="shared" si="282"/>
        <v>-0.1945081014127</v>
      </c>
      <c r="S674" s="5">
        <f t="shared" si="265"/>
        <v>5.8132598384013878</v>
      </c>
      <c r="T674" s="5">
        <f t="shared" si="266"/>
        <v>-697.6294267330195</v>
      </c>
      <c r="U674" s="4">
        <f t="shared" si="267"/>
        <v>1398874.2712530822</v>
      </c>
      <c r="V674" s="4">
        <f t="shared" si="283"/>
        <v>22.573614952549736</v>
      </c>
      <c r="W674" s="4">
        <f t="shared" si="268"/>
        <v>1394818.7701245681</v>
      </c>
      <c r="X674" s="4">
        <f t="shared" si="272"/>
        <v>1404.4161321704742</v>
      </c>
      <c r="Y674" s="9">
        <f>SUM($X$6:X674)</f>
        <v>394818.77012456814</v>
      </c>
      <c r="Z674" s="16">
        <f t="shared" si="273"/>
        <v>0.39481877012456812</v>
      </c>
      <c r="AA674" s="16">
        <f t="shared" si="269"/>
        <v>0.56873600300690652</v>
      </c>
      <c r="AB674" s="16">
        <f t="shared" si="270"/>
        <v>1.007895553929493E-3</v>
      </c>
      <c r="AC674" s="16">
        <f t="shared" si="271"/>
        <v>3.3204122720033062E-3</v>
      </c>
    </row>
    <row r="675" spans="1:29" x14ac:dyDescent="0.15">
      <c r="A675" s="8">
        <v>41884</v>
      </c>
      <c r="B675" s="4">
        <v>2002.28</v>
      </c>
      <c r="C675" s="1">
        <v>11.8596</v>
      </c>
      <c r="D675" s="1">
        <v>1.96</v>
      </c>
      <c r="E675" s="1">
        <v>0.23569999999999999</v>
      </c>
      <c r="F675" s="4">
        <f t="shared" si="261"/>
        <v>0.11859600000000001</v>
      </c>
      <c r="G675" s="4">
        <f t="shared" si="262"/>
        <v>1.9599999999999999E-2</v>
      </c>
      <c r="H675" s="4">
        <f t="shared" si="263"/>
        <v>2.3569999999999997E-3</v>
      </c>
      <c r="I675" s="3">
        <f t="shared" si="264"/>
        <v>51.582166468653334</v>
      </c>
      <c r="J675" s="4">
        <f t="shared" si="274"/>
        <v>1398874.2712530822</v>
      </c>
      <c r="K675" s="1">
        <f t="shared" si="275"/>
        <v>1956.98</v>
      </c>
      <c r="L675" s="5">
        <f t="shared" si="276"/>
        <v>4.1095890410959193E-2</v>
      </c>
      <c r="M675" s="5">
        <f t="shared" si="277"/>
        <v>-0.17491130237094363</v>
      </c>
      <c r="N675" s="5">
        <f t="shared" si="278"/>
        <v>4.5845761298834171</v>
      </c>
      <c r="O675" s="1">
        <f t="shared" si="279"/>
        <v>0</v>
      </c>
      <c r="P675" s="1">
        <f t="shared" si="280"/>
        <v>1956.98</v>
      </c>
      <c r="Q675" s="5">
        <f t="shared" si="281"/>
        <v>4.1095890410959193E-2</v>
      </c>
      <c r="R675" s="5">
        <f t="shared" si="282"/>
        <v>-0.17491130237094363</v>
      </c>
      <c r="S675" s="5">
        <f t="shared" si="265"/>
        <v>4.5845761298834171</v>
      </c>
      <c r="T675" s="5">
        <f t="shared" si="266"/>
        <v>-697.6294267330195</v>
      </c>
      <c r="U675" s="4">
        <f t="shared" si="267"/>
        <v>1398896.8448680348</v>
      </c>
      <c r="V675" s="4">
        <f t="shared" si="283"/>
        <v>90.295916890659996</v>
      </c>
      <c r="W675" s="4">
        <f t="shared" si="268"/>
        <v>1395698.5096507303</v>
      </c>
      <c r="X675" s="4">
        <f t="shared" si="272"/>
        <v>879.73952616215684</v>
      </c>
      <c r="Y675" s="9">
        <f>SUM($X$6:X675)</f>
        <v>395698.5096507303</v>
      </c>
      <c r="Z675" s="16">
        <f t="shared" si="273"/>
        <v>0.39569850965073028</v>
      </c>
      <c r="AA675" s="16">
        <f t="shared" si="269"/>
        <v>0.56788248007141406</v>
      </c>
      <c r="AB675" s="16">
        <f t="shared" si="270"/>
        <v>6.3071959239807858E-4</v>
      </c>
      <c r="AC675" s="16">
        <f t="shared" si="271"/>
        <v>-5.4408321977463881E-4</v>
      </c>
    </row>
    <row r="676" spans="1:29" x14ac:dyDescent="0.15">
      <c r="A676" s="8">
        <v>41885</v>
      </c>
      <c r="B676" s="4">
        <v>2000.72</v>
      </c>
      <c r="C676" s="1">
        <v>11.812200000000001</v>
      </c>
      <c r="D676" s="1">
        <v>1.96</v>
      </c>
      <c r="E676" s="1">
        <v>0.23669999999999999</v>
      </c>
      <c r="F676" s="4">
        <f t="shared" si="261"/>
        <v>0.118122</v>
      </c>
      <c r="G676" s="4">
        <f t="shared" si="262"/>
        <v>1.9599999999999999E-2</v>
      </c>
      <c r="H676" s="4">
        <f t="shared" si="263"/>
        <v>2.3669999999999997E-3</v>
      </c>
      <c r="I676" s="3">
        <f t="shared" si="264"/>
        <v>51.351471130909246</v>
      </c>
      <c r="J676" s="4">
        <f t="shared" si="274"/>
        <v>1398896.8448680348</v>
      </c>
      <c r="K676" s="1">
        <f t="shared" si="275"/>
        <v>1956.98</v>
      </c>
      <c r="L676" s="5">
        <f t="shared" si="276"/>
        <v>3.835616438356193E-2</v>
      </c>
      <c r="M676" s="5">
        <f t="shared" si="277"/>
        <v>-0.17386186965909528</v>
      </c>
      <c r="N676" s="5">
        <f t="shared" si="278"/>
        <v>4.3727013910475829</v>
      </c>
      <c r="O676" s="1">
        <f t="shared" si="279"/>
        <v>0</v>
      </c>
      <c r="P676" s="1">
        <f t="shared" si="280"/>
        <v>1956.98</v>
      </c>
      <c r="Q676" s="5">
        <f t="shared" si="281"/>
        <v>3.835616438356193E-2</v>
      </c>
      <c r="R676" s="5">
        <f t="shared" si="282"/>
        <v>-0.17386186965909528</v>
      </c>
      <c r="S676" s="5">
        <f t="shared" si="265"/>
        <v>4.3727013910475829</v>
      </c>
      <c r="T676" s="5">
        <f t="shared" si="266"/>
        <v>-697.6294267330195</v>
      </c>
      <c r="U676" s="4">
        <f t="shared" si="267"/>
        <v>1398987.1407849255</v>
      </c>
      <c r="V676" s="4">
        <f t="shared" si="283"/>
        <v>22.575436326638933</v>
      </c>
      <c r="W676" s="4">
        <f t="shared" si="268"/>
        <v>1395936.6156202143</v>
      </c>
      <c r="X676" s="4">
        <f t="shared" si="272"/>
        <v>238.10596948396415</v>
      </c>
      <c r="Y676" s="9">
        <f>SUM($X$6:X676)</f>
        <v>395936.61562021426</v>
      </c>
      <c r="Z676" s="16">
        <f t="shared" si="273"/>
        <v>0.39593661562021426</v>
      </c>
      <c r="AA676" s="16">
        <f t="shared" si="269"/>
        <v>0.56666092431052584</v>
      </c>
      <c r="AB676" s="16">
        <f t="shared" si="270"/>
        <v>1.7059985938048291E-4</v>
      </c>
      <c r="AC676" s="16">
        <f t="shared" si="271"/>
        <v>-7.791118125336843E-4</v>
      </c>
    </row>
    <row r="677" spans="1:29" x14ac:dyDescent="0.15">
      <c r="A677" s="8">
        <v>41886</v>
      </c>
      <c r="B677" s="4">
        <v>1997.65</v>
      </c>
      <c r="C677" s="1">
        <v>11.9702</v>
      </c>
      <c r="D677" s="1">
        <v>1.96</v>
      </c>
      <c r="E677" s="1">
        <v>0.23569999999999999</v>
      </c>
      <c r="F677" s="4">
        <f t="shared" si="261"/>
        <v>0.119702</v>
      </c>
      <c r="G677" s="4">
        <f t="shared" si="262"/>
        <v>1.9599999999999999E-2</v>
      </c>
      <c r="H677" s="4">
        <f t="shared" si="263"/>
        <v>2.3569999999999997E-3</v>
      </c>
      <c r="I677" s="3">
        <f t="shared" si="264"/>
        <v>51.900456313093109</v>
      </c>
      <c r="J677" s="4">
        <f t="shared" si="274"/>
        <v>1398987.1407849255</v>
      </c>
      <c r="K677" s="1">
        <f t="shared" si="275"/>
        <v>1956.98</v>
      </c>
      <c r="L677" s="5">
        <f t="shared" si="276"/>
        <v>3.5616438356164667E-2</v>
      </c>
      <c r="M677" s="5">
        <f t="shared" si="277"/>
        <v>-0.18536447118989224</v>
      </c>
      <c r="N677" s="5">
        <f t="shared" si="278"/>
        <v>4.6226096664563041</v>
      </c>
      <c r="O677" s="1">
        <f t="shared" si="279"/>
        <v>0</v>
      </c>
      <c r="P677" s="1">
        <f t="shared" si="280"/>
        <v>1956.98</v>
      </c>
      <c r="Q677" s="5">
        <f t="shared" si="281"/>
        <v>3.5616438356164667E-2</v>
      </c>
      <c r="R677" s="5">
        <f t="shared" si="282"/>
        <v>-0.18536447118989224</v>
      </c>
      <c r="S677" s="5">
        <f t="shared" si="265"/>
        <v>4.6226096664563041</v>
      </c>
      <c r="T677" s="5">
        <f t="shared" si="266"/>
        <v>-697.6294267330195</v>
      </c>
      <c r="U677" s="4">
        <f t="shared" si="267"/>
        <v>1399009.7162212522</v>
      </c>
      <c r="V677" s="4">
        <f t="shared" si="283"/>
        <v>22.575800626145682</v>
      </c>
      <c r="W677" s="4">
        <f t="shared" si="268"/>
        <v>1395784.8476896319</v>
      </c>
      <c r="X677" s="4">
        <f t="shared" si="272"/>
        <v>-151.76793058239855</v>
      </c>
      <c r="Y677" s="9">
        <f>SUM($X$6:X677)</f>
        <v>395784.84768963186</v>
      </c>
      <c r="Z677" s="16">
        <f t="shared" si="273"/>
        <v>0.39578484768963185</v>
      </c>
      <c r="AA677" s="16">
        <f t="shared" si="269"/>
        <v>0.56425696521698288</v>
      </c>
      <c r="AB677" s="16">
        <f t="shared" si="270"/>
        <v>-1.0872121906120222E-4</v>
      </c>
      <c r="AC677" s="16">
        <f t="shared" si="271"/>
        <v>-1.5344475988643769E-3</v>
      </c>
    </row>
    <row r="678" spans="1:29" x14ac:dyDescent="0.15">
      <c r="A678" s="8">
        <v>41887</v>
      </c>
      <c r="B678" s="4">
        <v>2007.71</v>
      </c>
      <c r="C678" s="1">
        <v>11.325900000000001</v>
      </c>
      <c r="D678" s="1">
        <v>1.96</v>
      </c>
      <c r="E678" s="1">
        <v>0.2349</v>
      </c>
      <c r="F678" s="4">
        <f t="shared" si="261"/>
        <v>0.11325900000000001</v>
      </c>
      <c r="G678" s="4">
        <f t="shared" si="262"/>
        <v>1.9599999999999999E-2</v>
      </c>
      <c r="H678" s="4">
        <f t="shared" si="263"/>
        <v>2.349E-3</v>
      </c>
      <c r="I678" s="3">
        <f t="shared" si="264"/>
        <v>49.602375495275687</v>
      </c>
      <c r="J678" s="4">
        <f t="shared" si="274"/>
        <v>1399009.7162212522</v>
      </c>
      <c r="K678" s="1">
        <f t="shared" si="275"/>
        <v>1956.98</v>
      </c>
      <c r="L678" s="5">
        <f t="shared" si="276"/>
        <v>3.2876712328767405E-2</v>
      </c>
      <c r="M678" s="5">
        <f t="shared" si="277"/>
        <v>-0.10949085664680483</v>
      </c>
      <c r="N678" s="5">
        <f t="shared" si="278"/>
        <v>2.1970993726064623</v>
      </c>
      <c r="O678" s="1">
        <f t="shared" si="279"/>
        <v>0</v>
      </c>
      <c r="P678" s="1">
        <f t="shared" si="280"/>
        <v>1956.98</v>
      </c>
      <c r="Q678" s="5">
        <f t="shared" si="281"/>
        <v>3.2876712328767405E-2</v>
      </c>
      <c r="R678" s="5">
        <f t="shared" si="282"/>
        <v>-0.10949085664680483</v>
      </c>
      <c r="S678" s="5">
        <f t="shared" si="265"/>
        <v>2.1970993726064623</v>
      </c>
      <c r="T678" s="5">
        <f t="shared" si="266"/>
        <v>-697.6294267330195</v>
      </c>
      <c r="U678" s="4">
        <f t="shared" si="267"/>
        <v>1399032.2920218783</v>
      </c>
      <c r="V678" s="4">
        <f t="shared" si="283"/>
        <v>22.576164931531128</v>
      </c>
      <c r="W678" s="4">
        <f t="shared" si="268"/>
        <v>1397499.5308460915</v>
      </c>
      <c r="X678" s="4">
        <f t="shared" si="272"/>
        <v>1714.6831564595923</v>
      </c>
      <c r="Y678" s="9">
        <f>SUM($X$6:X678)</f>
        <v>397499.53084609145</v>
      </c>
      <c r="Z678" s="16">
        <f t="shared" si="273"/>
        <v>0.39749953084609146</v>
      </c>
      <c r="AA678" s="16">
        <f t="shared" si="269"/>
        <v>0.572134433777583</v>
      </c>
      <c r="AB678" s="16">
        <f t="shared" si="270"/>
        <v>1.2284723962276965E-3</v>
      </c>
      <c r="AC678" s="16">
        <f t="shared" si="271"/>
        <v>5.0359172027131605E-3</v>
      </c>
    </row>
    <row r="679" spans="1:29" x14ac:dyDescent="0.15">
      <c r="A679" s="8">
        <v>41890</v>
      </c>
      <c r="B679" s="4">
        <v>2001.54</v>
      </c>
      <c r="C679" s="1">
        <v>11.6394</v>
      </c>
      <c r="D679" s="1">
        <v>1.96</v>
      </c>
      <c r="E679" s="1">
        <v>0.23619999999999999</v>
      </c>
      <c r="F679" s="4">
        <f t="shared" si="261"/>
        <v>0.116394</v>
      </c>
      <c r="G679" s="4">
        <f t="shared" si="262"/>
        <v>1.9599999999999999E-2</v>
      </c>
      <c r="H679" s="4">
        <f t="shared" si="263"/>
        <v>2.362E-3</v>
      </c>
      <c r="I679" s="3">
        <f t="shared" si="264"/>
        <v>50.688934520365308</v>
      </c>
      <c r="J679" s="4">
        <f t="shared" si="274"/>
        <v>1399032.2920218783</v>
      </c>
      <c r="K679" s="1">
        <f t="shared" si="275"/>
        <v>1956.98</v>
      </c>
      <c r="L679" s="5">
        <f t="shared" si="276"/>
        <v>2.4657534246575623E-2</v>
      </c>
      <c r="M679" s="5">
        <f t="shared" si="277"/>
        <v>-0.11161020916262883</v>
      </c>
      <c r="N679" s="5">
        <f t="shared" si="278"/>
        <v>1.9932962678963022</v>
      </c>
      <c r="O679" s="1">
        <f t="shared" si="279"/>
        <v>0</v>
      </c>
      <c r="P679" s="1">
        <f t="shared" si="280"/>
        <v>1956.98</v>
      </c>
      <c r="Q679" s="5">
        <f t="shared" si="281"/>
        <v>2.4657534246575623E-2</v>
      </c>
      <c r="R679" s="5">
        <f t="shared" si="282"/>
        <v>-0.11161020916262883</v>
      </c>
      <c r="S679" s="5">
        <f t="shared" si="265"/>
        <v>1.9932962678963022</v>
      </c>
      <c r="T679" s="5">
        <f t="shared" si="266"/>
        <v>-697.6294267330195</v>
      </c>
      <c r="U679" s="4">
        <f t="shared" si="267"/>
        <v>1399054.8681868098</v>
      </c>
      <c r="V679" s="4">
        <f t="shared" si="283"/>
        <v>67.729587728386107</v>
      </c>
      <c r="W679" s="4">
        <f t="shared" si="268"/>
        <v>1397664.2860541283</v>
      </c>
      <c r="X679" s="4">
        <f t="shared" si="272"/>
        <v>164.75520803686231</v>
      </c>
      <c r="Y679" s="9">
        <f>SUM($X$6:X679)</f>
        <v>397664.28605412832</v>
      </c>
      <c r="Z679" s="16">
        <f t="shared" si="273"/>
        <v>0.39766428605412829</v>
      </c>
      <c r="AA679" s="16">
        <f t="shared" si="269"/>
        <v>0.56730302413355682</v>
      </c>
      <c r="AB679" s="16">
        <f t="shared" si="270"/>
        <v>1.1789285391538857E-4</v>
      </c>
      <c r="AC679" s="16">
        <f t="shared" si="271"/>
        <v>-3.0731529952035268E-3</v>
      </c>
    </row>
    <row r="680" spans="1:29" x14ac:dyDescent="0.15">
      <c r="A680" s="8">
        <v>41891</v>
      </c>
      <c r="B680" s="4">
        <v>1988.44</v>
      </c>
      <c r="C680" s="1">
        <v>12.070399999999999</v>
      </c>
      <c r="D680" s="1">
        <v>1.97</v>
      </c>
      <c r="E680" s="1">
        <v>0.23719999999999999</v>
      </c>
      <c r="F680" s="4">
        <f t="shared" si="261"/>
        <v>0.12070399999999999</v>
      </c>
      <c r="G680" s="4">
        <f t="shared" si="262"/>
        <v>1.9699999999999999E-2</v>
      </c>
      <c r="H680" s="4">
        <f t="shared" si="263"/>
        <v>2.372E-3</v>
      </c>
      <c r="I680" s="3">
        <f t="shared" si="264"/>
        <v>52.077245341681156</v>
      </c>
      <c r="J680" s="4">
        <f t="shared" si="274"/>
        <v>1399054.8681868098</v>
      </c>
      <c r="K680" s="1">
        <f t="shared" si="275"/>
        <v>1956.98</v>
      </c>
      <c r="L680" s="5">
        <f t="shared" si="276"/>
        <v>2.1917808219178363E-2</v>
      </c>
      <c r="M680" s="5">
        <f t="shared" si="277"/>
        <v>-0.18931192429605809</v>
      </c>
      <c r="N680" s="5">
        <f t="shared" si="278"/>
        <v>3.7300908987358805</v>
      </c>
      <c r="O680" s="1">
        <f t="shared" si="279"/>
        <v>0</v>
      </c>
      <c r="P680" s="1">
        <f t="shared" si="280"/>
        <v>1956.98</v>
      </c>
      <c r="Q680" s="5">
        <f t="shared" si="281"/>
        <v>2.1917808219178363E-2</v>
      </c>
      <c r="R680" s="5">
        <f t="shared" si="282"/>
        <v>-0.18931192429605809</v>
      </c>
      <c r="S680" s="5">
        <f t="shared" si="265"/>
        <v>3.7300908987358805</v>
      </c>
      <c r="T680" s="5">
        <f t="shared" si="266"/>
        <v>-697.6294267330195</v>
      </c>
      <c r="U680" s="4">
        <f t="shared" si="267"/>
        <v>1399122.5977745382</v>
      </c>
      <c r="V680" s="4">
        <f t="shared" si="283"/>
        <v>22.577622194224734</v>
      </c>
      <c r="W680" s="4">
        <f t="shared" si="268"/>
        <v>1396520.376599191</v>
      </c>
      <c r="X680" s="4">
        <f t="shared" si="272"/>
        <v>-1143.9094549373258</v>
      </c>
      <c r="Y680" s="9">
        <f>SUM($X$6:X680)</f>
        <v>396520.37659919099</v>
      </c>
      <c r="Z680" s="16">
        <f t="shared" si="273"/>
        <v>0.39652037659919098</v>
      </c>
      <c r="AA680" s="16">
        <f t="shared" si="269"/>
        <v>0.55704508793635388</v>
      </c>
      <c r="AB680" s="16">
        <f t="shared" si="270"/>
        <v>-8.1844364655463825E-4</v>
      </c>
      <c r="AC680" s="16">
        <f t="shared" si="271"/>
        <v>-6.5449603805069643E-3</v>
      </c>
    </row>
    <row r="681" spans="1:29" x14ac:dyDescent="0.15">
      <c r="A681" s="8">
        <v>41892</v>
      </c>
      <c r="B681" s="4">
        <v>1995.69</v>
      </c>
      <c r="C681" s="1">
        <v>11.870100000000001</v>
      </c>
      <c r="D681" s="1">
        <v>1.97</v>
      </c>
      <c r="E681" s="1">
        <v>0.23719999999999999</v>
      </c>
      <c r="F681" s="4">
        <f t="shared" si="261"/>
        <v>0.118701</v>
      </c>
      <c r="G681" s="4">
        <f t="shared" si="262"/>
        <v>1.9699999999999999E-2</v>
      </c>
      <c r="H681" s="4">
        <f t="shared" si="263"/>
        <v>2.372E-3</v>
      </c>
      <c r="I681" s="3">
        <f t="shared" si="264"/>
        <v>51.475469709150943</v>
      </c>
      <c r="J681" s="4">
        <f t="shared" si="274"/>
        <v>1399122.5977745382</v>
      </c>
      <c r="K681" s="1">
        <f t="shared" si="275"/>
        <v>1956.98</v>
      </c>
      <c r="L681" s="5">
        <f t="shared" si="276"/>
        <v>1.9178082191781104E-2</v>
      </c>
      <c r="M681" s="5">
        <f t="shared" si="277"/>
        <v>-0.11904006086890596</v>
      </c>
      <c r="N681" s="5">
        <f t="shared" si="278"/>
        <v>1.931795481080969</v>
      </c>
      <c r="O681" s="1">
        <f t="shared" si="279"/>
        <v>0</v>
      </c>
      <c r="P681" s="1">
        <f t="shared" si="280"/>
        <v>1956.98</v>
      </c>
      <c r="Q681" s="5">
        <f t="shared" si="281"/>
        <v>1.9178082191781104E-2</v>
      </c>
      <c r="R681" s="5">
        <f t="shared" si="282"/>
        <v>-0.11904006086890596</v>
      </c>
      <c r="S681" s="5">
        <f t="shared" si="265"/>
        <v>1.931795481080969</v>
      </c>
      <c r="T681" s="5">
        <f t="shared" si="266"/>
        <v>-697.6294267330195</v>
      </c>
      <c r="U681" s="4">
        <f t="shared" si="267"/>
        <v>1399145.1753967325</v>
      </c>
      <c r="V681" s="4">
        <f t="shared" si="283"/>
        <v>22.577986529004807</v>
      </c>
      <c r="W681" s="4">
        <f t="shared" si="268"/>
        <v>1397797.4980227007</v>
      </c>
      <c r="X681" s="4">
        <f t="shared" si="272"/>
        <v>1277.1214235096704</v>
      </c>
      <c r="Y681" s="9">
        <f>SUM($X$6:X681)</f>
        <v>397797.49802270066</v>
      </c>
      <c r="Z681" s="16">
        <f t="shared" si="273"/>
        <v>0.39779749802270065</v>
      </c>
      <c r="AA681" s="16">
        <f t="shared" si="269"/>
        <v>0.56272219003022583</v>
      </c>
      <c r="AB681" s="16">
        <f t="shared" si="270"/>
        <v>9.1450253423420785E-4</v>
      </c>
      <c r="AC681" s="16">
        <f t="shared" si="271"/>
        <v>3.6460743095089619E-3</v>
      </c>
    </row>
    <row r="682" spans="1:29" x14ac:dyDescent="0.15">
      <c r="A682" s="8">
        <v>41893</v>
      </c>
      <c r="B682" s="4">
        <v>1997.45</v>
      </c>
      <c r="C682" s="1">
        <v>11.8118</v>
      </c>
      <c r="D682" s="1">
        <v>1.97</v>
      </c>
      <c r="E682" s="1">
        <v>0.23669999999999999</v>
      </c>
      <c r="F682" s="4">
        <f t="shared" si="261"/>
        <v>0.118118</v>
      </c>
      <c r="G682" s="4">
        <f t="shared" si="262"/>
        <v>1.9699999999999999E-2</v>
      </c>
      <c r="H682" s="4">
        <f t="shared" si="263"/>
        <v>2.3669999999999997E-3</v>
      </c>
      <c r="I682" s="3">
        <f t="shared" si="264"/>
        <v>51.291598537704672</v>
      </c>
      <c r="J682" s="4">
        <f t="shared" si="274"/>
        <v>1399145.1753967325</v>
      </c>
      <c r="K682" s="1">
        <f t="shared" si="275"/>
        <v>1956.98</v>
      </c>
      <c r="L682" s="5">
        <f t="shared" si="276"/>
        <v>1.6438356164383845E-2</v>
      </c>
      <c r="M682" s="5">
        <f t="shared" si="277"/>
        <v>-9.0034846767152552E-2</v>
      </c>
      <c r="N682" s="5">
        <f t="shared" si="278"/>
        <v>1.2706134769688062</v>
      </c>
      <c r="O682" s="1">
        <f t="shared" si="279"/>
        <v>0</v>
      </c>
      <c r="P682" s="1">
        <f t="shared" si="280"/>
        <v>1956.98</v>
      </c>
      <c r="Q682" s="5">
        <f t="shared" si="281"/>
        <v>1.6438356164383845E-2</v>
      </c>
      <c r="R682" s="5">
        <f t="shared" si="282"/>
        <v>-9.0034846767152552E-2</v>
      </c>
      <c r="S682" s="5">
        <f t="shared" si="265"/>
        <v>1.2706134769688062</v>
      </c>
      <c r="T682" s="5">
        <f t="shared" si="266"/>
        <v>-697.6294267330195</v>
      </c>
      <c r="U682" s="4">
        <f t="shared" si="267"/>
        <v>1399167.7533832616</v>
      </c>
      <c r="V682" s="4">
        <f t="shared" si="283"/>
        <v>22.578350869664138</v>
      </c>
      <c r="W682" s="4">
        <f t="shared" si="268"/>
        <v>1398281.3360317247</v>
      </c>
      <c r="X682" s="4">
        <f t="shared" si="272"/>
        <v>483.83800902403891</v>
      </c>
      <c r="Y682" s="9">
        <f>SUM($X$6:X682)</f>
        <v>398281.3360317247</v>
      </c>
      <c r="Z682" s="16">
        <f t="shared" si="273"/>
        <v>0.39828133603172472</v>
      </c>
      <c r="AA682" s="16">
        <f t="shared" si="269"/>
        <v>0.56410035550404847</v>
      </c>
      <c r="AB682" s="16">
        <f t="shared" si="270"/>
        <v>3.4614313568915922E-4</v>
      </c>
      <c r="AC682" s="16">
        <f t="shared" si="271"/>
        <v>8.8190049556794434E-4</v>
      </c>
    </row>
    <row r="683" spans="1:29" x14ac:dyDescent="0.15">
      <c r="A683" s="8">
        <v>41894</v>
      </c>
      <c r="B683" s="4">
        <v>1985.54</v>
      </c>
      <c r="C683" s="1">
        <v>12.222899999999999</v>
      </c>
      <c r="D683" s="1">
        <v>1.98</v>
      </c>
      <c r="E683" s="1">
        <v>0.23719999999999999</v>
      </c>
      <c r="F683" s="4">
        <f t="shared" si="261"/>
        <v>0.12222899999999999</v>
      </c>
      <c r="G683" s="4">
        <f t="shared" si="262"/>
        <v>1.9799999999999998E-2</v>
      </c>
      <c r="H683" s="4">
        <f t="shared" si="263"/>
        <v>2.372E-3</v>
      </c>
      <c r="I683" s="3">
        <f t="shared" si="264"/>
        <v>52.626422424224259</v>
      </c>
      <c r="J683" s="4">
        <f t="shared" si="274"/>
        <v>1399167.7533832616</v>
      </c>
      <c r="K683" s="1">
        <f t="shared" si="275"/>
        <v>1956.98</v>
      </c>
      <c r="L683" s="5">
        <f t="shared" si="276"/>
        <v>1.3698630136986585E-2</v>
      </c>
      <c r="M683" s="5">
        <f t="shared" si="277"/>
        <v>-0.15783201477076855</v>
      </c>
      <c r="N683" s="5">
        <f t="shared" si="278"/>
        <v>2.366679647976996</v>
      </c>
      <c r="O683" s="1">
        <f t="shared" si="279"/>
        <v>0</v>
      </c>
      <c r="P683" s="1">
        <f t="shared" si="280"/>
        <v>1956.98</v>
      </c>
      <c r="Q683" s="5">
        <f t="shared" si="281"/>
        <v>1.3698630136986585E-2</v>
      </c>
      <c r="R683" s="5">
        <f t="shared" si="282"/>
        <v>-0.15783201477076855</v>
      </c>
      <c r="S683" s="5">
        <f t="shared" si="265"/>
        <v>2.366679647976996</v>
      </c>
      <c r="T683" s="5">
        <f t="shared" si="266"/>
        <v>-697.6294267330195</v>
      </c>
      <c r="U683" s="4">
        <f t="shared" si="267"/>
        <v>1399190.3317341313</v>
      </c>
      <c r="V683" s="4">
        <f t="shared" si="283"/>
        <v>22.578715216202831</v>
      </c>
      <c r="W683" s="4">
        <f t="shared" si="268"/>
        <v>1397539.2663680525</v>
      </c>
      <c r="X683" s="4">
        <f t="shared" si="272"/>
        <v>-742.06966367224231</v>
      </c>
      <c r="Y683" s="9">
        <f>SUM($X$6:X683)</f>
        <v>397539.26636805246</v>
      </c>
      <c r="Z683" s="16">
        <f t="shared" si="273"/>
        <v>0.39753926636805248</v>
      </c>
      <c r="AA683" s="16">
        <f t="shared" si="269"/>
        <v>0.55477424709880507</v>
      </c>
      <c r="AB683" s="16">
        <f t="shared" si="270"/>
        <v>-5.307012577155689E-4</v>
      </c>
      <c r="AC683" s="16">
        <f t="shared" si="271"/>
        <v>-5.9626023179554337E-3</v>
      </c>
    </row>
    <row r="684" spans="1:29" x14ac:dyDescent="0.15">
      <c r="A684" s="8">
        <v>41897</v>
      </c>
      <c r="B684" s="4">
        <v>1984.13</v>
      </c>
      <c r="C684" s="1">
        <v>12.617800000000001</v>
      </c>
      <c r="D684" s="1">
        <v>1.98</v>
      </c>
      <c r="E684" s="1">
        <v>0.23719999999999999</v>
      </c>
      <c r="F684" s="4">
        <f t="shared" si="261"/>
        <v>0.12617800000000001</v>
      </c>
      <c r="G684" s="4">
        <f t="shared" si="262"/>
        <v>1.9799999999999998E-2</v>
      </c>
      <c r="H684" s="4">
        <f t="shared" si="263"/>
        <v>2.372E-3</v>
      </c>
      <c r="I684" s="3">
        <f t="shared" si="264"/>
        <v>54.140959508313877</v>
      </c>
      <c r="J684" s="4">
        <f t="shared" si="274"/>
        <v>1399190.3317341313</v>
      </c>
      <c r="K684" s="1">
        <f t="shared" si="275"/>
        <v>1956.98</v>
      </c>
      <c r="L684" s="5">
        <f t="shared" si="276"/>
        <v>5.4794520547948051E-3</v>
      </c>
      <c r="M684" s="5">
        <f t="shared" si="277"/>
        <v>-7.0828059576590205E-2</v>
      </c>
      <c r="N684" s="5">
        <f t="shared" si="278"/>
        <v>0.58396439872703709</v>
      </c>
      <c r="O684" s="1">
        <f t="shared" si="279"/>
        <v>0</v>
      </c>
      <c r="P684" s="1">
        <f t="shared" si="280"/>
        <v>1956.98</v>
      </c>
      <c r="Q684" s="5">
        <f t="shared" si="281"/>
        <v>5.4794520547948051E-3</v>
      </c>
      <c r="R684" s="5">
        <f t="shared" si="282"/>
        <v>-7.0828059576590205E-2</v>
      </c>
      <c r="S684" s="5">
        <f t="shared" si="265"/>
        <v>0.58396439872703709</v>
      </c>
      <c r="T684" s="5">
        <f t="shared" si="266"/>
        <v>-697.6294267330195</v>
      </c>
      <c r="U684" s="4">
        <f t="shared" si="267"/>
        <v>1399212.9104493475</v>
      </c>
      <c r="V684" s="4">
        <f t="shared" si="283"/>
        <v>67.737238705862922</v>
      </c>
      <c r="W684" s="4">
        <f t="shared" si="268"/>
        <v>1398805.519700631</v>
      </c>
      <c r="X684" s="4">
        <f t="shared" si="272"/>
        <v>1266.2533325785771</v>
      </c>
      <c r="Y684" s="9">
        <f>SUM($X$6:X684)</f>
        <v>398805.51970063103</v>
      </c>
      <c r="Z684" s="16">
        <f t="shared" si="273"/>
        <v>0.39880551970063105</v>
      </c>
      <c r="AA684" s="16">
        <f t="shared" si="269"/>
        <v>0.55367014862261776</v>
      </c>
      <c r="AB684" s="16">
        <f t="shared" si="270"/>
        <v>9.0605921640351237E-4</v>
      </c>
      <c r="AC684" s="16">
        <f t="shared" si="271"/>
        <v>-7.1013427077764961E-4</v>
      </c>
    </row>
    <row r="685" spans="1:29" x14ac:dyDescent="0.15">
      <c r="A685" s="8">
        <v>41898</v>
      </c>
      <c r="B685" s="4">
        <v>1998.98</v>
      </c>
      <c r="C685" s="1">
        <v>11.8614</v>
      </c>
      <c r="D685" s="1">
        <v>1.97</v>
      </c>
      <c r="E685" s="1">
        <v>0.23699999999999999</v>
      </c>
      <c r="F685" s="4">
        <f t="shared" si="261"/>
        <v>0.118614</v>
      </c>
      <c r="G685" s="4">
        <f t="shared" si="262"/>
        <v>1.9699999999999999E-2</v>
      </c>
      <c r="H685" s="4">
        <f t="shared" si="263"/>
        <v>2.3699999999999997E-3</v>
      </c>
      <c r="I685" s="3">
        <f t="shared" si="264"/>
        <v>51.526427796980137</v>
      </c>
      <c r="J685" s="4">
        <f t="shared" si="274"/>
        <v>1399212.9104493475</v>
      </c>
      <c r="K685" s="1">
        <f t="shared" si="275"/>
        <v>1956.98</v>
      </c>
      <c r="L685" s="5">
        <f t="shared" si="276"/>
        <v>2.7397260273975448E-3</v>
      </c>
      <c r="M685" s="5">
        <f t="shared" si="277"/>
        <v>-3.1809996977408717E-4</v>
      </c>
      <c r="N685" s="5">
        <f t="shared" si="278"/>
        <v>1.0132745527251545E-3</v>
      </c>
      <c r="O685" s="1">
        <f t="shared" si="279"/>
        <v>1</v>
      </c>
      <c r="P685" s="1">
        <f t="shared" si="280"/>
        <v>1998.98</v>
      </c>
      <c r="Q685" s="5">
        <f t="shared" si="281"/>
        <v>0.24931506849315069</v>
      </c>
      <c r="R685" s="5">
        <f t="shared" si="282"/>
        <v>-0.51474996921219585</v>
      </c>
      <c r="S685" s="5">
        <f t="shared" si="265"/>
        <v>51.526427796980137</v>
      </c>
      <c r="T685" s="5">
        <f t="shared" si="266"/>
        <v>-699.96308295190659</v>
      </c>
      <c r="U685" s="4">
        <f t="shared" si="267"/>
        <v>1435346.538052181</v>
      </c>
      <c r="V685" s="4">
        <f t="shared" si="283"/>
        <v>23.162167422266698</v>
      </c>
      <c r="W685" s="4">
        <f t="shared" si="268"/>
        <v>1399279.940797908</v>
      </c>
      <c r="X685" s="4">
        <f t="shared" si="272"/>
        <v>474.42109727696516</v>
      </c>
      <c r="Y685" s="9">
        <f>SUM($X$6:X685)</f>
        <v>399279.940797908</v>
      </c>
      <c r="Z685" s="16">
        <f t="shared" si="273"/>
        <v>0.39927994079790802</v>
      </c>
      <c r="AA685" s="16">
        <f t="shared" si="269"/>
        <v>0.56529841980799655</v>
      </c>
      <c r="AB685" s="16">
        <f t="shared" si="270"/>
        <v>3.3916158507760224E-4</v>
      </c>
      <c r="AC685" s="16">
        <f t="shared" si="271"/>
        <v>7.484388623729246E-3</v>
      </c>
    </row>
    <row r="686" spans="1:29" x14ac:dyDescent="0.15">
      <c r="A686" s="8">
        <v>41899</v>
      </c>
      <c r="B686" s="4">
        <v>2001.57</v>
      </c>
      <c r="C686" s="1">
        <v>11.4747</v>
      </c>
      <c r="D686" s="1">
        <v>1.96</v>
      </c>
      <c r="E686" s="1">
        <v>0.23669999999999999</v>
      </c>
      <c r="F686" s="4">
        <f t="shared" si="261"/>
        <v>0.114747</v>
      </c>
      <c r="G686" s="4">
        <f t="shared" si="262"/>
        <v>1.9599999999999999E-2</v>
      </c>
      <c r="H686" s="4">
        <f t="shared" si="263"/>
        <v>2.3669999999999997E-3</v>
      </c>
      <c r="I686" s="3">
        <f t="shared" si="264"/>
        <v>50.035553071683154</v>
      </c>
      <c r="J686" s="4">
        <f t="shared" si="274"/>
        <v>1435346.538052181</v>
      </c>
      <c r="K686" s="1">
        <f t="shared" si="275"/>
        <v>1998.98</v>
      </c>
      <c r="L686" s="5">
        <f t="shared" si="276"/>
        <v>0.24657534246575344</v>
      </c>
      <c r="M686" s="5">
        <f t="shared" si="277"/>
        <v>-0.50686335484645517</v>
      </c>
      <c r="N686" s="5">
        <f t="shared" si="278"/>
        <v>48.347730612808832</v>
      </c>
      <c r="O686" s="1">
        <f t="shared" si="279"/>
        <v>0</v>
      </c>
      <c r="P686" s="1">
        <f t="shared" si="280"/>
        <v>1998.98</v>
      </c>
      <c r="Q686" s="5">
        <f t="shared" si="281"/>
        <v>0.24657534246575344</v>
      </c>
      <c r="R686" s="5">
        <f t="shared" si="282"/>
        <v>-0.50686335484645517</v>
      </c>
      <c r="S686" s="5">
        <f t="shared" si="265"/>
        <v>48.347730612808832</v>
      </c>
      <c r="T686" s="5">
        <f t="shared" si="266"/>
        <v>-699.96308295190659</v>
      </c>
      <c r="U686" s="4">
        <f t="shared" si="267"/>
        <v>1435369.7002196033</v>
      </c>
      <c r="V686" s="4">
        <f t="shared" si="283"/>
        <v>23.162541189845104</v>
      </c>
      <c r="W686" s="4">
        <f t="shared" si="268"/>
        <v>1401528.0736461333</v>
      </c>
      <c r="X686" s="4">
        <f t="shared" si="272"/>
        <v>2248.1328482253011</v>
      </c>
      <c r="Y686" s="9">
        <f>SUM($X$6:X686)</f>
        <v>401528.0736461333</v>
      </c>
      <c r="Z686" s="16">
        <f t="shared" si="273"/>
        <v>0.4015280736461333</v>
      </c>
      <c r="AA686" s="16">
        <f t="shared" si="269"/>
        <v>0.56732651559049696</v>
      </c>
      <c r="AB686" s="16">
        <f t="shared" si="270"/>
        <v>1.6066355149373141E-3</v>
      </c>
      <c r="AC686" s="16">
        <f t="shared" si="271"/>
        <v>1.2956607870013297E-3</v>
      </c>
    </row>
    <row r="687" spans="1:29" x14ac:dyDescent="0.15">
      <c r="A687" s="8">
        <v>41900</v>
      </c>
      <c r="B687" s="4">
        <v>2011.36</v>
      </c>
      <c r="C687" s="1">
        <v>11.1351</v>
      </c>
      <c r="D687" s="1">
        <v>1.96</v>
      </c>
      <c r="E687" s="1">
        <v>0.23569999999999999</v>
      </c>
      <c r="F687" s="4">
        <f t="shared" si="261"/>
        <v>0.11135099999999999</v>
      </c>
      <c r="G687" s="4">
        <f t="shared" si="262"/>
        <v>1.9599999999999999E-2</v>
      </c>
      <c r="H687" s="4">
        <f t="shared" si="263"/>
        <v>2.3569999999999997E-3</v>
      </c>
      <c r="I687" s="3">
        <f t="shared" si="264"/>
        <v>48.930550405960325</v>
      </c>
      <c r="J687" s="4">
        <f t="shared" si="274"/>
        <v>1435369.7002196033</v>
      </c>
      <c r="K687" s="1">
        <f t="shared" si="275"/>
        <v>1998.98</v>
      </c>
      <c r="L687" s="5">
        <f t="shared" si="276"/>
        <v>0.24383561643835619</v>
      </c>
      <c r="M687" s="5">
        <f t="shared" si="277"/>
        <v>-0.47249499111634646</v>
      </c>
      <c r="N687" s="5">
        <f t="shared" si="278"/>
        <v>41.920358689814222</v>
      </c>
      <c r="O687" s="1">
        <f t="shared" si="279"/>
        <v>0</v>
      </c>
      <c r="P687" s="1">
        <f t="shared" si="280"/>
        <v>1998.98</v>
      </c>
      <c r="Q687" s="5">
        <f t="shared" si="281"/>
        <v>0.24383561643835619</v>
      </c>
      <c r="R687" s="5">
        <f t="shared" si="282"/>
        <v>-0.47249499111634646</v>
      </c>
      <c r="S687" s="5">
        <f t="shared" si="265"/>
        <v>41.920358689814222</v>
      </c>
      <c r="T687" s="5">
        <f t="shared" si="266"/>
        <v>-699.96308295190659</v>
      </c>
      <c r="U687" s="4">
        <f t="shared" si="267"/>
        <v>1435392.8627607932</v>
      </c>
      <c r="V687" s="4">
        <f t="shared" si="283"/>
        <v>23.162914963454991</v>
      </c>
      <c r="W687" s="4">
        <f t="shared" si="268"/>
        <v>1406050.159253821</v>
      </c>
      <c r="X687" s="4">
        <f t="shared" si="272"/>
        <v>4522.0856076877099</v>
      </c>
      <c r="Y687" s="9">
        <f>SUM($X$6:X687)</f>
        <v>406050.15925382101</v>
      </c>
      <c r="Z687" s="16">
        <f t="shared" si="273"/>
        <v>0.40605015925382099</v>
      </c>
      <c r="AA687" s="16">
        <f t="shared" si="269"/>
        <v>0.57499256103863561</v>
      </c>
      <c r="AB687" s="16">
        <f t="shared" si="270"/>
        <v>3.2265394412851946E-3</v>
      </c>
      <c r="AC687" s="16">
        <f t="shared" si="271"/>
        <v>4.8911604390553236E-3</v>
      </c>
    </row>
    <row r="688" spans="1:29" x14ac:dyDescent="0.15">
      <c r="A688" s="8">
        <v>41901</v>
      </c>
      <c r="B688" s="4">
        <v>2010.4</v>
      </c>
      <c r="C688" s="1">
        <v>11.0589</v>
      </c>
      <c r="D688" s="1">
        <v>1.96</v>
      </c>
      <c r="E688" s="1">
        <v>0.23569999999999999</v>
      </c>
      <c r="F688" s="4">
        <f t="shared" si="261"/>
        <v>0.11058899999999999</v>
      </c>
      <c r="G688" s="4">
        <f t="shared" si="262"/>
        <v>1.9599999999999999E-2</v>
      </c>
      <c r="H688" s="4">
        <f t="shared" si="263"/>
        <v>2.3569999999999997E-3</v>
      </c>
      <c r="I688" s="3">
        <f t="shared" si="264"/>
        <v>48.603905578689776</v>
      </c>
      <c r="J688" s="4">
        <f t="shared" si="274"/>
        <v>1435392.8627607932</v>
      </c>
      <c r="K688" s="1">
        <f t="shared" si="275"/>
        <v>1998.98</v>
      </c>
      <c r="L688" s="5">
        <f t="shared" si="276"/>
        <v>0.24109589041095894</v>
      </c>
      <c r="M688" s="5">
        <f t="shared" si="277"/>
        <v>-0.47561697649587881</v>
      </c>
      <c r="N688" s="5">
        <f t="shared" si="278"/>
        <v>41.785584071301656</v>
      </c>
      <c r="O688" s="1">
        <f t="shared" si="279"/>
        <v>0</v>
      </c>
      <c r="P688" s="1">
        <f t="shared" si="280"/>
        <v>1998.98</v>
      </c>
      <c r="Q688" s="5">
        <f t="shared" si="281"/>
        <v>0.24109589041095894</v>
      </c>
      <c r="R688" s="5">
        <f t="shared" si="282"/>
        <v>-0.47561697649587881</v>
      </c>
      <c r="S688" s="5">
        <f t="shared" si="265"/>
        <v>41.785584071301656</v>
      </c>
      <c r="T688" s="5">
        <f t="shared" si="266"/>
        <v>-699.96308295190659</v>
      </c>
      <c r="U688" s="4">
        <f t="shared" si="267"/>
        <v>1435416.0256757566</v>
      </c>
      <c r="V688" s="4">
        <f t="shared" si="283"/>
        <v>23.163288743096455</v>
      </c>
      <c r="W688" s="4">
        <f t="shared" si="268"/>
        <v>1406167.6594262621</v>
      </c>
      <c r="X688" s="4">
        <f t="shared" si="272"/>
        <v>117.50017244112678</v>
      </c>
      <c r="Y688" s="9">
        <f>SUM($X$6:X688)</f>
        <v>406167.65942626214</v>
      </c>
      <c r="Z688" s="16">
        <f t="shared" si="273"/>
        <v>0.40616765942626215</v>
      </c>
      <c r="AA688" s="16">
        <f t="shared" si="269"/>
        <v>0.57424083441655061</v>
      </c>
      <c r="AB688" s="16">
        <f t="shared" si="270"/>
        <v>8.3567553879787001E-5</v>
      </c>
      <c r="AC688" s="16">
        <f t="shared" si="271"/>
        <v>-4.7728899848848989E-4</v>
      </c>
    </row>
    <row r="689" spans="1:29" x14ac:dyDescent="0.15">
      <c r="A689" s="8">
        <v>41904</v>
      </c>
      <c r="B689" s="4">
        <v>1994.29</v>
      </c>
      <c r="C689" s="1">
        <v>12.103400000000001</v>
      </c>
      <c r="D689" s="1">
        <v>1.97</v>
      </c>
      <c r="E689" s="1">
        <v>0.2382</v>
      </c>
      <c r="F689" s="4">
        <f t="shared" si="261"/>
        <v>0.121034</v>
      </c>
      <c r="G689" s="4">
        <f t="shared" si="262"/>
        <v>1.9699999999999999E-2</v>
      </c>
      <c r="H689" s="4">
        <f t="shared" si="263"/>
        <v>2.382E-3</v>
      </c>
      <c r="I689" s="3">
        <f t="shared" si="264"/>
        <v>52.358112116927728</v>
      </c>
      <c r="J689" s="4">
        <f t="shared" si="274"/>
        <v>1435416.0256757566</v>
      </c>
      <c r="K689" s="1">
        <f t="shared" si="275"/>
        <v>1998.98</v>
      </c>
      <c r="L689" s="5">
        <f t="shared" si="276"/>
        <v>0.23287671232876717</v>
      </c>
      <c r="M689" s="5">
        <f t="shared" si="277"/>
        <v>-0.52947099484710614</v>
      </c>
      <c r="N689" s="5">
        <f t="shared" si="278"/>
        <v>53.029802354918196</v>
      </c>
      <c r="O689" s="1">
        <f t="shared" si="279"/>
        <v>0</v>
      </c>
      <c r="P689" s="1">
        <f t="shared" si="280"/>
        <v>1998.98</v>
      </c>
      <c r="Q689" s="5">
        <f t="shared" si="281"/>
        <v>0.23287671232876717</v>
      </c>
      <c r="R689" s="5">
        <f t="shared" si="282"/>
        <v>-0.52947099484710614</v>
      </c>
      <c r="S689" s="5">
        <f t="shared" si="265"/>
        <v>53.029802354918196</v>
      </c>
      <c r="T689" s="5">
        <f t="shared" si="266"/>
        <v>-699.96308295190659</v>
      </c>
      <c r="U689" s="4">
        <f t="shared" si="267"/>
        <v>1435439.1889644996</v>
      </c>
      <c r="V689" s="4">
        <f t="shared" si="283"/>
        <v>69.490987586308776</v>
      </c>
      <c r="W689" s="4">
        <f t="shared" si="268"/>
        <v>1398320.2850198208</v>
      </c>
      <c r="X689" s="4">
        <f t="shared" si="272"/>
        <v>-7847.3744064413477</v>
      </c>
      <c r="Y689" s="9">
        <f>SUM($X$6:X689)</f>
        <v>398320.28501982079</v>
      </c>
      <c r="Z689" s="16">
        <f t="shared" si="273"/>
        <v>0.39832028501982081</v>
      </c>
      <c r="AA689" s="16">
        <f t="shared" si="269"/>
        <v>0.56162592203968498</v>
      </c>
      <c r="AB689" s="16">
        <f t="shared" si="270"/>
        <v>-5.580681900793534E-3</v>
      </c>
      <c r="AC689" s="16">
        <f t="shared" si="271"/>
        <v>-8.0133306804616635E-3</v>
      </c>
    </row>
    <row r="690" spans="1:29" x14ac:dyDescent="0.15">
      <c r="A690" s="8">
        <v>41905</v>
      </c>
      <c r="B690" s="4">
        <v>1982.77</v>
      </c>
      <c r="C690" s="1">
        <v>12.753500000000001</v>
      </c>
      <c r="D690" s="1">
        <v>1.98</v>
      </c>
      <c r="E690" s="1">
        <v>0.2366</v>
      </c>
      <c r="F690" s="4">
        <f t="shared" si="261"/>
        <v>0.12753500000000001</v>
      </c>
      <c r="G690" s="4">
        <f t="shared" si="262"/>
        <v>1.9799999999999998E-2</v>
      </c>
      <c r="H690" s="4">
        <f t="shared" si="263"/>
        <v>2.366E-3</v>
      </c>
      <c r="I690" s="3">
        <f t="shared" si="264"/>
        <v>54.638411803786113</v>
      </c>
      <c r="J690" s="4">
        <f t="shared" si="274"/>
        <v>1435439.1889644996</v>
      </c>
      <c r="K690" s="1">
        <f t="shared" si="275"/>
        <v>1998.98</v>
      </c>
      <c r="L690" s="5">
        <f t="shared" si="276"/>
        <v>0.23013698630136992</v>
      </c>
      <c r="M690" s="5">
        <f t="shared" si="277"/>
        <v>-0.56415905546826095</v>
      </c>
      <c r="N690" s="5">
        <f t="shared" si="278"/>
        <v>61.483443629943949</v>
      </c>
      <c r="O690" s="1">
        <f t="shared" si="279"/>
        <v>0</v>
      </c>
      <c r="P690" s="1">
        <f t="shared" si="280"/>
        <v>1998.98</v>
      </c>
      <c r="Q690" s="5">
        <f t="shared" si="281"/>
        <v>0.23013698630136992</v>
      </c>
      <c r="R690" s="5">
        <f t="shared" si="282"/>
        <v>-0.56415905546826095</v>
      </c>
      <c r="S690" s="5">
        <f t="shared" si="265"/>
        <v>61.483443629943949</v>
      </c>
      <c r="T690" s="5">
        <f t="shared" si="266"/>
        <v>-699.96308295190659</v>
      </c>
      <c r="U690" s="4">
        <f t="shared" si="267"/>
        <v>1435508.6799520859</v>
      </c>
      <c r="V690" s="4">
        <f t="shared" si="283"/>
        <v>23.164783903884341</v>
      </c>
      <c r="W690" s="4">
        <f t="shared" si="268"/>
        <v>1392472.5391983707</v>
      </c>
      <c r="X690" s="4">
        <f t="shared" si="272"/>
        <v>-5847.7458214501385</v>
      </c>
      <c r="Y690" s="9">
        <f>SUM($X$6:X690)</f>
        <v>392472.53919837065</v>
      </c>
      <c r="Z690" s="16">
        <f t="shared" si="273"/>
        <v>0.39247253919837066</v>
      </c>
      <c r="AA690" s="16">
        <f t="shared" si="269"/>
        <v>0.55260520257466372</v>
      </c>
      <c r="AB690" s="16">
        <f t="shared" si="270"/>
        <v>-4.1819788242342835E-3</v>
      </c>
      <c r="AC690" s="16">
        <f t="shared" si="271"/>
        <v>-5.7764918843297526E-3</v>
      </c>
    </row>
    <row r="691" spans="1:29" x14ac:dyDescent="0.15">
      <c r="A691" s="8">
        <v>41906</v>
      </c>
      <c r="B691" s="4">
        <v>1998.3</v>
      </c>
      <c r="C691" s="1">
        <v>12.0116</v>
      </c>
      <c r="D691" s="1">
        <v>1.97</v>
      </c>
      <c r="E691" s="1">
        <v>0.23760000000000001</v>
      </c>
      <c r="F691" s="4">
        <f t="shared" si="261"/>
        <v>0.120116</v>
      </c>
      <c r="G691" s="4">
        <f t="shared" si="262"/>
        <v>1.9699999999999999E-2</v>
      </c>
      <c r="H691" s="4">
        <f t="shared" si="263"/>
        <v>2.3760000000000001E-3</v>
      </c>
      <c r="I691" s="3">
        <f t="shared" si="264"/>
        <v>52.101694722764421</v>
      </c>
      <c r="J691" s="4">
        <f t="shared" si="274"/>
        <v>1435508.6799520859</v>
      </c>
      <c r="K691" s="1">
        <f t="shared" si="275"/>
        <v>1998.98</v>
      </c>
      <c r="L691" s="5">
        <f t="shared" si="276"/>
        <v>0.22739726027397267</v>
      </c>
      <c r="M691" s="5">
        <f t="shared" si="277"/>
        <v>-0.51605858597756982</v>
      </c>
      <c r="N691" s="5">
        <f t="shared" si="278"/>
        <v>49.943215441286512</v>
      </c>
      <c r="O691" s="1">
        <f t="shared" si="279"/>
        <v>0</v>
      </c>
      <c r="P691" s="1">
        <f t="shared" si="280"/>
        <v>1998.98</v>
      </c>
      <c r="Q691" s="5">
        <f t="shared" si="281"/>
        <v>0.22739726027397267</v>
      </c>
      <c r="R691" s="5">
        <f t="shared" si="282"/>
        <v>-0.51605858597756982</v>
      </c>
      <c r="S691" s="5">
        <f t="shared" si="265"/>
        <v>49.943215441286512</v>
      </c>
      <c r="T691" s="5">
        <f t="shared" si="266"/>
        <v>-699.96308295190659</v>
      </c>
      <c r="U691" s="4">
        <f t="shared" si="267"/>
        <v>1435531.8447359898</v>
      </c>
      <c r="V691" s="4">
        <f t="shared" si="283"/>
        <v>23.165157713684874</v>
      </c>
      <c r="W691" s="4">
        <f t="shared" si="268"/>
        <v>1400573.4376831756</v>
      </c>
      <c r="X691" s="4">
        <f t="shared" si="272"/>
        <v>8100.8984848049004</v>
      </c>
      <c r="Y691" s="9">
        <f>SUM($X$6:X691)</f>
        <v>400573.43768317555</v>
      </c>
      <c r="Z691" s="16">
        <f t="shared" si="273"/>
        <v>0.40057343768317555</v>
      </c>
      <c r="AA691" s="16">
        <f t="shared" si="269"/>
        <v>0.56476594678401959</v>
      </c>
      <c r="AB691" s="16">
        <f t="shared" si="270"/>
        <v>5.8176360802551178E-3</v>
      </c>
      <c r="AC691" s="16">
        <f t="shared" si="271"/>
        <v>7.8324767875245106E-3</v>
      </c>
    </row>
    <row r="692" spans="1:29" x14ac:dyDescent="0.15">
      <c r="A692" s="8">
        <v>41907</v>
      </c>
      <c r="B692" s="4">
        <v>1965.99</v>
      </c>
      <c r="C692" s="1">
        <v>13.450200000000001</v>
      </c>
      <c r="D692" s="1">
        <v>2</v>
      </c>
      <c r="E692" s="1">
        <v>0.23619999999999999</v>
      </c>
      <c r="F692" s="4">
        <f t="shared" si="261"/>
        <v>0.13450200000000001</v>
      </c>
      <c r="G692" s="4">
        <f t="shared" si="262"/>
        <v>0.02</v>
      </c>
      <c r="H692" s="4">
        <f t="shared" si="263"/>
        <v>2.362E-3</v>
      </c>
      <c r="I692" s="3">
        <f t="shared" si="264"/>
        <v>56.940504755561065</v>
      </c>
      <c r="J692" s="4">
        <f t="shared" si="274"/>
        <v>1435531.8447359898</v>
      </c>
      <c r="K692" s="1">
        <f t="shared" si="275"/>
        <v>1998.98</v>
      </c>
      <c r="L692" s="5">
        <f t="shared" si="276"/>
        <v>0.22465753424657542</v>
      </c>
      <c r="M692" s="5">
        <f t="shared" si="277"/>
        <v>-0.61183827010136238</v>
      </c>
      <c r="N692" s="5">
        <f t="shared" si="278"/>
        <v>73.260869717257478</v>
      </c>
      <c r="O692" s="1">
        <f t="shared" si="279"/>
        <v>0</v>
      </c>
      <c r="P692" s="1">
        <f t="shared" si="280"/>
        <v>1998.98</v>
      </c>
      <c r="Q692" s="5">
        <f t="shared" si="281"/>
        <v>0.22465753424657542</v>
      </c>
      <c r="R692" s="5">
        <f t="shared" si="282"/>
        <v>-0.61183827010136238</v>
      </c>
      <c r="S692" s="5">
        <f t="shared" si="265"/>
        <v>73.260869717257478</v>
      </c>
      <c r="T692" s="5">
        <f t="shared" si="266"/>
        <v>-699.96308295190659</v>
      </c>
      <c r="U692" s="4">
        <f t="shared" si="267"/>
        <v>1435555.0098937035</v>
      </c>
      <c r="V692" s="4">
        <f t="shared" si="283"/>
        <v>23.165531529517569</v>
      </c>
      <c r="W692" s="4">
        <f t="shared" si="268"/>
        <v>1384275.105666674</v>
      </c>
      <c r="X692" s="4">
        <f t="shared" si="272"/>
        <v>-16298.332016501576</v>
      </c>
      <c r="Y692" s="9">
        <f>SUM($X$6:X692)</f>
        <v>384275.10566667398</v>
      </c>
      <c r="Z692" s="16">
        <f t="shared" si="273"/>
        <v>0.384275105666674</v>
      </c>
      <c r="AA692" s="16">
        <f t="shared" si="269"/>
        <v>0.53946564765946792</v>
      </c>
      <c r="AB692" s="16">
        <f t="shared" si="270"/>
        <v>-1.1636899271388602E-2</v>
      </c>
      <c r="AC692" s="16">
        <f t="shared" si="271"/>
        <v>-1.6168743431917102E-2</v>
      </c>
    </row>
    <row r="693" spans="1:29" x14ac:dyDescent="0.15">
      <c r="A693" s="8">
        <v>41908</v>
      </c>
      <c r="B693" s="4">
        <v>1982.85</v>
      </c>
      <c r="C693" s="1">
        <v>12.8973</v>
      </c>
      <c r="D693" s="1">
        <v>1.98</v>
      </c>
      <c r="E693" s="1">
        <v>0.23830000000000001</v>
      </c>
      <c r="F693" s="4">
        <f t="shared" si="261"/>
        <v>0.128973</v>
      </c>
      <c r="G693" s="4">
        <f t="shared" si="262"/>
        <v>1.9799999999999998E-2</v>
      </c>
      <c r="H693" s="4">
        <f t="shared" si="263"/>
        <v>2.3830000000000001E-3</v>
      </c>
      <c r="I693" s="3">
        <f t="shared" si="264"/>
        <v>55.200903374459855</v>
      </c>
      <c r="J693" s="4">
        <f t="shared" si="274"/>
        <v>1435555.0098937035</v>
      </c>
      <c r="K693" s="1">
        <f t="shared" si="275"/>
        <v>1998.98</v>
      </c>
      <c r="L693" s="5">
        <f t="shared" si="276"/>
        <v>0.22191780821917817</v>
      </c>
      <c r="M693" s="5">
        <f t="shared" si="277"/>
        <v>-0.56367030146632058</v>
      </c>
      <c r="N693" s="5">
        <f t="shared" si="278"/>
        <v>60.94477847433788</v>
      </c>
      <c r="O693" s="1">
        <f t="shared" si="279"/>
        <v>0</v>
      </c>
      <c r="P693" s="1">
        <f t="shared" si="280"/>
        <v>1998.98</v>
      </c>
      <c r="Q693" s="5">
        <f t="shared" si="281"/>
        <v>0.22191780821917817</v>
      </c>
      <c r="R693" s="5">
        <f t="shared" si="282"/>
        <v>-0.56367030146632058</v>
      </c>
      <c r="S693" s="5">
        <f t="shared" si="265"/>
        <v>60.94477847433788</v>
      </c>
      <c r="T693" s="5">
        <f t="shared" si="266"/>
        <v>-699.96308295190659</v>
      </c>
      <c r="U693" s="4">
        <f t="shared" si="267"/>
        <v>1435578.1754252331</v>
      </c>
      <c r="V693" s="4">
        <f t="shared" si="283"/>
        <v>23.165905351382523</v>
      </c>
      <c r="W693" s="4">
        <f t="shared" si="268"/>
        <v>1392919.0803945146</v>
      </c>
      <c r="X693" s="4">
        <f t="shared" si="272"/>
        <v>8643.9747278406285</v>
      </c>
      <c r="Y693" s="9">
        <f>SUM($X$6:X693)</f>
        <v>392919.0803945146</v>
      </c>
      <c r="Z693" s="16">
        <f t="shared" si="273"/>
        <v>0.39291908039451462</v>
      </c>
      <c r="AA693" s="16">
        <f t="shared" si="269"/>
        <v>0.55266784645983746</v>
      </c>
      <c r="AB693" s="16">
        <f t="shared" si="270"/>
        <v>6.2444052431887415E-3</v>
      </c>
      <c r="AC693" s="16">
        <f t="shared" si="271"/>
        <v>8.5758320235605982E-3</v>
      </c>
    </row>
    <row r="694" spans="1:29" x14ac:dyDescent="0.15">
      <c r="A694" s="8">
        <v>41911</v>
      </c>
      <c r="B694" s="4">
        <v>1977.8</v>
      </c>
      <c r="C694" s="1">
        <v>13.548400000000001</v>
      </c>
      <c r="D694" s="1">
        <v>1.99</v>
      </c>
      <c r="E694" s="1">
        <v>0.24030000000000001</v>
      </c>
      <c r="F694" s="4">
        <f t="shared" si="261"/>
        <v>0.13548400000000002</v>
      </c>
      <c r="G694" s="4">
        <f t="shared" si="262"/>
        <v>1.9900000000000001E-2</v>
      </c>
      <c r="H694" s="4">
        <f t="shared" si="263"/>
        <v>2.4030000000000002E-3</v>
      </c>
      <c r="I694" s="3">
        <f t="shared" si="264"/>
        <v>57.631287746588377</v>
      </c>
      <c r="J694" s="4">
        <f t="shared" si="274"/>
        <v>1435578.1754252331</v>
      </c>
      <c r="K694" s="1">
        <f t="shared" si="275"/>
        <v>1998.98</v>
      </c>
      <c r="L694" s="5">
        <f t="shared" si="276"/>
        <v>0.21369863013698639</v>
      </c>
      <c r="M694" s="5">
        <f t="shared" si="277"/>
        <v>-0.5762016356617905</v>
      </c>
      <c r="N694" s="5">
        <f t="shared" si="278"/>
        <v>65.131759878188376</v>
      </c>
      <c r="O694" s="1">
        <f t="shared" si="279"/>
        <v>0</v>
      </c>
      <c r="P694" s="1">
        <f t="shared" si="280"/>
        <v>1998.98</v>
      </c>
      <c r="Q694" s="5">
        <f t="shared" si="281"/>
        <v>0.21369863013698639</v>
      </c>
      <c r="R694" s="5">
        <f t="shared" si="282"/>
        <v>-0.5762016356617905</v>
      </c>
      <c r="S694" s="5">
        <f t="shared" si="265"/>
        <v>65.131759878188376</v>
      </c>
      <c r="T694" s="5">
        <f t="shared" si="266"/>
        <v>-699.96308295190659</v>
      </c>
      <c r="U694" s="4">
        <f t="shared" si="267"/>
        <v>1435601.3413305844</v>
      </c>
      <c r="V694" s="4">
        <f t="shared" si="283"/>
        <v>69.49883753783952</v>
      </c>
      <c r="W694" s="4">
        <f t="shared" si="268"/>
        <v>1390011.5138881644</v>
      </c>
      <c r="X694" s="4">
        <f t="shared" si="272"/>
        <v>-2907.5665063501801</v>
      </c>
      <c r="Y694" s="9">
        <f>SUM($X$6:X694)</f>
        <v>390011.51388816442</v>
      </c>
      <c r="Z694" s="16">
        <f t="shared" si="273"/>
        <v>0.39001151388816441</v>
      </c>
      <c r="AA694" s="16">
        <f t="shared" si="269"/>
        <v>0.548713451208244</v>
      </c>
      <c r="AB694" s="16">
        <f t="shared" si="270"/>
        <v>-2.0873908235406425E-3</v>
      </c>
      <c r="AC694" s="16">
        <f t="shared" si="271"/>
        <v>-2.5468391456741329E-3</v>
      </c>
    </row>
    <row r="695" spans="1:29" x14ac:dyDescent="0.15">
      <c r="A695" s="8">
        <v>41912</v>
      </c>
      <c r="B695" s="4">
        <v>1972.29</v>
      </c>
      <c r="C695" s="1">
        <v>13.9229</v>
      </c>
      <c r="D695" s="1">
        <v>1.99</v>
      </c>
      <c r="E695" s="1">
        <v>0.24030000000000001</v>
      </c>
      <c r="F695" s="4">
        <f t="shared" si="261"/>
        <v>0.13922899999999999</v>
      </c>
      <c r="G695" s="4">
        <f t="shared" si="262"/>
        <v>1.9900000000000001E-2</v>
      </c>
      <c r="H695" s="4">
        <f t="shared" si="263"/>
        <v>2.4030000000000002E-3</v>
      </c>
      <c r="I695" s="3">
        <f t="shared" si="264"/>
        <v>58.934139529730487</v>
      </c>
      <c r="J695" s="4">
        <f t="shared" si="274"/>
        <v>1435601.3413305844</v>
      </c>
      <c r="K695" s="1">
        <f t="shared" si="275"/>
        <v>1998.98</v>
      </c>
      <c r="L695" s="5">
        <f t="shared" si="276"/>
        <v>0.21095890410958915</v>
      </c>
      <c r="M695" s="5">
        <f t="shared" si="277"/>
        <v>-0.59077659750098011</v>
      </c>
      <c r="N695" s="5">
        <f t="shared" si="278"/>
        <v>69.301689905546638</v>
      </c>
      <c r="O695" s="1">
        <f t="shared" si="279"/>
        <v>0</v>
      </c>
      <c r="P695" s="1">
        <f t="shared" si="280"/>
        <v>1998.98</v>
      </c>
      <c r="Q695" s="5">
        <f t="shared" si="281"/>
        <v>0.21095890410958915</v>
      </c>
      <c r="R695" s="5">
        <f t="shared" si="282"/>
        <v>-0.59077659750098011</v>
      </c>
      <c r="S695" s="5">
        <f t="shared" si="265"/>
        <v>69.301689905546638</v>
      </c>
      <c r="T695" s="5">
        <f t="shared" si="266"/>
        <v>-699.96308295190659</v>
      </c>
      <c r="U695" s="4">
        <f t="shared" si="267"/>
        <v>1435670.8401681222</v>
      </c>
      <c r="V695" s="4">
        <f t="shared" si="283"/>
        <v>23.16740068106915</v>
      </c>
      <c r="W695" s="4">
        <f t="shared" si="268"/>
        <v>1387162.2156480588</v>
      </c>
      <c r="X695" s="4">
        <f t="shared" si="272"/>
        <v>-2849.2982401056215</v>
      </c>
      <c r="Y695" s="9">
        <f>SUM($X$6:X695)</f>
        <v>387162.2156480588</v>
      </c>
      <c r="Z695" s="16">
        <f t="shared" si="273"/>
        <v>0.38716221564805881</v>
      </c>
      <c r="AA695" s="16">
        <f t="shared" si="269"/>
        <v>0.54439885361690132</v>
      </c>
      <c r="AB695" s="16">
        <f t="shared" si="270"/>
        <v>-2.0498378694256388E-3</v>
      </c>
      <c r="AC695" s="16">
        <f t="shared" si="271"/>
        <v>-2.7859237536656846E-3</v>
      </c>
    </row>
    <row r="696" spans="1:29" x14ac:dyDescent="0.15">
      <c r="A696" s="8">
        <v>41913</v>
      </c>
      <c r="B696" s="4">
        <v>1946.16</v>
      </c>
      <c r="C696" s="1">
        <v>14.7979</v>
      </c>
      <c r="D696" s="1">
        <v>2.0299999999999998</v>
      </c>
      <c r="E696" s="1">
        <v>0.23769999999999999</v>
      </c>
      <c r="F696" s="4">
        <f t="shared" si="261"/>
        <v>0.147979</v>
      </c>
      <c r="G696" s="4">
        <f t="shared" si="262"/>
        <v>2.0299999999999999E-2</v>
      </c>
      <c r="H696" s="4">
        <f t="shared" si="263"/>
        <v>2.3769999999999998E-3</v>
      </c>
      <c r="I696" s="3">
        <f t="shared" si="264"/>
        <v>61.632720456767252</v>
      </c>
      <c r="J696" s="4">
        <f t="shared" si="274"/>
        <v>1435670.8401681222</v>
      </c>
      <c r="K696" s="1">
        <f t="shared" si="275"/>
        <v>1998.98</v>
      </c>
      <c r="L696" s="5">
        <f t="shared" si="276"/>
        <v>0.2082191780821919</v>
      </c>
      <c r="M696" s="5">
        <f t="shared" si="277"/>
        <v>-0.65926539455588518</v>
      </c>
      <c r="N696" s="5">
        <f t="shared" si="278"/>
        <v>88.341642069821887</v>
      </c>
      <c r="O696" s="1">
        <f t="shared" si="279"/>
        <v>0</v>
      </c>
      <c r="P696" s="1">
        <f t="shared" si="280"/>
        <v>1998.98</v>
      </c>
      <c r="Q696" s="5">
        <f t="shared" si="281"/>
        <v>0.2082191780821919</v>
      </c>
      <c r="R696" s="5">
        <f t="shared" si="282"/>
        <v>-0.65926539455588518</v>
      </c>
      <c r="S696" s="5">
        <f t="shared" si="265"/>
        <v>88.341642069821887</v>
      </c>
      <c r="T696" s="5">
        <f t="shared" si="266"/>
        <v>-699.96308295190659</v>
      </c>
      <c r="U696" s="4">
        <f t="shared" si="267"/>
        <v>1435694.0075688034</v>
      </c>
      <c r="V696" s="4">
        <f t="shared" si="283"/>
        <v>23.16777453309658</v>
      </c>
      <c r="W696" s="4">
        <f t="shared" si="268"/>
        <v>1373858.1194325769</v>
      </c>
      <c r="X696" s="4">
        <f t="shared" si="272"/>
        <v>-13304.09621548187</v>
      </c>
      <c r="Y696" s="9">
        <f>SUM($X$6:X696)</f>
        <v>373858.11943257693</v>
      </c>
      <c r="Z696" s="16">
        <f t="shared" si="273"/>
        <v>0.37385811943257691</v>
      </c>
      <c r="AA696" s="16">
        <f t="shared" si="269"/>
        <v>0.52393779462202261</v>
      </c>
      <c r="AB696" s="16">
        <f t="shared" si="270"/>
        <v>-9.5908726934768908E-3</v>
      </c>
      <c r="AC696" s="16">
        <f t="shared" si="271"/>
        <v>-1.3248558781923492E-2</v>
      </c>
    </row>
    <row r="697" spans="1:29" x14ac:dyDescent="0.15">
      <c r="A697" s="8">
        <v>41914</v>
      </c>
      <c r="B697" s="4">
        <v>1946.17</v>
      </c>
      <c r="C697" s="1">
        <v>14.4237</v>
      </c>
      <c r="D697" s="1">
        <v>2.0299999999999998</v>
      </c>
      <c r="E697" s="1">
        <v>0.23630000000000001</v>
      </c>
      <c r="F697" s="4">
        <f t="shared" si="261"/>
        <v>0.144237</v>
      </c>
      <c r="G697" s="4">
        <f t="shared" si="262"/>
        <v>2.0299999999999999E-2</v>
      </c>
      <c r="H697" s="4">
        <f t="shared" si="263"/>
        <v>2.3630000000000001E-3</v>
      </c>
      <c r="I697" s="3">
        <f t="shared" si="264"/>
        <v>60.193792743811542</v>
      </c>
      <c r="J697" s="4">
        <f t="shared" si="274"/>
        <v>1435694.0075688034</v>
      </c>
      <c r="K697" s="1">
        <f t="shared" si="275"/>
        <v>1998.98</v>
      </c>
      <c r="L697" s="5">
        <f t="shared" si="276"/>
        <v>0.20547945205479465</v>
      </c>
      <c r="M697" s="5">
        <f t="shared" si="277"/>
        <v>-0.66477714234894059</v>
      </c>
      <c r="N697" s="5">
        <f t="shared" si="278"/>
        <v>86.763603805900715</v>
      </c>
      <c r="O697" s="1">
        <f t="shared" si="279"/>
        <v>0</v>
      </c>
      <c r="P697" s="1">
        <f t="shared" si="280"/>
        <v>1998.98</v>
      </c>
      <c r="Q697" s="5">
        <f t="shared" si="281"/>
        <v>0.20547945205479465</v>
      </c>
      <c r="R697" s="5">
        <f t="shared" si="282"/>
        <v>-0.66477714234894059</v>
      </c>
      <c r="S697" s="5">
        <f t="shared" si="265"/>
        <v>86.763603805900715</v>
      </c>
      <c r="T697" s="5">
        <f t="shared" si="266"/>
        <v>-699.96308295190659</v>
      </c>
      <c r="U697" s="4">
        <f t="shared" si="267"/>
        <v>1435717.1753433365</v>
      </c>
      <c r="V697" s="4">
        <f t="shared" si="283"/>
        <v>23.168148391156855</v>
      </c>
      <c r="W697" s="4">
        <f t="shared" si="268"/>
        <v>1374985.8557353404</v>
      </c>
      <c r="X697" s="4">
        <f t="shared" si="272"/>
        <v>1127.7363027634565</v>
      </c>
      <c r="Y697" s="9">
        <f>SUM($X$6:X697)</f>
        <v>374985.85573534039</v>
      </c>
      <c r="Z697" s="16">
        <f t="shared" si="273"/>
        <v>0.37498585573534038</v>
      </c>
      <c r="AA697" s="16">
        <f t="shared" si="269"/>
        <v>0.52394562510766929</v>
      </c>
      <c r="AB697" s="16">
        <f t="shared" si="270"/>
        <v>8.2085354143354174E-4</v>
      </c>
      <c r="AC697" s="16">
        <f t="shared" si="271"/>
        <v>5.1383236732801538E-6</v>
      </c>
    </row>
    <row r="698" spans="1:29" x14ac:dyDescent="0.15">
      <c r="A698" s="8">
        <v>41915</v>
      </c>
      <c r="B698" s="4">
        <v>1967.9</v>
      </c>
      <c r="C698" s="1">
        <v>13.3207</v>
      </c>
      <c r="D698" s="1">
        <v>2.0099999999999998</v>
      </c>
      <c r="E698" s="1">
        <v>0.23669999999999999</v>
      </c>
      <c r="F698" s="4">
        <f t="shared" si="261"/>
        <v>0.13320699999999999</v>
      </c>
      <c r="G698" s="4">
        <f t="shared" si="262"/>
        <v>2.0099999999999996E-2</v>
      </c>
      <c r="H698" s="4">
        <f t="shared" si="263"/>
        <v>2.3669999999999997E-3</v>
      </c>
      <c r="I698" s="3">
        <f t="shared" si="264"/>
        <v>56.514701059768669</v>
      </c>
      <c r="J698" s="4">
        <f t="shared" si="274"/>
        <v>1435717.1753433365</v>
      </c>
      <c r="K698" s="1">
        <f t="shared" si="275"/>
        <v>1998.98</v>
      </c>
      <c r="L698" s="5">
        <f t="shared" si="276"/>
        <v>0.2027397260273974</v>
      </c>
      <c r="M698" s="5">
        <f t="shared" si="277"/>
        <v>-0.61205638954640973</v>
      </c>
      <c r="N698" s="5">
        <f t="shared" si="278"/>
        <v>68.828157044257736</v>
      </c>
      <c r="O698" s="1">
        <f t="shared" si="279"/>
        <v>0</v>
      </c>
      <c r="P698" s="1">
        <f t="shared" si="280"/>
        <v>1998.98</v>
      </c>
      <c r="Q698" s="5">
        <f t="shared" si="281"/>
        <v>0.2027397260273974</v>
      </c>
      <c r="R698" s="5">
        <f t="shared" si="282"/>
        <v>-0.61205638954640973</v>
      </c>
      <c r="S698" s="5">
        <f t="shared" si="265"/>
        <v>68.828157044257736</v>
      </c>
      <c r="T698" s="5">
        <f t="shared" si="266"/>
        <v>-699.96308295190659</v>
      </c>
      <c r="U698" s="4">
        <f t="shared" si="267"/>
        <v>1435740.3434917277</v>
      </c>
      <c r="V698" s="4">
        <f t="shared" si="283"/>
        <v>23.168522255250071</v>
      </c>
      <c r="W698" s="4">
        <f t="shared" si="268"/>
        <v>1387563.174493131</v>
      </c>
      <c r="X698" s="4">
        <f t="shared" si="272"/>
        <v>12577.318757790606</v>
      </c>
      <c r="Y698" s="9">
        <f>SUM($X$6:X698)</f>
        <v>387563.17449313099</v>
      </c>
      <c r="Z698" s="16">
        <f t="shared" si="273"/>
        <v>0.38756317449313099</v>
      </c>
      <c r="AA698" s="16">
        <f t="shared" si="269"/>
        <v>0.54096127041799147</v>
      </c>
      <c r="AB698" s="16">
        <f t="shared" si="270"/>
        <v>9.1472350099661755E-3</v>
      </c>
      <c r="AC698" s="16">
        <f t="shared" si="271"/>
        <v>1.1165519969992353E-2</v>
      </c>
    </row>
    <row r="699" spans="1:29" x14ac:dyDescent="0.15">
      <c r="A699" s="8">
        <v>41918</v>
      </c>
      <c r="B699" s="4">
        <v>1964.82</v>
      </c>
      <c r="C699" s="1">
        <v>13.7446</v>
      </c>
      <c r="D699" s="1">
        <v>2.0099999999999998</v>
      </c>
      <c r="E699" s="1">
        <v>0.23780000000000001</v>
      </c>
      <c r="F699" s="4">
        <f t="shared" si="261"/>
        <v>0.13744600000000001</v>
      </c>
      <c r="G699" s="4">
        <f t="shared" si="262"/>
        <v>2.0099999999999996E-2</v>
      </c>
      <c r="H699" s="4">
        <f t="shared" si="263"/>
        <v>2.3779999999999999E-3</v>
      </c>
      <c r="I699" s="3">
        <f t="shared" si="264"/>
        <v>58.073316015396244</v>
      </c>
      <c r="J699" s="4">
        <f t="shared" si="274"/>
        <v>1435740.3434917277</v>
      </c>
      <c r="K699" s="1">
        <f t="shared" si="275"/>
        <v>1998.98</v>
      </c>
      <c r="L699" s="5">
        <f t="shared" si="276"/>
        <v>0.19452054794520562</v>
      </c>
      <c r="M699" s="5">
        <f t="shared" si="277"/>
        <v>-0.6196318242879657</v>
      </c>
      <c r="N699" s="5">
        <f t="shared" si="278"/>
        <v>71.025927659871101</v>
      </c>
      <c r="O699" s="1">
        <f t="shared" si="279"/>
        <v>0</v>
      </c>
      <c r="P699" s="1">
        <f t="shared" si="280"/>
        <v>1998.98</v>
      </c>
      <c r="Q699" s="5">
        <f t="shared" si="281"/>
        <v>0.19452054794520562</v>
      </c>
      <c r="R699" s="5">
        <f t="shared" si="282"/>
        <v>-0.6196318242879657</v>
      </c>
      <c r="S699" s="5">
        <f t="shared" si="265"/>
        <v>71.025927659871101</v>
      </c>
      <c r="T699" s="5">
        <f t="shared" si="266"/>
        <v>-699.96308295190659</v>
      </c>
      <c r="U699" s="4">
        <f t="shared" si="267"/>
        <v>1435763.512013983</v>
      </c>
      <c r="V699" s="4">
        <f t="shared" si="283"/>
        <v>69.506688376128977</v>
      </c>
      <c r="W699" s="4">
        <f t="shared" si="268"/>
        <v>1386047.9847196606</v>
      </c>
      <c r="X699" s="4">
        <f t="shared" si="272"/>
        <v>-1515.1897734703962</v>
      </c>
      <c r="Y699" s="9">
        <f>SUM($X$6:X699)</f>
        <v>386047.9847196606</v>
      </c>
      <c r="Z699" s="16">
        <f t="shared" si="273"/>
        <v>0.38604798471966062</v>
      </c>
      <c r="AA699" s="16">
        <f t="shared" si="269"/>
        <v>0.53854948083880161</v>
      </c>
      <c r="AB699" s="16">
        <f t="shared" si="270"/>
        <v>-1.0919789464893276E-3</v>
      </c>
      <c r="AC699" s="16">
        <f t="shared" si="271"/>
        <v>-1.5651201788709562E-3</v>
      </c>
    </row>
    <row r="700" spans="1:29" x14ac:dyDescent="0.15">
      <c r="A700" s="8">
        <v>41919</v>
      </c>
      <c r="B700" s="4">
        <v>1935.1</v>
      </c>
      <c r="C700" s="1">
        <v>14.8993</v>
      </c>
      <c r="D700" s="1">
        <v>2.0499999999999998</v>
      </c>
      <c r="E700" s="1">
        <v>0.23619999999999999</v>
      </c>
      <c r="F700" s="4">
        <f t="shared" si="261"/>
        <v>0.14899300000000001</v>
      </c>
      <c r="G700" s="4">
        <f t="shared" si="262"/>
        <v>2.0499999999999997E-2</v>
      </c>
      <c r="H700" s="4">
        <f t="shared" si="263"/>
        <v>2.362E-3</v>
      </c>
      <c r="I700" s="3">
        <f t="shared" si="264"/>
        <v>61.724035922859841</v>
      </c>
      <c r="J700" s="4">
        <f t="shared" si="274"/>
        <v>1435763.512013983</v>
      </c>
      <c r="K700" s="1">
        <f t="shared" si="275"/>
        <v>1998.98</v>
      </c>
      <c r="L700" s="5">
        <f t="shared" si="276"/>
        <v>0.19178082191780838</v>
      </c>
      <c r="M700" s="5">
        <f t="shared" si="277"/>
        <v>-0.69518920612474722</v>
      </c>
      <c r="N700" s="5">
        <f t="shared" si="278"/>
        <v>93.929003813670818</v>
      </c>
      <c r="O700" s="1">
        <f t="shared" si="279"/>
        <v>0</v>
      </c>
      <c r="P700" s="1">
        <f t="shared" si="280"/>
        <v>1998.98</v>
      </c>
      <c r="Q700" s="5">
        <f t="shared" si="281"/>
        <v>0.19178082191780838</v>
      </c>
      <c r="R700" s="5">
        <f t="shared" si="282"/>
        <v>-0.69518920612474722</v>
      </c>
      <c r="S700" s="5">
        <f t="shared" si="265"/>
        <v>93.929003813670818</v>
      </c>
      <c r="T700" s="5">
        <f t="shared" si="266"/>
        <v>-699.96308295190659</v>
      </c>
      <c r="U700" s="4">
        <f t="shared" si="267"/>
        <v>1435833.0187023592</v>
      </c>
      <c r="V700" s="4">
        <f t="shared" si="283"/>
        <v>23.170017753854506</v>
      </c>
      <c r="W700" s="4">
        <f t="shared" si="268"/>
        <v>1370086.1836143408</v>
      </c>
      <c r="X700" s="4">
        <f t="shared" si="272"/>
        <v>-15961.801105319755</v>
      </c>
      <c r="Y700" s="9">
        <f>SUM($X$6:X700)</f>
        <v>370086.18361434084</v>
      </c>
      <c r="Z700" s="16">
        <f t="shared" si="273"/>
        <v>0.37008618361434087</v>
      </c>
      <c r="AA700" s="16">
        <f t="shared" si="269"/>
        <v>0.51527727749675034</v>
      </c>
      <c r="AB700" s="16">
        <f t="shared" si="270"/>
        <v>-1.1516052316578462E-2</v>
      </c>
      <c r="AC700" s="16">
        <f t="shared" si="271"/>
        <v>-1.5126067527814266E-2</v>
      </c>
    </row>
    <row r="701" spans="1:29" x14ac:dyDescent="0.15">
      <c r="A701" s="8">
        <v>41920</v>
      </c>
      <c r="B701" s="4">
        <v>1968.89</v>
      </c>
      <c r="C701" s="1">
        <v>13.627599999999999</v>
      </c>
      <c r="D701" s="1">
        <v>2.0099999999999998</v>
      </c>
      <c r="E701" s="1">
        <v>0.2341</v>
      </c>
      <c r="F701" s="4">
        <f t="shared" si="261"/>
        <v>0.13627599999999998</v>
      </c>
      <c r="G701" s="4">
        <f t="shared" si="262"/>
        <v>2.0099999999999996E-2</v>
      </c>
      <c r="H701" s="4">
        <f t="shared" si="263"/>
        <v>2.3410000000000002E-3</v>
      </c>
      <c r="I701" s="3">
        <f t="shared" si="264"/>
        <v>57.747036769517486</v>
      </c>
      <c r="J701" s="4">
        <f t="shared" si="274"/>
        <v>1435833.0187023592</v>
      </c>
      <c r="K701" s="1">
        <f t="shared" si="275"/>
        <v>1998.98</v>
      </c>
      <c r="L701" s="5">
        <f t="shared" si="276"/>
        <v>0.18904109589041113</v>
      </c>
      <c r="M701" s="5">
        <f t="shared" si="277"/>
        <v>-0.60909821451523538</v>
      </c>
      <c r="N701" s="5">
        <f t="shared" si="278"/>
        <v>67.394205356034661</v>
      </c>
      <c r="O701" s="1">
        <f t="shared" si="279"/>
        <v>0</v>
      </c>
      <c r="P701" s="1">
        <f t="shared" si="280"/>
        <v>1998.98</v>
      </c>
      <c r="Q701" s="5">
        <f t="shared" si="281"/>
        <v>0.18904109589041113</v>
      </c>
      <c r="R701" s="5">
        <f t="shared" si="282"/>
        <v>-0.60909821451523538</v>
      </c>
      <c r="S701" s="5">
        <f t="shared" si="265"/>
        <v>67.394205356034661</v>
      </c>
      <c r="T701" s="5">
        <f t="shared" si="266"/>
        <v>-699.96308295190659</v>
      </c>
      <c r="U701" s="4">
        <f t="shared" si="267"/>
        <v>1435856.1887201131</v>
      </c>
      <c r="V701" s="4">
        <f t="shared" si="283"/>
        <v>23.170391648113601</v>
      </c>
      <c r="W701" s="4">
        <f t="shared" si="268"/>
        <v>1388682.7329660093</v>
      </c>
      <c r="X701" s="4">
        <f t="shared" si="272"/>
        <v>18596.549351668451</v>
      </c>
      <c r="Y701" s="9">
        <f>SUM($X$6:X701)</f>
        <v>388682.73296600929</v>
      </c>
      <c r="Z701" s="16">
        <f t="shared" si="273"/>
        <v>0.3886827329660093</v>
      </c>
      <c r="AA701" s="16">
        <f t="shared" si="269"/>
        <v>0.54173648849701672</v>
      </c>
      <c r="AB701" s="16">
        <f t="shared" si="270"/>
        <v>1.3573269750527684E-2</v>
      </c>
      <c r="AC701" s="16">
        <f t="shared" si="271"/>
        <v>1.7461629889928269E-2</v>
      </c>
    </row>
    <row r="702" spans="1:29" x14ac:dyDescent="0.15">
      <c r="A702" s="8">
        <v>41921</v>
      </c>
      <c r="B702" s="4">
        <v>1928.21</v>
      </c>
      <c r="C702" s="1">
        <v>15.7599</v>
      </c>
      <c r="D702" s="1">
        <v>2.0499999999999998</v>
      </c>
      <c r="E702" s="1">
        <v>0.23419999999999999</v>
      </c>
      <c r="F702" s="4">
        <f t="shared" si="261"/>
        <v>0.15759899999999999</v>
      </c>
      <c r="G702" s="4">
        <f t="shared" si="262"/>
        <v>2.0499999999999997E-2</v>
      </c>
      <c r="H702" s="4">
        <f t="shared" si="263"/>
        <v>2.3419999999999999E-3</v>
      </c>
      <c r="I702" s="3">
        <f t="shared" si="264"/>
        <v>64.797393558456193</v>
      </c>
      <c r="J702" s="4">
        <f t="shared" si="274"/>
        <v>1435856.1887201131</v>
      </c>
      <c r="K702" s="1">
        <f t="shared" si="275"/>
        <v>1998.98</v>
      </c>
      <c r="L702" s="5">
        <f t="shared" si="276"/>
        <v>0.18630136986301388</v>
      </c>
      <c r="M702" s="5">
        <f t="shared" si="277"/>
        <v>-0.70463497613366188</v>
      </c>
      <c r="N702" s="5">
        <f t="shared" si="278"/>
        <v>100.47351925464972</v>
      </c>
      <c r="O702" s="1">
        <f t="shared" si="279"/>
        <v>0</v>
      </c>
      <c r="P702" s="1">
        <f t="shared" si="280"/>
        <v>1998.98</v>
      </c>
      <c r="Q702" s="5">
        <f t="shared" si="281"/>
        <v>0.18630136986301388</v>
      </c>
      <c r="R702" s="5">
        <f t="shared" si="282"/>
        <v>-0.70463497613366188</v>
      </c>
      <c r="S702" s="5">
        <f t="shared" si="265"/>
        <v>100.47351925464972</v>
      </c>
      <c r="T702" s="5">
        <f t="shared" si="266"/>
        <v>-699.96308295190659</v>
      </c>
      <c r="U702" s="4">
        <f t="shared" si="267"/>
        <v>1435879.3591117612</v>
      </c>
      <c r="V702" s="4">
        <f t="shared" si="283"/>
        <v>23.170765548406226</v>
      </c>
      <c r="W702" s="4">
        <f t="shared" si="268"/>
        <v>1365551.6048192489</v>
      </c>
      <c r="X702" s="4">
        <f t="shared" si="272"/>
        <v>-23131.128146760399</v>
      </c>
      <c r="Y702" s="9">
        <f>SUM($X$6:X702)</f>
        <v>365551.6048192489</v>
      </c>
      <c r="Z702" s="16">
        <f t="shared" si="273"/>
        <v>0.36555160481924892</v>
      </c>
      <c r="AA702" s="16">
        <f t="shared" si="269"/>
        <v>0.5098820728861605</v>
      </c>
      <c r="AB702" s="16">
        <f t="shared" si="270"/>
        <v>-1.665688468478032E-2</v>
      </c>
      <c r="AC702" s="16">
        <f t="shared" si="271"/>
        <v>-2.0661387888607316E-2</v>
      </c>
    </row>
    <row r="703" spans="1:29" x14ac:dyDescent="0.15">
      <c r="A703" s="8">
        <v>41922</v>
      </c>
      <c r="B703" s="4">
        <v>1906.13</v>
      </c>
      <c r="C703" s="1">
        <v>16.920000000000002</v>
      </c>
      <c r="D703" s="1">
        <v>2.08</v>
      </c>
      <c r="E703" s="1">
        <v>0.2351</v>
      </c>
      <c r="F703" s="4">
        <f t="shared" si="261"/>
        <v>0.16920000000000002</v>
      </c>
      <c r="G703" s="4">
        <f t="shared" si="262"/>
        <v>2.0799999999999999E-2</v>
      </c>
      <c r="H703" s="4">
        <f t="shared" si="263"/>
        <v>2.3510000000000002E-3</v>
      </c>
      <c r="I703" s="3">
        <f t="shared" si="264"/>
        <v>68.506602227165871</v>
      </c>
      <c r="J703" s="4">
        <f t="shared" si="274"/>
        <v>1435879.3591117612</v>
      </c>
      <c r="K703" s="1">
        <f t="shared" si="275"/>
        <v>1998.98</v>
      </c>
      <c r="L703" s="5">
        <f t="shared" si="276"/>
        <v>0.18356164383561663</v>
      </c>
      <c r="M703" s="5">
        <f t="shared" si="277"/>
        <v>-0.74462756665788532</v>
      </c>
      <c r="N703" s="5">
        <f t="shared" si="278"/>
        <v>119.32319081682829</v>
      </c>
      <c r="O703" s="1">
        <f t="shared" si="279"/>
        <v>0</v>
      </c>
      <c r="P703" s="1">
        <f t="shared" si="280"/>
        <v>1998.98</v>
      </c>
      <c r="Q703" s="5">
        <f t="shared" si="281"/>
        <v>0.18356164383561663</v>
      </c>
      <c r="R703" s="5">
        <f t="shared" si="282"/>
        <v>-0.74462756665788532</v>
      </c>
      <c r="S703" s="5">
        <f t="shared" si="265"/>
        <v>119.32319081682829</v>
      </c>
      <c r="T703" s="5">
        <f t="shared" si="266"/>
        <v>-699.96308295190659</v>
      </c>
      <c r="U703" s="4">
        <f t="shared" si="267"/>
        <v>1435902.5298773097</v>
      </c>
      <c r="V703" s="4">
        <f t="shared" si="283"/>
        <v>23.171139454732476</v>
      </c>
      <c r="W703" s="4">
        <f t="shared" si="268"/>
        <v>1352380.7013655039</v>
      </c>
      <c r="X703" s="4">
        <f t="shared" si="272"/>
        <v>-13170.903453744948</v>
      </c>
      <c r="Y703" s="9">
        <f>SUM($X$6:X703)</f>
        <v>352380.70136550395</v>
      </c>
      <c r="Z703" s="16">
        <f t="shared" si="273"/>
        <v>0.35238070136550392</v>
      </c>
      <c r="AA703" s="16">
        <f t="shared" si="269"/>
        <v>0.49259236057820321</v>
      </c>
      <c r="AB703" s="16">
        <f t="shared" si="270"/>
        <v>-9.645115869120386E-3</v>
      </c>
      <c r="AC703" s="16">
        <f t="shared" si="271"/>
        <v>-1.1451034897651152E-2</v>
      </c>
    </row>
    <row r="704" spans="1:29" x14ac:dyDescent="0.15">
      <c r="A704" s="8">
        <v>41925</v>
      </c>
      <c r="B704" s="4">
        <v>1874.74</v>
      </c>
      <c r="C704" s="1">
        <v>18.627800000000001</v>
      </c>
      <c r="D704" s="1">
        <v>2.11</v>
      </c>
      <c r="E704" s="1">
        <v>0.23569999999999999</v>
      </c>
      <c r="F704" s="4">
        <f t="shared" si="261"/>
        <v>0.186278</v>
      </c>
      <c r="G704" s="4">
        <f t="shared" si="262"/>
        <v>2.1099999999999997E-2</v>
      </c>
      <c r="H704" s="4">
        <f t="shared" si="263"/>
        <v>2.3569999999999997E-3</v>
      </c>
      <c r="I704" s="3">
        <f t="shared" si="264"/>
        <v>73.791349476002978</v>
      </c>
      <c r="J704" s="4">
        <f t="shared" si="274"/>
        <v>1435902.5298773097</v>
      </c>
      <c r="K704" s="1">
        <f t="shared" si="275"/>
        <v>1998.98</v>
      </c>
      <c r="L704" s="5">
        <f t="shared" si="276"/>
        <v>0.17534246575342485</v>
      </c>
      <c r="M704" s="5">
        <f t="shared" si="277"/>
        <v>-0.79259396892145206</v>
      </c>
      <c r="N704" s="5">
        <f t="shared" si="278"/>
        <v>146.46621989970913</v>
      </c>
      <c r="O704" s="1">
        <f t="shared" si="279"/>
        <v>0</v>
      </c>
      <c r="P704" s="1">
        <f t="shared" si="280"/>
        <v>1998.98</v>
      </c>
      <c r="Q704" s="5">
        <f t="shared" si="281"/>
        <v>0.17534246575342485</v>
      </c>
      <c r="R704" s="5">
        <f t="shared" si="282"/>
        <v>-0.79259396892145206</v>
      </c>
      <c r="S704" s="5">
        <f t="shared" si="265"/>
        <v>146.46621989970913</v>
      </c>
      <c r="T704" s="5">
        <f t="shared" si="266"/>
        <v>-699.96308295190659</v>
      </c>
      <c r="U704" s="4">
        <f t="shared" si="267"/>
        <v>1435925.7010167644</v>
      </c>
      <c r="V704" s="4">
        <f t="shared" si="283"/>
        <v>69.514540101277333</v>
      </c>
      <c r="W704" s="4">
        <f t="shared" si="268"/>
        <v>1333404.7541874521</v>
      </c>
      <c r="X704" s="4">
        <f t="shared" si="272"/>
        <v>-18975.947178051807</v>
      </c>
      <c r="Y704" s="9">
        <f>SUM($X$6:X704)</f>
        <v>333404.75418745214</v>
      </c>
      <c r="Z704" s="16">
        <f t="shared" si="273"/>
        <v>0.33340475418745213</v>
      </c>
      <c r="AA704" s="16">
        <f t="shared" si="269"/>
        <v>0.46801246613314967</v>
      </c>
      <c r="AB704" s="16">
        <f t="shared" si="270"/>
        <v>-1.4031512841681134E-2</v>
      </c>
      <c r="AC704" s="16">
        <f t="shared" si="271"/>
        <v>-1.6467921915084543E-2</v>
      </c>
    </row>
    <row r="705" spans="1:29" x14ac:dyDescent="0.15">
      <c r="A705" s="8">
        <v>41926</v>
      </c>
      <c r="B705" s="4">
        <v>1877.7</v>
      </c>
      <c r="C705" s="1">
        <v>18.086500000000001</v>
      </c>
      <c r="D705" s="1">
        <v>2.11</v>
      </c>
      <c r="E705" s="1">
        <v>0.23419999999999999</v>
      </c>
      <c r="F705" s="4">
        <f t="shared" si="261"/>
        <v>0.180865</v>
      </c>
      <c r="G705" s="4">
        <f t="shared" si="262"/>
        <v>2.1099999999999997E-2</v>
      </c>
      <c r="H705" s="4">
        <f t="shared" si="263"/>
        <v>2.3419999999999999E-3</v>
      </c>
      <c r="I705" s="3">
        <f t="shared" si="264"/>
        <v>71.897644198908949</v>
      </c>
      <c r="J705" s="4">
        <f t="shared" si="274"/>
        <v>1435925.7010167644</v>
      </c>
      <c r="K705" s="1">
        <f t="shared" si="275"/>
        <v>1998.98</v>
      </c>
      <c r="L705" s="5">
        <f t="shared" si="276"/>
        <v>0.1726027397260276</v>
      </c>
      <c r="M705" s="5">
        <f t="shared" si="277"/>
        <v>-0.79621280131992789</v>
      </c>
      <c r="N705" s="5">
        <f t="shared" si="278"/>
        <v>142.53432476827177</v>
      </c>
      <c r="O705" s="1">
        <f t="shared" si="279"/>
        <v>0</v>
      </c>
      <c r="P705" s="1">
        <f t="shared" si="280"/>
        <v>1998.98</v>
      </c>
      <c r="Q705" s="5">
        <f t="shared" si="281"/>
        <v>0.1726027397260276</v>
      </c>
      <c r="R705" s="5">
        <f t="shared" si="282"/>
        <v>-0.79621280131992789</v>
      </c>
      <c r="S705" s="5">
        <f t="shared" si="265"/>
        <v>142.53432476827177</v>
      </c>
      <c r="T705" s="5">
        <f t="shared" si="266"/>
        <v>-699.96308295190659</v>
      </c>
      <c r="U705" s="4">
        <f t="shared" si="267"/>
        <v>1435995.2155568656</v>
      </c>
      <c r="V705" s="4">
        <f t="shared" si="283"/>
        <v>23.1726351222738</v>
      </c>
      <c r="W705" s="4">
        <f t="shared" si="268"/>
        <v>1336226.4501655977</v>
      </c>
      <c r="X705" s="4">
        <f t="shared" si="272"/>
        <v>2821.6959781455807</v>
      </c>
      <c r="Y705" s="9">
        <f>SUM($X$6:X705)</f>
        <v>336226.45016559772</v>
      </c>
      <c r="Z705" s="16">
        <f t="shared" si="273"/>
        <v>0.33622645016559771</v>
      </c>
      <c r="AA705" s="16">
        <f t="shared" si="269"/>
        <v>0.47033028988457876</v>
      </c>
      <c r="AB705" s="16">
        <f t="shared" si="270"/>
        <v>2.1161586302165698E-3</v>
      </c>
      <c r="AC705" s="16">
        <f t="shared" si="271"/>
        <v>1.5788856054706447E-3</v>
      </c>
    </row>
    <row r="706" spans="1:29" x14ac:dyDescent="0.15">
      <c r="A706" s="8">
        <v>41927</v>
      </c>
      <c r="B706" s="4">
        <v>1862.49</v>
      </c>
      <c r="C706" s="1">
        <v>19.4483</v>
      </c>
      <c r="D706" s="1">
        <v>2.13</v>
      </c>
      <c r="E706" s="1">
        <v>0.23300000000000001</v>
      </c>
      <c r="F706" s="4">
        <f t="shared" si="261"/>
        <v>0.19448299999999999</v>
      </c>
      <c r="G706" s="4">
        <f t="shared" si="262"/>
        <v>2.1299999999999999E-2</v>
      </c>
      <c r="H706" s="4">
        <f t="shared" si="263"/>
        <v>2.33E-3</v>
      </c>
      <c r="I706" s="3">
        <f t="shared" si="264"/>
        <v>76.390220646509022</v>
      </c>
      <c r="J706" s="4">
        <f t="shared" si="274"/>
        <v>1435995.2155568656</v>
      </c>
      <c r="K706" s="1">
        <f t="shared" si="275"/>
        <v>1998.98</v>
      </c>
      <c r="L706" s="5">
        <f t="shared" si="276"/>
        <v>0.16986301369863036</v>
      </c>
      <c r="M706" s="5">
        <f t="shared" si="277"/>
        <v>-0.80830270177411945</v>
      </c>
      <c r="N706" s="5">
        <f t="shared" si="278"/>
        <v>157.29019370999282</v>
      </c>
      <c r="O706" s="1">
        <f t="shared" si="279"/>
        <v>0</v>
      </c>
      <c r="P706" s="1">
        <f t="shared" si="280"/>
        <v>1998.98</v>
      </c>
      <c r="Q706" s="5">
        <f t="shared" si="281"/>
        <v>0.16986301369863036</v>
      </c>
      <c r="R706" s="5">
        <f t="shared" si="282"/>
        <v>-0.80830270177411945</v>
      </c>
      <c r="S706" s="5">
        <f t="shared" si="265"/>
        <v>157.29019370999282</v>
      </c>
      <c r="T706" s="5">
        <f t="shared" si="266"/>
        <v>-699.96308295190659</v>
      </c>
      <c r="U706" s="4">
        <f t="shared" si="267"/>
        <v>1436018.3881919878</v>
      </c>
      <c r="V706" s="4">
        <f t="shared" si="283"/>
        <v>23.173009058769335</v>
      </c>
      <c r="W706" s="4">
        <f t="shared" si="268"/>
        <v>1325921.0592846386</v>
      </c>
      <c r="X706" s="4">
        <f t="shared" si="272"/>
        <v>-10305.390880959108</v>
      </c>
      <c r="Y706" s="9">
        <f>SUM($X$6:X706)</f>
        <v>325921.05928463861</v>
      </c>
      <c r="Z706" s="16">
        <f t="shared" si="273"/>
        <v>0.3259210592846386</v>
      </c>
      <c r="AA706" s="16">
        <f t="shared" si="269"/>
        <v>0.45842012121591791</v>
      </c>
      <c r="AB706" s="16">
        <f t="shared" si="270"/>
        <v>-7.7123087031258572E-3</v>
      </c>
      <c r="AC706" s="16">
        <f t="shared" si="271"/>
        <v>-8.1003355168557476E-3</v>
      </c>
    </row>
    <row r="707" spans="1:29" x14ac:dyDescent="0.15">
      <c r="A707" s="8">
        <v>41928</v>
      </c>
      <c r="B707" s="4">
        <v>1862.76</v>
      </c>
      <c r="C707" s="1">
        <v>18.732199999999999</v>
      </c>
      <c r="D707" s="1">
        <v>2.13</v>
      </c>
      <c r="E707" s="1">
        <v>0.2359</v>
      </c>
      <c r="F707" s="4">
        <f t="shared" si="261"/>
        <v>0.18732199999999999</v>
      </c>
      <c r="G707" s="4">
        <f t="shared" si="262"/>
        <v>2.1299999999999999E-2</v>
      </c>
      <c r="H707" s="4">
        <f t="shared" si="263"/>
        <v>2.359E-3</v>
      </c>
      <c r="I707" s="3">
        <f t="shared" si="264"/>
        <v>73.750979834913664</v>
      </c>
      <c r="J707" s="4">
        <f t="shared" si="274"/>
        <v>1436018.3881919878</v>
      </c>
      <c r="K707" s="1">
        <f t="shared" si="275"/>
        <v>1998.98</v>
      </c>
      <c r="L707" s="5">
        <f t="shared" si="276"/>
        <v>0.16712328767123311</v>
      </c>
      <c r="M707" s="5">
        <f t="shared" si="277"/>
        <v>-0.81951292872106885</v>
      </c>
      <c r="N707" s="5">
        <f t="shared" si="278"/>
        <v>155.22353722948668</v>
      </c>
      <c r="O707" s="1">
        <f t="shared" si="279"/>
        <v>0</v>
      </c>
      <c r="P707" s="1">
        <f t="shared" si="280"/>
        <v>1998.98</v>
      </c>
      <c r="Q707" s="5">
        <f t="shared" si="281"/>
        <v>0.16712328767123311</v>
      </c>
      <c r="R707" s="5">
        <f t="shared" si="282"/>
        <v>-0.81951292872106885</v>
      </c>
      <c r="S707" s="5">
        <f t="shared" si="265"/>
        <v>155.22353722948668</v>
      </c>
      <c r="T707" s="5">
        <f t="shared" si="266"/>
        <v>-699.96308295190659</v>
      </c>
      <c r="U707" s="4">
        <f t="shared" si="267"/>
        <v>1436041.5612010465</v>
      </c>
      <c r="V707" s="4">
        <f t="shared" si="283"/>
        <v>23.173383001299076</v>
      </c>
      <c r="W707" s="4">
        <f t="shared" si="268"/>
        <v>1327390.8155351949</v>
      </c>
      <c r="X707" s="4">
        <f t="shared" si="272"/>
        <v>1469.7562505563255</v>
      </c>
      <c r="Y707" s="9">
        <f>SUM($X$6:X707)</f>
        <v>327390.81553519494</v>
      </c>
      <c r="Z707" s="16">
        <f t="shared" si="273"/>
        <v>0.32739081553519495</v>
      </c>
      <c r="AA707" s="16">
        <f t="shared" si="269"/>
        <v>0.45863154432837933</v>
      </c>
      <c r="AB707" s="16">
        <f t="shared" si="270"/>
        <v>1.1084794530296465E-3</v>
      </c>
      <c r="AC707" s="16">
        <f t="shared" si="271"/>
        <v>1.4496722130050729E-4</v>
      </c>
    </row>
    <row r="708" spans="1:29" x14ac:dyDescent="0.15">
      <c r="A708" s="8">
        <v>41929</v>
      </c>
      <c r="B708" s="4">
        <v>1886.76</v>
      </c>
      <c r="C708" s="1">
        <v>17.355899999999998</v>
      </c>
      <c r="D708" s="1">
        <v>2.08</v>
      </c>
      <c r="E708" s="1">
        <v>0.23649999999999999</v>
      </c>
      <c r="F708" s="4">
        <f t="shared" si="261"/>
        <v>0.17355899999999999</v>
      </c>
      <c r="G708" s="4">
        <f t="shared" si="262"/>
        <v>2.0799999999999999E-2</v>
      </c>
      <c r="H708" s="4">
        <f t="shared" si="263"/>
        <v>2.3649999999999999E-3</v>
      </c>
      <c r="I708" s="3">
        <f t="shared" si="264"/>
        <v>69.436604763275867</v>
      </c>
      <c r="J708" s="4">
        <f t="shared" si="274"/>
        <v>1436041.5612010465</v>
      </c>
      <c r="K708" s="1">
        <f t="shared" si="275"/>
        <v>1998.98</v>
      </c>
      <c r="L708" s="5">
        <f t="shared" si="276"/>
        <v>0.16438356164383586</v>
      </c>
      <c r="M708" s="5">
        <f t="shared" si="277"/>
        <v>-0.79371051893533395</v>
      </c>
      <c r="N708" s="5">
        <f t="shared" si="278"/>
        <v>132.50088879705797</v>
      </c>
      <c r="O708" s="1">
        <f t="shared" si="279"/>
        <v>0</v>
      </c>
      <c r="P708" s="1">
        <f t="shared" si="280"/>
        <v>1998.98</v>
      </c>
      <c r="Q708" s="5">
        <f t="shared" si="281"/>
        <v>0.16438356164383586</v>
      </c>
      <c r="R708" s="5">
        <f t="shared" si="282"/>
        <v>-0.79371051893533395</v>
      </c>
      <c r="S708" s="5">
        <f t="shared" si="265"/>
        <v>132.50088879705797</v>
      </c>
      <c r="T708" s="5">
        <f t="shared" si="266"/>
        <v>-699.96308295190659</v>
      </c>
      <c r="U708" s="4">
        <f t="shared" si="267"/>
        <v>1436064.7345840477</v>
      </c>
      <c r="V708" s="4">
        <f t="shared" si="283"/>
        <v>23.173756949863126</v>
      </c>
      <c r="W708" s="4">
        <f t="shared" si="268"/>
        <v>1343319.0039677913</v>
      </c>
      <c r="X708" s="4">
        <f t="shared" si="272"/>
        <v>15928.188432596391</v>
      </c>
      <c r="Y708" s="9">
        <f>SUM($X$6:X708)</f>
        <v>343319.00396779133</v>
      </c>
      <c r="Z708" s="16">
        <f t="shared" si="273"/>
        <v>0.3433190039677913</v>
      </c>
      <c r="AA708" s="16">
        <f t="shared" si="269"/>
        <v>0.47742470988050684</v>
      </c>
      <c r="AB708" s="16">
        <f t="shared" si="270"/>
        <v>1.1999622301269467E-2</v>
      </c>
      <c r="AC708" s="16">
        <f t="shared" si="271"/>
        <v>1.2884107453456162E-2</v>
      </c>
    </row>
    <row r="709" spans="1:29" x14ac:dyDescent="0.15">
      <c r="A709" s="8">
        <v>41932</v>
      </c>
      <c r="B709" s="4">
        <v>1904.01</v>
      </c>
      <c r="C709" s="1">
        <v>16.489699999999999</v>
      </c>
      <c r="D709" s="1">
        <v>2.06</v>
      </c>
      <c r="E709" s="1">
        <v>0.23730000000000001</v>
      </c>
      <c r="F709" s="4">
        <f t="shared" si="261"/>
        <v>0.16489699999999999</v>
      </c>
      <c r="G709" s="4">
        <f t="shared" si="262"/>
        <v>2.06E-2</v>
      </c>
      <c r="H709" s="4">
        <f t="shared" si="263"/>
        <v>2.3730000000000001E-3</v>
      </c>
      <c r="I709" s="3">
        <f t="shared" si="264"/>
        <v>66.753592534909032</v>
      </c>
      <c r="J709" s="4">
        <f t="shared" si="274"/>
        <v>1436064.7345840477</v>
      </c>
      <c r="K709" s="1">
        <f t="shared" si="275"/>
        <v>1998.98</v>
      </c>
      <c r="L709" s="5">
        <f t="shared" si="276"/>
        <v>0.15616438356164408</v>
      </c>
      <c r="M709" s="5">
        <f t="shared" si="277"/>
        <v>-0.77330244512802604</v>
      </c>
      <c r="N709" s="5">
        <f t="shared" si="278"/>
        <v>115.84727481050807</v>
      </c>
      <c r="O709" s="1">
        <f t="shared" si="279"/>
        <v>0</v>
      </c>
      <c r="P709" s="1">
        <f t="shared" si="280"/>
        <v>1998.98</v>
      </c>
      <c r="Q709" s="5">
        <f t="shared" si="281"/>
        <v>0.15616438356164408</v>
      </c>
      <c r="R709" s="5">
        <f t="shared" si="282"/>
        <v>-0.77330244512802604</v>
      </c>
      <c r="S709" s="5">
        <f t="shared" si="265"/>
        <v>115.84727481050807</v>
      </c>
      <c r="T709" s="5">
        <f t="shared" si="266"/>
        <v>-699.96308295190659</v>
      </c>
      <c r="U709" s="4">
        <f t="shared" si="267"/>
        <v>1436087.9083409975</v>
      </c>
      <c r="V709" s="4">
        <f t="shared" si="283"/>
        <v>69.522392713384718</v>
      </c>
      <c r="W709" s="4">
        <f t="shared" si="268"/>
        <v>1354999.0927130575</v>
      </c>
      <c r="X709" s="4">
        <f t="shared" si="272"/>
        <v>11680.088745266199</v>
      </c>
      <c r="Y709" s="9">
        <f>SUM($X$6:X709)</f>
        <v>354999.09271305753</v>
      </c>
      <c r="Z709" s="16">
        <f t="shared" si="273"/>
        <v>0.35499909271305752</v>
      </c>
      <c r="AA709" s="16">
        <f t="shared" si="269"/>
        <v>0.49093229762109852</v>
      </c>
      <c r="AB709" s="16">
        <f t="shared" si="270"/>
        <v>8.6949478945555457E-3</v>
      </c>
      <c r="AC709" s="16">
        <f t="shared" si="271"/>
        <v>9.142657253704764E-3</v>
      </c>
    </row>
    <row r="710" spans="1:29" x14ac:dyDescent="0.15">
      <c r="A710" s="8">
        <v>41933</v>
      </c>
      <c r="B710" s="4">
        <v>1941.28</v>
      </c>
      <c r="C710" s="1">
        <v>14.965999999999999</v>
      </c>
      <c r="D710" s="1">
        <v>2.04</v>
      </c>
      <c r="E710" s="1">
        <v>0.23569999999999999</v>
      </c>
      <c r="F710" s="4">
        <f t="shared" si="261"/>
        <v>0.14965999999999999</v>
      </c>
      <c r="G710" s="4">
        <f t="shared" si="262"/>
        <v>2.0400000000000001E-2</v>
      </c>
      <c r="H710" s="4">
        <f t="shared" si="263"/>
        <v>2.3569999999999997E-3</v>
      </c>
      <c r="I710" s="3">
        <f t="shared" si="264"/>
        <v>62.154488124496929</v>
      </c>
      <c r="J710" s="4">
        <f t="shared" si="274"/>
        <v>1436087.9083409975</v>
      </c>
      <c r="K710" s="1">
        <f t="shared" si="275"/>
        <v>1998.98</v>
      </c>
      <c r="L710" s="5">
        <f t="shared" si="276"/>
        <v>0.15342465753424683</v>
      </c>
      <c r="M710" s="5">
        <f t="shared" si="277"/>
        <v>-0.69543517597640259</v>
      </c>
      <c r="N710" s="5">
        <f t="shared" si="278"/>
        <v>84.21774409964722</v>
      </c>
      <c r="O710" s="1">
        <f t="shared" si="279"/>
        <v>0</v>
      </c>
      <c r="P710" s="1">
        <f t="shared" si="280"/>
        <v>1998.98</v>
      </c>
      <c r="Q710" s="5">
        <f t="shared" si="281"/>
        <v>0.15342465753424683</v>
      </c>
      <c r="R710" s="5">
        <f t="shared" si="282"/>
        <v>-0.69543517597640259</v>
      </c>
      <c r="S710" s="5">
        <f t="shared" si="265"/>
        <v>84.21774409964722</v>
      </c>
      <c r="T710" s="5">
        <f t="shared" si="266"/>
        <v>-699.96308295190659</v>
      </c>
      <c r="U710" s="4">
        <f t="shared" si="267"/>
        <v>1436157.430733711</v>
      </c>
      <c r="V710" s="4">
        <f t="shared" si="283"/>
        <v>23.175252786360431</v>
      </c>
      <c r="W710" s="4">
        <f t="shared" si="268"/>
        <v>1377208.1189344672</v>
      </c>
      <c r="X710" s="4">
        <f t="shared" si="272"/>
        <v>22209.026221409673</v>
      </c>
      <c r="Y710" s="9">
        <f>SUM($X$6:X710)</f>
        <v>377208.1189344672</v>
      </c>
      <c r="Z710" s="16">
        <f t="shared" si="273"/>
        <v>0.37720811893446721</v>
      </c>
      <c r="AA710" s="16">
        <f t="shared" si="269"/>
        <v>0.52011651762642319</v>
      </c>
      <c r="AB710" s="16">
        <f t="shared" si="270"/>
        <v>1.6390436230434277E-2</v>
      </c>
      <c r="AC710" s="16">
        <f t="shared" si="271"/>
        <v>1.9574477024805532E-2</v>
      </c>
    </row>
    <row r="711" spans="1:29" x14ac:dyDescent="0.15">
      <c r="A711" s="8">
        <v>41934</v>
      </c>
      <c r="B711" s="4">
        <v>1927.11</v>
      </c>
      <c r="C711" s="1">
        <v>15.883800000000001</v>
      </c>
      <c r="D711" s="1">
        <v>2.06</v>
      </c>
      <c r="E711" s="1">
        <v>0.2379</v>
      </c>
      <c r="F711" s="4">
        <f t="shared" ref="F711:F774" si="284">C711/100</f>
        <v>0.15883800000000001</v>
      </c>
      <c r="G711" s="4">
        <f t="shared" ref="G711:G774" si="285">D711/100</f>
        <v>2.06E-2</v>
      </c>
      <c r="H711" s="4">
        <f t="shared" ref="H711:H774" si="286">E711/100</f>
        <v>2.379E-3</v>
      </c>
      <c r="I711" s="3">
        <f t="shared" ref="I711:I774" si="287">BSM_Put(B711,B711,F711,H711,G711,$B$3,$F$3)</f>
        <v>65.248216428574096</v>
      </c>
      <c r="J711" s="4">
        <f t="shared" si="274"/>
        <v>1436157.430733711</v>
      </c>
      <c r="K711" s="1">
        <f t="shared" si="275"/>
        <v>1998.98</v>
      </c>
      <c r="L711" s="5">
        <f t="shared" si="276"/>
        <v>0.15068493150684958</v>
      </c>
      <c r="M711" s="5">
        <f t="shared" si="277"/>
        <v>-0.72600018395458465</v>
      </c>
      <c r="N711" s="5">
        <f t="shared" si="278"/>
        <v>96.256032707855908</v>
      </c>
      <c r="O711" s="1">
        <f t="shared" si="279"/>
        <v>0</v>
      </c>
      <c r="P711" s="1">
        <f t="shared" si="280"/>
        <v>1998.98</v>
      </c>
      <c r="Q711" s="5">
        <f t="shared" si="281"/>
        <v>0.15068493150684958</v>
      </c>
      <c r="R711" s="5">
        <f t="shared" si="282"/>
        <v>-0.72600018395458465</v>
      </c>
      <c r="S711" s="5">
        <f t="shared" ref="S711:S774" si="288">BSM_Put(B711,P711,F711,H711,G711,Q711,$F$3)</f>
        <v>96.256032707855908</v>
      </c>
      <c r="T711" s="5">
        <f t="shared" si="266"/>
        <v>-699.96308295190659</v>
      </c>
      <c r="U711" s="4">
        <f t="shared" si="267"/>
        <v>1436180.6059864974</v>
      </c>
      <c r="V711" s="4">
        <f t="shared" si="283"/>
        <v>23.175626765097171</v>
      </c>
      <c r="W711" s="4">
        <f t="shared" si="268"/>
        <v>1368804.9365795869</v>
      </c>
      <c r="X711" s="4">
        <f t="shared" si="272"/>
        <v>-8403.182354880264</v>
      </c>
      <c r="Y711" s="9">
        <f>SUM($X$6:X711)</f>
        <v>368804.93657958694</v>
      </c>
      <c r="Z711" s="16">
        <f t="shared" si="273"/>
        <v>0.36880493657958696</v>
      </c>
      <c r="AA711" s="16">
        <f t="shared" si="269"/>
        <v>0.50902071946502125</v>
      </c>
      <c r="AB711" s="16">
        <f t="shared" si="270"/>
        <v>-6.101606750170574E-3</v>
      </c>
      <c r="AC711" s="16">
        <f t="shared" si="271"/>
        <v>-7.2993076732877655E-3</v>
      </c>
    </row>
    <row r="712" spans="1:29" x14ac:dyDescent="0.15">
      <c r="A712" s="8">
        <v>41935</v>
      </c>
      <c r="B712" s="4">
        <v>1950.82</v>
      </c>
      <c r="C712" s="1">
        <v>15.2255</v>
      </c>
      <c r="D712" s="1">
        <v>2.0299999999999998</v>
      </c>
      <c r="E712" s="1">
        <v>0.23880000000000001</v>
      </c>
      <c r="F712" s="4">
        <f t="shared" si="284"/>
        <v>0.152255</v>
      </c>
      <c r="G712" s="4">
        <f t="shared" si="285"/>
        <v>2.0299999999999999E-2</v>
      </c>
      <c r="H712" s="4">
        <f t="shared" si="286"/>
        <v>2.3879999999999999E-3</v>
      </c>
      <c r="I712" s="3">
        <f t="shared" si="287"/>
        <v>63.430272444497653</v>
      </c>
      <c r="J712" s="4">
        <f t="shared" si="274"/>
        <v>1436180.6059864974</v>
      </c>
      <c r="K712" s="1">
        <f t="shared" si="275"/>
        <v>1998.98</v>
      </c>
      <c r="L712" s="5">
        <f t="shared" si="276"/>
        <v>0.14794520547945234</v>
      </c>
      <c r="M712" s="5">
        <f t="shared" si="277"/>
        <v>-0.66527289150840829</v>
      </c>
      <c r="N712" s="5">
        <f t="shared" si="278"/>
        <v>77.530126546252475</v>
      </c>
      <c r="O712" s="1">
        <f t="shared" si="279"/>
        <v>0</v>
      </c>
      <c r="P712" s="1">
        <f t="shared" si="280"/>
        <v>1998.98</v>
      </c>
      <c r="Q712" s="5">
        <f t="shared" si="281"/>
        <v>0.14794520547945234</v>
      </c>
      <c r="R712" s="5">
        <f t="shared" si="282"/>
        <v>-0.66527289150840829</v>
      </c>
      <c r="S712" s="5">
        <f t="shared" si="288"/>
        <v>77.530126546252475</v>
      </c>
      <c r="T712" s="5">
        <f t="shared" ref="T712:T775" si="289">IF(O712,-(J712+IF(L712&lt;=0.00001, MAX(K712-B712,0),N712)*T711)/P712,T711)</f>
        <v>-699.96308295190659</v>
      </c>
      <c r="U712" s="4">
        <f t="shared" ref="U712:U775" si="290">IF(O712,(J712+IF(L712&lt;=0.00001, MAX(K712-B712,0),N712)*T711)-(S712*T712),U711)+V711</f>
        <v>1436203.7816132624</v>
      </c>
      <c r="V712" s="4">
        <f t="shared" si="283"/>
        <v>23.176000749868809</v>
      </c>
      <c r="W712" s="4">
        <f t="shared" ref="W712:W775" si="291">S712*T712+U712</f>
        <v>1381935.5552142961</v>
      </c>
      <c r="X712" s="4">
        <f t="shared" si="272"/>
        <v>13130.618634709157</v>
      </c>
      <c r="Y712" s="9">
        <f>SUM($X$6:X712)</f>
        <v>381935.5552142961</v>
      </c>
      <c r="Z712" s="16">
        <f t="shared" si="273"/>
        <v>0.38193555521429612</v>
      </c>
      <c r="AA712" s="16">
        <f t="shared" ref="AA712:AA775" si="292">(B712-$B$6)/$B$6</f>
        <v>0.52758680093339394</v>
      </c>
      <c r="AB712" s="16">
        <f t="shared" ref="AB712:AB775" si="293">X712/W711</f>
        <v>9.592761016423831E-3</v>
      </c>
      <c r="AC712" s="16">
        <f t="shared" ref="AC712:AC775" si="294">(B712-B711)/B711</f>
        <v>1.2303397315150686E-2</v>
      </c>
    </row>
    <row r="713" spans="1:29" x14ac:dyDescent="0.15">
      <c r="A713" s="8">
        <v>41936</v>
      </c>
      <c r="B713" s="4">
        <v>1964.58</v>
      </c>
      <c r="C713" s="1">
        <v>15.167300000000001</v>
      </c>
      <c r="D713" s="1">
        <v>2.02</v>
      </c>
      <c r="E713" s="1">
        <v>0.23830000000000001</v>
      </c>
      <c r="F713" s="4">
        <f t="shared" si="284"/>
        <v>0.151673</v>
      </c>
      <c r="G713" s="4">
        <f t="shared" si="285"/>
        <v>2.0199999999999999E-2</v>
      </c>
      <c r="H713" s="4">
        <f t="shared" si="286"/>
        <v>2.3830000000000001E-3</v>
      </c>
      <c r="I713" s="3">
        <f t="shared" si="287"/>
        <v>63.627658128549477</v>
      </c>
      <c r="J713" s="4">
        <f t="shared" si="274"/>
        <v>1436203.7816132624</v>
      </c>
      <c r="K713" s="1">
        <f t="shared" si="275"/>
        <v>1998.98</v>
      </c>
      <c r="L713" s="5">
        <f t="shared" si="276"/>
        <v>0.14520547945205509</v>
      </c>
      <c r="M713" s="5">
        <f t="shared" si="277"/>
        <v>-0.62224885958602172</v>
      </c>
      <c r="N713" s="5">
        <f t="shared" si="278"/>
        <v>68.033911699306742</v>
      </c>
      <c r="O713" s="1">
        <f t="shared" si="279"/>
        <v>0</v>
      </c>
      <c r="P713" s="1">
        <f t="shared" si="280"/>
        <v>1998.98</v>
      </c>
      <c r="Q713" s="5">
        <f t="shared" si="281"/>
        <v>0.14520547945205509</v>
      </c>
      <c r="R713" s="5">
        <f t="shared" si="282"/>
        <v>-0.62224885958602172</v>
      </c>
      <c r="S713" s="5">
        <f t="shared" si="288"/>
        <v>68.033911699306742</v>
      </c>
      <c r="T713" s="5">
        <f t="shared" si="289"/>
        <v>-699.96308295190659</v>
      </c>
      <c r="U713" s="4">
        <f t="shared" si="290"/>
        <v>1436226.9576140123</v>
      </c>
      <c r="V713" s="4">
        <f t="shared" si="283"/>
        <v>23.176374740675428</v>
      </c>
      <c r="W713" s="4">
        <f t="shared" si="291"/>
        <v>1388605.7310356877</v>
      </c>
      <c r="X713" s="4">
        <f t="shared" ref="X713:X776" si="295">W713-W712</f>
        <v>6670.1758213916328</v>
      </c>
      <c r="Y713" s="9">
        <f>SUM($X$6:X713)</f>
        <v>388605.73103568773</v>
      </c>
      <c r="Z713" s="16">
        <f t="shared" si="273"/>
        <v>0.38860573103568774</v>
      </c>
      <c r="AA713" s="16">
        <f t="shared" si="292"/>
        <v>0.53836154918328039</v>
      </c>
      <c r="AB713" s="16">
        <f t="shared" si="293"/>
        <v>4.8266909381004322E-3</v>
      </c>
      <c r="AC713" s="16">
        <f t="shared" si="294"/>
        <v>7.0534441926984508E-3</v>
      </c>
    </row>
    <row r="714" spans="1:29" x14ac:dyDescent="0.15">
      <c r="A714" s="8">
        <v>41939</v>
      </c>
      <c r="B714" s="4">
        <v>1961.63</v>
      </c>
      <c r="C714" s="1">
        <v>15.141999999999999</v>
      </c>
      <c r="D714" s="1">
        <v>2.02</v>
      </c>
      <c r="E714" s="1">
        <v>0.23780000000000001</v>
      </c>
      <c r="F714" s="4">
        <f t="shared" si="284"/>
        <v>0.15142</v>
      </c>
      <c r="G714" s="4">
        <f t="shared" si="285"/>
        <v>2.0199999999999999E-2</v>
      </c>
      <c r="H714" s="4">
        <f t="shared" si="286"/>
        <v>2.3779999999999999E-3</v>
      </c>
      <c r="I714" s="3">
        <f t="shared" si="287"/>
        <v>63.435088939851333</v>
      </c>
      <c r="J714" s="4">
        <f t="shared" si="274"/>
        <v>1436226.9576140123</v>
      </c>
      <c r="K714" s="1">
        <f t="shared" si="275"/>
        <v>1998.98</v>
      </c>
      <c r="L714" s="5">
        <f t="shared" si="276"/>
        <v>0.13698630136986331</v>
      </c>
      <c r="M714" s="5">
        <f t="shared" si="277"/>
        <v>-0.63585301873878564</v>
      </c>
      <c r="N714" s="5">
        <f t="shared" si="278"/>
        <v>68.416030458304505</v>
      </c>
      <c r="O714" s="1">
        <f t="shared" si="279"/>
        <v>0</v>
      </c>
      <c r="P714" s="1">
        <f t="shared" si="280"/>
        <v>1998.98</v>
      </c>
      <c r="Q714" s="5">
        <f t="shared" si="281"/>
        <v>0.13698630136986331</v>
      </c>
      <c r="R714" s="5">
        <f t="shared" si="282"/>
        <v>-0.63585301873878564</v>
      </c>
      <c r="S714" s="5">
        <f t="shared" si="288"/>
        <v>68.416030458304505</v>
      </c>
      <c r="T714" s="5">
        <f t="shared" si="289"/>
        <v>-699.96308295190659</v>
      </c>
      <c r="U714" s="4">
        <f t="shared" si="290"/>
        <v>1436250.133988753</v>
      </c>
      <c r="V714" s="4">
        <f t="shared" si="283"/>
        <v>69.530246212551404</v>
      </c>
      <c r="W714" s="4">
        <f t="shared" si="291"/>
        <v>1388361.4383858265</v>
      </c>
      <c r="X714" s="4">
        <f t="shared" si="295"/>
        <v>-244.29264986119233</v>
      </c>
      <c r="Y714" s="9">
        <f>SUM($X$6:X714)</f>
        <v>388361.43838582654</v>
      </c>
      <c r="Z714" s="16">
        <f t="shared" si="273"/>
        <v>0.38836143838582654</v>
      </c>
      <c r="AA714" s="16">
        <f t="shared" si="292"/>
        <v>0.5360515559174982</v>
      </c>
      <c r="AB714" s="16">
        <f t="shared" si="293"/>
        <v>-1.7592657469373062E-4</v>
      </c>
      <c r="AC714" s="16">
        <f t="shared" si="294"/>
        <v>-1.5015932158526598E-3</v>
      </c>
    </row>
    <row r="715" spans="1:29" x14ac:dyDescent="0.15">
      <c r="A715" s="8">
        <v>41940</v>
      </c>
      <c r="B715" s="4">
        <v>1985.05</v>
      </c>
      <c r="C715" s="1">
        <v>14.0655</v>
      </c>
      <c r="D715" s="1">
        <v>2</v>
      </c>
      <c r="E715" s="1">
        <v>0.23780000000000001</v>
      </c>
      <c r="F715" s="4">
        <f t="shared" si="284"/>
        <v>0.140655</v>
      </c>
      <c r="G715" s="4">
        <f t="shared" si="285"/>
        <v>0.02</v>
      </c>
      <c r="H715" s="4">
        <f t="shared" si="286"/>
        <v>2.3779999999999999E-3</v>
      </c>
      <c r="I715" s="3">
        <f t="shared" si="287"/>
        <v>59.908104202023956</v>
      </c>
      <c r="J715" s="4">
        <f t="shared" si="274"/>
        <v>1436250.133988753</v>
      </c>
      <c r="K715" s="1">
        <f t="shared" si="275"/>
        <v>1998.98</v>
      </c>
      <c r="L715" s="5">
        <f t="shared" si="276"/>
        <v>0.13424657534246606</v>
      </c>
      <c r="M715" s="5">
        <f t="shared" si="277"/>
        <v>-0.56040906442078864</v>
      </c>
      <c r="N715" s="5">
        <f t="shared" si="278"/>
        <v>50.868906532604342</v>
      </c>
      <c r="O715" s="1">
        <f t="shared" si="279"/>
        <v>0</v>
      </c>
      <c r="P715" s="1">
        <f t="shared" si="280"/>
        <v>1998.98</v>
      </c>
      <c r="Q715" s="5">
        <f t="shared" si="281"/>
        <v>0.13424657534246606</v>
      </c>
      <c r="R715" s="5">
        <f t="shared" si="282"/>
        <v>-0.56040906442078864</v>
      </c>
      <c r="S715" s="5">
        <f t="shared" si="288"/>
        <v>50.868906532604342</v>
      </c>
      <c r="T715" s="5">
        <f t="shared" si="289"/>
        <v>-699.96308295190659</v>
      </c>
      <c r="U715" s="4">
        <f t="shared" si="290"/>
        <v>1436319.6642349656</v>
      </c>
      <c r="V715" s="4">
        <f t="shared" si="283"/>
        <v>23.177870746147796</v>
      </c>
      <c r="W715" s="4">
        <f t="shared" si="291"/>
        <v>1400713.3075920115</v>
      </c>
      <c r="X715" s="4">
        <f t="shared" si="295"/>
        <v>12351.869206184987</v>
      </c>
      <c r="Y715" s="9">
        <f>SUM($X$6:X715)</f>
        <v>400713.30759201152</v>
      </c>
      <c r="Z715" s="16">
        <f t="shared" si="273"/>
        <v>0.40071330759201151</v>
      </c>
      <c r="AA715" s="16">
        <f t="shared" si="292"/>
        <v>0.55439055330211584</v>
      </c>
      <c r="AB715" s="16">
        <f t="shared" si="293"/>
        <v>8.896724487353843E-3</v>
      </c>
      <c r="AC715" s="16">
        <f t="shared" si="294"/>
        <v>1.1939050687438429E-2</v>
      </c>
    </row>
    <row r="716" spans="1:29" x14ac:dyDescent="0.15">
      <c r="A716" s="8">
        <v>41941</v>
      </c>
      <c r="B716" s="4">
        <v>1982.3</v>
      </c>
      <c r="C716" s="1">
        <v>14.2189</v>
      </c>
      <c r="D716" s="1">
        <v>2</v>
      </c>
      <c r="E716" s="1">
        <v>0.23519999999999999</v>
      </c>
      <c r="F716" s="4">
        <f t="shared" si="284"/>
        <v>0.14218900000000001</v>
      </c>
      <c r="G716" s="4">
        <f t="shared" si="285"/>
        <v>0.02</v>
      </c>
      <c r="H716" s="4">
        <f t="shared" si="286"/>
        <v>2.3519999999999999E-3</v>
      </c>
      <c r="I716" s="3">
        <f t="shared" si="287"/>
        <v>60.434528477808634</v>
      </c>
      <c r="J716" s="4">
        <f t="shared" si="274"/>
        <v>1436319.6642349656</v>
      </c>
      <c r="K716" s="1">
        <f t="shared" si="275"/>
        <v>1998.98</v>
      </c>
      <c r="L716" s="5">
        <f t="shared" si="276"/>
        <v>0.13150684931506881</v>
      </c>
      <c r="M716" s="5">
        <f t="shared" si="277"/>
        <v>-0.57060091053113215</v>
      </c>
      <c r="N716" s="5">
        <f t="shared" si="278"/>
        <v>52.395800138539393</v>
      </c>
      <c r="O716" s="1">
        <f t="shared" si="279"/>
        <v>0</v>
      </c>
      <c r="P716" s="1">
        <f t="shared" si="280"/>
        <v>1998.98</v>
      </c>
      <c r="Q716" s="5">
        <f t="shared" si="281"/>
        <v>0.13150684931506881</v>
      </c>
      <c r="R716" s="5">
        <f t="shared" si="282"/>
        <v>-0.57060091053113215</v>
      </c>
      <c r="S716" s="5">
        <f t="shared" si="288"/>
        <v>52.395800138539393</v>
      </c>
      <c r="T716" s="5">
        <f t="shared" si="289"/>
        <v>-699.96308295190659</v>
      </c>
      <c r="U716" s="4">
        <f t="shared" si="290"/>
        <v>1436342.8421057118</v>
      </c>
      <c r="V716" s="4">
        <f t="shared" si="283"/>
        <v>23.178244767130522</v>
      </c>
      <c r="W716" s="4">
        <f t="shared" si="291"/>
        <v>1399667.7163070079</v>
      </c>
      <c r="X716" s="4">
        <f t="shared" si="295"/>
        <v>-1045.591285003582</v>
      </c>
      <c r="Y716" s="9">
        <f>SUM($X$6:X716)</f>
        <v>399667.71630700794</v>
      </c>
      <c r="Z716" s="16">
        <f t="shared" si="273"/>
        <v>0.39966771630700793</v>
      </c>
      <c r="AA716" s="16">
        <f t="shared" si="292"/>
        <v>0.55223716974926784</v>
      </c>
      <c r="AB716" s="16">
        <f t="shared" si="293"/>
        <v>-7.4647058704759115E-4</v>
      </c>
      <c r="AC716" s="16">
        <f t="shared" si="294"/>
        <v>-1.3853555326062317E-3</v>
      </c>
    </row>
    <row r="717" spans="1:29" x14ac:dyDescent="0.15">
      <c r="A717" s="8">
        <v>41942</v>
      </c>
      <c r="B717" s="4">
        <v>1994.65</v>
      </c>
      <c r="C717" s="1">
        <v>14.052099999999999</v>
      </c>
      <c r="D717" s="1">
        <v>1.99</v>
      </c>
      <c r="E717" s="1">
        <v>0.23749999999999999</v>
      </c>
      <c r="F717" s="4">
        <f t="shared" si="284"/>
        <v>0.14052100000000001</v>
      </c>
      <c r="G717" s="4">
        <f t="shared" si="285"/>
        <v>1.9900000000000001E-2</v>
      </c>
      <c r="H717" s="4">
        <f t="shared" si="286"/>
        <v>2.3749999999999999E-3</v>
      </c>
      <c r="I717" s="3">
        <f t="shared" si="287"/>
        <v>60.12039333720557</v>
      </c>
      <c r="J717" s="4">
        <f t="shared" si="274"/>
        <v>1436342.8421057118</v>
      </c>
      <c r="K717" s="1">
        <f t="shared" si="275"/>
        <v>1998.98</v>
      </c>
      <c r="L717" s="5">
        <f t="shared" si="276"/>
        <v>0.12876712328767156</v>
      </c>
      <c r="M717" s="5">
        <f t="shared" si="277"/>
        <v>-0.52359182116580638</v>
      </c>
      <c r="N717" s="5">
        <f t="shared" si="278"/>
        <v>44.673339981470043</v>
      </c>
      <c r="O717" s="1">
        <f t="shared" si="279"/>
        <v>0</v>
      </c>
      <c r="P717" s="1">
        <f t="shared" si="280"/>
        <v>1998.98</v>
      </c>
      <c r="Q717" s="5">
        <f t="shared" si="281"/>
        <v>0.12876712328767156</v>
      </c>
      <c r="R717" s="5">
        <f t="shared" si="282"/>
        <v>-0.52359182116580638</v>
      </c>
      <c r="S717" s="5">
        <f t="shared" si="288"/>
        <v>44.673339981470043</v>
      </c>
      <c r="T717" s="5">
        <f t="shared" si="289"/>
        <v>-699.96308295190659</v>
      </c>
      <c r="U717" s="4">
        <f t="shared" si="290"/>
        <v>1436366.0203504791</v>
      </c>
      <c r="V717" s="4">
        <f t="shared" si="283"/>
        <v>23.178618794148825</v>
      </c>
      <c r="W717" s="4">
        <f t="shared" si="291"/>
        <v>1405096.3315712905</v>
      </c>
      <c r="X717" s="4">
        <f t="shared" si="295"/>
        <v>5428.6152642825618</v>
      </c>
      <c r="Y717" s="9">
        <f>SUM($X$6:X717)</f>
        <v>405096.3315712905</v>
      </c>
      <c r="Z717" s="16">
        <f t="shared" si="273"/>
        <v>0.40509633157129049</v>
      </c>
      <c r="AA717" s="16">
        <f t="shared" si="292"/>
        <v>0.56190781952296698</v>
      </c>
      <c r="AB717" s="16">
        <f t="shared" si="293"/>
        <v>3.8785028768155362E-3</v>
      </c>
      <c r="AC717" s="16">
        <f t="shared" si="294"/>
        <v>6.2301367098825285E-3</v>
      </c>
    </row>
    <row r="718" spans="1:29" x14ac:dyDescent="0.15">
      <c r="A718" s="8">
        <v>41943</v>
      </c>
      <c r="B718" s="4">
        <v>2018.05</v>
      </c>
      <c r="C718" s="1">
        <v>13.6218</v>
      </c>
      <c r="D718" s="1">
        <v>1.97</v>
      </c>
      <c r="E718" s="1">
        <v>0.23730000000000001</v>
      </c>
      <c r="F718" s="4">
        <f t="shared" si="284"/>
        <v>0.13621800000000001</v>
      </c>
      <c r="G718" s="4">
        <f t="shared" si="285"/>
        <v>1.9699999999999999E-2</v>
      </c>
      <c r="H718" s="4">
        <f t="shared" si="286"/>
        <v>2.3730000000000001E-3</v>
      </c>
      <c r="I718" s="3">
        <f t="shared" si="287"/>
        <v>59.054475619377762</v>
      </c>
      <c r="J718" s="4">
        <f t="shared" si="274"/>
        <v>1436366.0203504791</v>
      </c>
      <c r="K718" s="1">
        <f t="shared" si="275"/>
        <v>1998.98</v>
      </c>
      <c r="L718" s="5">
        <f t="shared" si="276"/>
        <v>0.12602739726027432</v>
      </c>
      <c r="M718" s="5">
        <f t="shared" si="277"/>
        <v>-0.42932968630157042</v>
      </c>
      <c r="N718" s="5">
        <f t="shared" si="278"/>
        <v>31.799863586591826</v>
      </c>
      <c r="O718" s="1">
        <f t="shared" si="279"/>
        <v>0</v>
      </c>
      <c r="P718" s="1">
        <f t="shared" si="280"/>
        <v>1998.98</v>
      </c>
      <c r="Q718" s="5">
        <f t="shared" si="281"/>
        <v>0.12602739726027432</v>
      </c>
      <c r="R718" s="5">
        <f t="shared" si="282"/>
        <v>-0.42932968630157042</v>
      </c>
      <c r="S718" s="5">
        <f t="shared" si="288"/>
        <v>31.799863586591826</v>
      </c>
      <c r="T718" s="5">
        <f t="shared" si="289"/>
        <v>-699.96308295190659</v>
      </c>
      <c r="U718" s="4">
        <f t="shared" si="290"/>
        <v>1436389.1989692731</v>
      </c>
      <c r="V718" s="4">
        <f t="shared" si="283"/>
        <v>23.178992827202791</v>
      </c>
      <c r="W718" s="4">
        <f t="shared" si="291"/>
        <v>1414130.4684157523</v>
      </c>
      <c r="X718" s="4">
        <f t="shared" si="295"/>
        <v>9034.1368444617838</v>
      </c>
      <c r="Y718" s="9">
        <f>SUM($X$6:X718)</f>
        <v>414130.46841575229</v>
      </c>
      <c r="Z718" s="16">
        <f t="shared" si="273"/>
        <v>0.4141304684157523</v>
      </c>
      <c r="AA718" s="16">
        <f t="shared" si="292"/>
        <v>0.58023115593629115</v>
      </c>
      <c r="AB718" s="16">
        <f t="shared" si="293"/>
        <v>6.4295498048586412E-3</v>
      </c>
      <c r="AC718" s="16">
        <f t="shared" si="294"/>
        <v>1.1731381445366286E-2</v>
      </c>
    </row>
    <row r="719" spans="1:29" x14ac:dyDescent="0.15">
      <c r="A719" s="8">
        <v>41946</v>
      </c>
      <c r="B719" s="4">
        <v>2017.81</v>
      </c>
      <c r="C719" s="1">
        <v>13.921900000000001</v>
      </c>
      <c r="D719" s="1">
        <v>1.97</v>
      </c>
      <c r="E719" s="1">
        <v>0.23749999999999999</v>
      </c>
      <c r="F719" s="4">
        <f t="shared" si="284"/>
        <v>0.13921900000000001</v>
      </c>
      <c r="G719" s="4">
        <f t="shared" si="285"/>
        <v>1.9699999999999999E-2</v>
      </c>
      <c r="H719" s="4">
        <f t="shared" si="286"/>
        <v>2.3749999999999999E-3</v>
      </c>
      <c r="I719" s="3">
        <f t="shared" si="287"/>
        <v>60.246746704814527</v>
      </c>
      <c r="J719" s="4">
        <f t="shared" si="274"/>
        <v>1436389.1989692731</v>
      </c>
      <c r="K719" s="1">
        <f t="shared" si="275"/>
        <v>1998.98</v>
      </c>
      <c r="L719" s="5">
        <f t="shared" si="276"/>
        <v>0.11780821917808254</v>
      </c>
      <c r="M719" s="5">
        <f t="shared" si="277"/>
        <v>-0.42860610776268332</v>
      </c>
      <c r="N719" s="5">
        <f t="shared" si="278"/>
        <v>31.326523814955653</v>
      </c>
      <c r="O719" s="1">
        <f t="shared" si="279"/>
        <v>0</v>
      </c>
      <c r="P719" s="1">
        <f t="shared" si="280"/>
        <v>1998.98</v>
      </c>
      <c r="Q719" s="5">
        <f t="shared" si="281"/>
        <v>0.11780821917808254</v>
      </c>
      <c r="R719" s="5">
        <f t="shared" si="282"/>
        <v>-0.42860610776268332</v>
      </c>
      <c r="S719" s="5">
        <f t="shared" si="288"/>
        <v>31.326523814955653</v>
      </c>
      <c r="T719" s="5">
        <f t="shared" si="289"/>
        <v>-699.96308295190659</v>
      </c>
      <c r="U719" s="4">
        <f t="shared" si="290"/>
        <v>1436412.3779621003</v>
      </c>
      <c r="V719" s="4">
        <f t="shared" si="283"/>
        <v>69.538100598877548</v>
      </c>
      <c r="W719" s="4">
        <f t="shared" si="291"/>
        <v>1414484.9677744177</v>
      </c>
      <c r="X719" s="4">
        <f t="shared" si="295"/>
        <v>354.49935866543092</v>
      </c>
      <c r="Y719" s="9">
        <f>SUM($X$6:X719)</f>
        <v>414484.96777441772</v>
      </c>
      <c r="Z719" s="16">
        <f t="shared" si="273"/>
        <v>0.41448496777441773</v>
      </c>
      <c r="AA719" s="16">
        <f t="shared" si="292"/>
        <v>0.58004322428076993</v>
      </c>
      <c r="AB719" s="16">
        <f t="shared" si="293"/>
        <v>2.5068362968133759E-4</v>
      </c>
      <c r="AC719" s="16">
        <f t="shared" si="294"/>
        <v>-1.1892668665296157E-4</v>
      </c>
    </row>
    <row r="720" spans="1:29" x14ac:dyDescent="0.15">
      <c r="A720" s="8">
        <v>41947</v>
      </c>
      <c r="B720" s="4">
        <v>2012.1</v>
      </c>
      <c r="C720" s="1">
        <v>14.1104</v>
      </c>
      <c r="D720" s="1">
        <v>1.97</v>
      </c>
      <c r="E720" s="1">
        <v>0.23699999999999999</v>
      </c>
      <c r="F720" s="4">
        <f t="shared" si="284"/>
        <v>0.14110400000000001</v>
      </c>
      <c r="G720" s="4">
        <f t="shared" si="285"/>
        <v>1.9699999999999999E-2</v>
      </c>
      <c r="H720" s="4">
        <f t="shared" si="286"/>
        <v>2.3699999999999997E-3</v>
      </c>
      <c r="I720" s="3">
        <f t="shared" si="287"/>
        <v>60.82915876644072</v>
      </c>
      <c r="J720" s="4">
        <f t="shared" si="274"/>
        <v>1436412.3779621003</v>
      </c>
      <c r="K720" s="1">
        <f t="shared" si="275"/>
        <v>1998.98</v>
      </c>
      <c r="L720" s="5">
        <f t="shared" si="276"/>
        <v>0.11506849315068528</v>
      </c>
      <c r="M720" s="5">
        <f t="shared" si="277"/>
        <v>-0.45163454819205862</v>
      </c>
      <c r="N720" s="5">
        <f t="shared" si="278"/>
        <v>33.862036327922695</v>
      </c>
      <c r="O720" s="1">
        <f t="shared" si="279"/>
        <v>0</v>
      </c>
      <c r="P720" s="1">
        <f t="shared" si="280"/>
        <v>1998.98</v>
      </c>
      <c r="Q720" s="5">
        <f t="shared" si="281"/>
        <v>0.11506849315068528</v>
      </c>
      <c r="R720" s="5">
        <f t="shared" si="282"/>
        <v>-0.45163454819205862</v>
      </c>
      <c r="S720" s="5">
        <f t="shared" si="288"/>
        <v>33.862036327922695</v>
      </c>
      <c r="T720" s="5">
        <f t="shared" si="289"/>
        <v>-699.96308295190659</v>
      </c>
      <c r="U720" s="4">
        <f t="shared" si="290"/>
        <v>1436481.9160626992</v>
      </c>
      <c r="V720" s="4">
        <f t="shared" si="283"/>
        <v>23.180489001669308</v>
      </c>
      <c r="W720" s="4">
        <f t="shared" si="291"/>
        <v>1412779.7407195768</v>
      </c>
      <c r="X720" s="4">
        <f t="shared" si="295"/>
        <v>-1705.2270548408851</v>
      </c>
      <c r="Y720" s="9">
        <f>SUM($X$6:X720)</f>
        <v>412779.74071957683</v>
      </c>
      <c r="Z720" s="16">
        <f t="shared" si="273"/>
        <v>0.41277974071957685</v>
      </c>
      <c r="AA720" s="16">
        <f t="shared" si="292"/>
        <v>0.57557201697649285</v>
      </c>
      <c r="AB720" s="16">
        <f t="shared" si="293"/>
        <v>-1.2055462544249781E-3</v>
      </c>
      <c r="AC720" s="16">
        <f t="shared" si="294"/>
        <v>-2.8298006254305593E-3</v>
      </c>
    </row>
    <row r="721" spans="1:29" x14ac:dyDescent="0.15">
      <c r="A721" s="8">
        <v>41948</v>
      </c>
      <c r="B721" s="4">
        <v>2023.57</v>
      </c>
      <c r="C721" s="1">
        <v>13.724600000000001</v>
      </c>
      <c r="D721" s="1">
        <v>1.96</v>
      </c>
      <c r="E721" s="1">
        <v>0.2369</v>
      </c>
      <c r="F721" s="4">
        <f t="shared" si="284"/>
        <v>0.13724600000000001</v>
      </c>
      <c r="G721" s="4">
        <f t="shared" si="285"/>
        <v>1.9599999999999999E-2</v>
      </c>
      <c r="H721" s="4">
        <f t="shared" si="286"/>
        <v>2.369E-3</v>
      </c>
      <c r="I721" s="3">
        <f t="shared" si="287"/>
        <v>59.603591617210476</v>
      </c>
      <c r="J721" s="4">
        <f t="shared" si="274"/>
        <v>1436481.9160626992</v>
      </c>
      <c r="K721" s="1">
        <f t="shared" si="275"/>
        <v>1998.98</v>
      </c>
      <c r="L721" s="5">
        <f t="shared" si="276"/>
        <v>0.11232876712328801</v>
      </c>
      <c r="M721" s="5">
        <f t="shared" si="277"/>
        <v>-0.40167848646130438</v>
      </c>
      <c r="N721" s="5">
        <f t="shared" si="278"/>
        <v>27.442167284282917</v>
      </c>
      <c r="O721" s="1">
        <f t="shared" si="279"/>
        <v>0</v>
      </c>
      <c r="P721" s="1">
        <f t="shared" si="280"/>
        <v>1998.98</v>
      </c>
      <c r="Q721" s="5">
        <f t="shared" si="281"/>
        <v>0.11232876712328801</v>
      </c>
      <c r="R721" s="5">
        <f t="shared" si="282"/>
        <v>-0.40167848646130438</v>
      </c>
      <c r="S721" s="5">
        <f t="shared" si="288"/>
        <v>27.442167284282917</v>
      </c>
      <c r="T721" s="5">
        <f t="shared" si="289"/>
        <v>-699.96308295190659</v>
      </c>
      <c r="U721" s="4">
        <f t="shared" si="290"/>
        <v>1436505.0965517007</v>
      </c>
      <c r="V721" s="4">
        <f t="shared" si="283"/>
        <v>23.180863064902788</v>
      </c>
      <c r="W721" s="4">
        <f t="shared" si="291"/>
        <v>1417296.5925365121</v>
      </c>
      <c r="X721" s="4">
        <f t="shared" si="295"/>
        <v>4516.8518169352319</v>
      </c>
      <c r="Y721" s="9">
        <f>SUM($X$6:X721)</f>
        <v>417296.59253651206</v>
      </c>
      <c r="Z721" s="16">
        <f t="shared" si="273"/>
        <v>0.41729659253651208</v>
      </c>
      <c r="AA721" s="16">
        <f t="shared" si="292"/>
        <v>0.5845535840132805</v>
      </c>
      <c r="AB721" s="16">
        <f t="shared" si="293"/>
        <v>3.1971380157494651E-3</v>
      </c>
      <c r="AC721" s="16">
        <f t="shared" si="294"/>
        <v>5.7005119029869432E-3</v>
      </c>
    </row>
    <row r="722" spans="1:29" x14ac:dyDescent="0.15">
      <c r="A722" s="8">
        <v>41949</v>
      </c>
      <c r="B722" s="4">
        <v>2031.21</v>
      </c>
      <c r="C722" s="1">
        <v>13.2188</v>
      </c>
      <c r="D722" s="1">
        <v>1.96</v>
      </c>
      <c r="E722" s="1">
        <v>0.23669999999999999</v>
      </c>
      <c r="F722" s="4">
        <f t="shared" si="284"/>
        <v>0.132188</v>
      </c>
      <c r="G722" s="4">
        <f t="shared" si="285"/>
        <v>1.9599999999999999E-2</v>
      </c>
      <c r="H722" s="4">
        <f t="shared" si="286"/>
        <v>2.3669999999999997E-3</v>
      </c>
      <c r="I722" s="3">
        <f t="shared" si="287"/>
        <v>57.793549788345338</v>
      </c>
      <c r="J722" s="4">
        <f t="shared" si="274"/>
        <v>1436505.0965517007</v>
      </c>
      <c r="K722" s="1">
        <f t="shared" si="275"/>
        <v>1998.98</v>
      </c>
      <c r="L722" s="5">
        <f t="shared" si="276"/>
        <v>0.10958904109589075</v>
      </c>
      <c r="M722" s="5">
        <f t="shared" si="277"/>
        <v>-0.36455198984758319</v>
      </c>
      <c r="N722" s="5">
        <f t="shared" si="278"/>
        <v>22.747738186853823</v>
      </c>
      <c r="O722" s="1">
        <f t="shared" si="279"/>
        <v>0</v>
      </c>
      <c r="P722" s="1">
        <f t="shared" si="280"/>
        <v>1998.98</v>
      </c>
      <c r="Q722" s="5">
        <f t="shared" si="281"/>
        <v>0.10958904109589075</v>
      </c>
      <c r="R722" s="5">
        <f t="shared" si="282"/>
        <v>-0.36455198984758319</v>
      </c>
      <c r="S722" s="5">
        <f t="shared" si="288"/>
        <v>22.747738186853823</v>
      </c>
      <c r="T722" s="5">
        <f t="shared" si="289"/>
        <v>-699.96308295190659</v>
      </c>
      <c r="U722" s="4">
        <f t="shared" si="290"/>
        <v>1436528.2774147657</v>
      </c>
      <c r="V722" s="4">
        <f t="shared" si="283"/>
        <v>23.18123713417252</v>
      </c>
      <c r="W722" s="4">
        <f t="shared" si="291"/>
        <v>1420605.7004633127</v>
      </c>
      <c r="X722" s="4">
        <f t="shared" si="295"/>
        <v>3309.1079268006142</v>
      </c>
      <c r="Y722" s="9">
        <f>SUM($X$6:X722)</f>
        <v>420605.70046331268</v>
      </c>
      <c r="Z722" s="16">
        <f t="shared" ref="Z722:Z785" si="296">Y722/$H$3</f>
        <v>0.42060570046331269</v>
      </c>
      <c r="AA722" s="16">
        <f t="shared" si="292"/>
        <v>0.59053607504737449</v>
      </c>
      <c r="AB722" s="16">
        <f t="shared" si="293"/>
        <v>2.3348027111801343E-3</v>
      </c>
      <c r="AC722" s="16">
        <f t="shared" si="294"/>
        <v>3.7755056657294288E-3</v>
      </c>
    </row>
    <row r="723" spans="1:29" x14ac:dyDescent="0.15">
      <c r="A723" s="8">
        <v>41950</v>
      </c>
      <c r="B723" s="4">
        <v>2031.92</v>
      </c>
      <c r="C723" s="1">
        <v>12.8339</v>
      </c>
      <c r="D723" s="1">
        <v>1.95</v>
      </c>
      <c r="E723" s="1">
        <v>0.23780000000000001</v>
      </c>
      <c r="F723" s="4">
        <f t="shared" si="284"/>
        <v>0.12833900000000001</v>
      </c>
      <c r="G723" s="4">
        <f t="shared" si="285"/>
        <v>1.95E-2</v>
      </c>
      <c r="H723" s="4">
        <f t="shared" si="286"/>
        <v>2.3779999999999999E-3</v>
      </c>
      <c r="I723" s="3">
        <f t="shared" si="287"/>
        <v>56.235410666362981</v>
      </c>
      <c r="J723" s="4">
        <f t="shared" si="274"/>
        <v>1436528.2774147657</v>
      </c>
      <c r="K723" s="1">
        <f t="shared" si="275"/>
        <v>1998.98</v>
      </c>
      <c r="L723" s="5">
        <f t="shared" si="276"/>
        <v>0.10684931506849349</v>
      </c>
      <c r="M723" s="5">
        <f t="shared" si="277"/>
        <v>-0.35608023244909143</v>
      </c>
      <c r="N723" s="5">
        <f t="shared" si="278"/>
        <v>21.075562670361943</v>
      </c>
      <c r="O723" s="1">
        <f t="shared" si="279"/>
        <v>0</v>
      </c>
      <c r="P723" s="1">
        <f t="shared" si="280"/>
        <v>1998.98</v>
      </c>
      <c r="Q723" s="5">
        <f t="shared" si="281"/>
        <v>0.10684931506849349</v>
      </c>
      <c r="R723" s="5">
        <f t="shared" si="282"/>
        <v>-0.35608023244909143</v>
      </c>
      <c r="S723" s="5">
        <f t="shared" si="288"/>
        <v>21.075562670361943</v>
      </c>
      <c r="T723" s="5">
        <f t="shared" si="289"/>
        <v>-699.96308295190659</v>
      </c>
      <c r="U723" s="4">
        <f t="shared" si="290"/>
        <v>1436551.4586518998</v>
      </c>
      <c r="V723" s="4">
        <f t="shared" si="283"/>
        <v>23.181611209478604</v>
      </c>
      <c r="W723" s="4">
        <f t="shared" si="291"/>
        <v>1421799.3428302072</v>
      </c>
      <c r="X723" s="4">
        <f t="shared" si="295"/>
        <v>1193.6423668945208</v>
      </c>
      <c r="Y723" s="9">
        <f>SUM($X$6:X723)</f>
        <v>421799.3428302072</v>
      </c>
      <c r="Z723" s="16">
        <f t="shared" si="296"/>
        <v>0.4217993428302072</v>
      </c>
      <c r="AA723" s="16">
        <f t="shared" si="292"/>
        <v>0.5910920395282917</v>
      </c>
      <c r="AB723" s="16">
        <f t="shared" si="293"/>
        <v>8.4023481428043641E-4</v>
      </c>
      <c r="AC723" s="16">
        <f t="shared" si="294"/>
        <v>3.4954534489296351E-4</v>
      </c>
    </row>
    <row r="724" spans="1:29" x14ac:dyDescent="0.15">
      <c r="A724" s="8">
        <v>41953</v>
      </c>
      <c r="B724" s="4">
        <v>2038.26</v>
      </c>
      <c r="C724" s="1">
        <v>12.4124</v>
      </c>
      <c r="D724" s="1">
        <v>1.95</v>
      </c>
      <c r="E724" s="1">
        <v>0.23830000000000001</v>
      </c>
      <c r="F724" s="4">
        <f t="shared" si="284"/>
        <v>0.124124</v>
      </c>
      <c r="G724" s="4">
        <f t="shared" si="285"/>
        <v>1.95E-2</v>
      </c>
      <c r="H724" s="4">
        <f t="shared" si="286"/>
        <v>2.3830000000000001E-3</v>
      </c>
      <c r="I724" s="3">
        <f t="shared" si="287"/>
        <v>54.70756264562462</v>
      </c>
      <c r="J724" s="4">
        <f t="shared" si="274"/>
        <v>1436551.4586518998</v>
      </c>
      <c r="K724" s="1">
        <f t="shared" si="275"/>
        <v>1998.98</v>
      </c>
      <c r="L724" s="5">
        <f t="shared" si="276"/>
        <v>9.8630136986301714E-2</v>
      </c>
      <c r="M724" s="5">
        <f t="shared" si="277"/>
        <v>-0.31664963347429254</v>
      </c>
      <c r="N724" s="5">
        <f t="shared" si="278"/>
        <v>16.642301822066401</v>
      </c>
      <c r="O724" s="1">
        <f t="shared" si="279"/>
        <v>0</v>
      </c>
      <c r="P724" s="1">
        <f t="shared" si="280"/>
        <v>1998.98</v>
      </c>
      <c r="Q724" s="5">
        <f t="shared" si="281"/>
        <v>9.8630136986301714E-2</v>
      </c>
      <c r="R724" s="5">
        <f t="shared" si="282"/>
        <v>-0.31664963347429254</v>
      </c>
      <c r="S724" s="5">
        <f t="shared" si="288"/>
        <v>16.642301822066401</v>
      </c>
      <c r="T724" s="5">
        <f t="shared" si="289"/>
        <v>-699.96308295190659</v>
      </c>
      <c r="U724" s="4">
        <f t="shared" si="290"/>
        <v>1436574.6402631092</v>
      </c>
      <c r="V724" s="4">
        <f t="shared" si="283"/>
        <v>69.545955872463381</v>
      </c>
      <c r="W724" s="4">
        <f t="shared" si="291"/>
        <v>1424925.6433723194</v>
      </c>
      <c r="X724" s="4">
        <f t="shared" si="295"/>
        <v>3126.300542112207</v>
      </c>
      <c r="Y724" s="9">
        <f>SUM($X$6:X724)</f>
        <v>424925.64337231941</v>
      </c>
      <c r="Z724" s="16">
        <f t="shared" si="296"/>
        <v>0.42492564337231942</v>
      </c>
      <c r="AA724" s="16">
        <f t="shared" si="292"/>
        <v>0.59605656742831192</v>
      </c>
      <c r="AB724" s="16">
        <f t="shared" si="293"/>
        <v>2.1988338634965549E-3</v>
      </c>
      <c r="AC724" s="16">
        <f t="shared" si="294"/>
        <v>3.1202015827394374E-3</v>
      </c>
    </row>
    <row r="725" spans="1:29" x14ac:dyDescent="0.15">
      <c r="A725" s="8">
        <v>41954</v>
      </c>
      <c r="B725" s="4">
        <v>2039.68</v>
      </c>
      <c r="C725" s="1">
        <v>12.4641</v>
      </c>
      <c r="D725" s="1">
        <v>1.95</v>
      </c>
      <c r="E725" s="1">
        <v>0.2384</v>
      </c>
      <c r="F725" s="4">
        <f t="shared" si="284"/>
        <v>0.124641</v>
      </c>
      <c r="G725" s="4">
        <f t="shared" si="285"/>
        <v>1.95E-2</v>
      </c>
      <c r="H725" s="4">
        <f t="shared" si="286"/>
        <v>2.3839999999999998E-3</v>
      </c>
      <c r="I725" s="3">
        <f t="shared" si="287"/>
        <v>54.954291565157632</v>
      </c>
      <c r="J725" s="4">
        <f t="shared" si="274"/>
        <v>1436574.6402631092</v>
      </c>
      <c r="K725" s="1">
        <f t="shared" si="275"/>
        <v>1998.98</v>
      </c>
      <c r="L725" s="5">
        <f t="shared" si="276"/>
        <v>9.5890410958904451E-2</v>
      </c>
      <c r="M725" s="5">
        <f t="shared" si="277"/>
        <v>-0.30831456958953923</v>
      </c>
      <c r="N725" s="5">
        <f t="shared" si="278"/>
        <v>15.89103997952717</v>
      </c>
      <c r="O725" s="1">
        <f t="shared" si="279"/>
        <v>0</v>
      </c>
      <c r="P725" s="1">
        <f t="shared" si="280"/>
        <v>1998.98</v>
      </c>
      <c r="Q725" s="5">
        <f t="shared" si="281"/>
        <v>9.5890410958904451E-2</v>
      </c>
      <c r="R725" s="5">
        <f t="shared" si="282"/>
        <v>-0.30831456958953923</v>
      </c>
      <c r="S725" s="5">
        <f t="shared" si="288"/>
        <v>15.89103997952717</v>
      </c>
      <c r="T725" s="5">
        <f t="shared" si="289"/>
        <v>-699.96308295190659</v>
      </c>
      <c r="U725" s="4">
        <f t="shared" si="290"/>
        <v>1436644.1862189816</v>
      </c>
      <c r="V725" s="4">
        <f t="shared" si="283"/>
        <v>23.183107552958358</v>
      </c>
      <c r="W725" s="4">
        <f t="shared" si="291"/>
        <v>1425521.0448835997</v>
      </c>
      <c r="X725" s="4">
        <f t="shared" si="295"/>
        <v>595.40151128033176</v>
      </c>
      <c r="Y725" s="9">
        <f>SUM($X$6:X725)</f>
        <v>425521.04488359974</v>
      </c>
      <c r="Z725" s="16">
        <f t="shared" si="296"/>
        <v>0.42552104488359976</v>
      </c>
      <c r="AA725" s="16">
        <f t="shared" si="292"/>
        <v>0.59716849639014624</v>
      </c>
      <c r="AB725" s="16">
        <f t="shared" si="293"/>
        <v>4.1784742526719976E-4</v>
      </c>
      <c r="AC725" s="16">
        <f t="shared" si="294"/>
        <v>6.9667265216413646E-4</v>
      </c>
    </row>
    <row r="726" spans="1:29" x14ac:dyDescent="0.15">
      <c r="A726" s="8">
        <v>41955</v>
      </c>
      <c r="B726" s="4">
        <v>2038.25</v>
      </c>
      <c r="C726" s="1">
        <v>12.6928</v>
      </c>
      <c r="D726" s="1">
        <v>1.95</v>
      </c>
      <c r="E726" s="1">
        <v>0.2382</v>
      </c>
      <c r="F726" s="4">
        <f t="shared" si="284"/>
        <v>0.12692800000000001</v>
      </c>
      <c r="G726" s="4">
        <f t="shared" si="285"/>
        <v>1.95E-2</v>
      </c>
      <c r="H726" s="4">
        <f t="shared" si="286"/>
        <v>2.382E-3</v>
      </c>
      <c r="I726" s="3">
        <f t="shared" si="287"/>
        <v>55.839746991924599</v>
      </c>
      <c r="J726" s="4">
        <f t="shared" si="274"/>
        <v>1436644.1862189816</v>
      </c>
      <c r="K726" s="1">
        <f t="shared" si="275"/>
        <v>1998.98</v>
      </c>
      <c r="L726" s="5">
        <f t="shared" si="276"/>
        <v>9.3150684931507188E-2</v>
      </c>
      <c r="M726" s="5">
        <f t="shared" si="277"/>
        <v>-0.3148985149644104</v>
      </c>
      <c r="N726" s="5">
        <f t="shared" si="278"/>
        <v>16.409789283574401</v>
      </c>
      <c r="O726" s="1">
        <f t="shared" si="279"/>
        <v>0</v>
      </c>
      <c r="P726" s="1">
        <f t="shared" si="280"/>
        <v>1998.98</v>
      </c>
      <c r="Q726" s="5">
        <f t="shared" si="281"/>
        <v>9.3150684931507188E-2</v>
      </c>
      <c r="R726" s="5">
        <f t="shared" si="282"/>
        <v>-0.3148985149644104</v>
      </c>
      <c r="S726" s="5">
        <f t="shared" si="288"/>
        <v>16.409789283574401</v>
      </c>
      <c r="T726" s="5">
        <f t="shared" si="289"/>
        <v>-699.96308295190659</v>
      </c>
      <c r="U726" s="4">
        <f t="shared" si="290"/>
        <v>1436667.3693265347</v>
      </c>
      <c r="V726" s="4">
        <f t="shared" si="283"/>
        <v>23.183481658447366</v>
      </c>
      <c r="W726" s="4">
        <f t="shared" si="291"/>
        <v>1425181.1226290127</v>
      </c>
      <c r="X726" s="4">
        <f t="shared" si="295"/>
        <v>-339.92225458705798</v>
      </c>
      <c r="Y726" s="9">
        <f>SUM($X$6:X726)</f>
        <v>425181.12262901268</v>
      </c>
      <c r="Z726" s="16">
        <f t="shared" si="296"/>
        <v>0.4251811226290127</v>
      </c>
      <c r="AA726" s="16">
        <f t="shared" si="292"/>
        <v>0.59604873694266525</v>
      </c>
      <c r="AB726" s="16">
        <f t="shared" si="293"/>
        <v>-2.3845474313205538E-4</v>
      </c>
      <c r="AC726" s="16">
        <f t="shared" si="294"/>
        <v>-7.0109036711644165E-4</v>
      </c>
    </row>
    <row r="727" spans="1:29" x14ac:dyDescent="0.15">
      <c r="A727" s="8">
        <v>41956</v>
      </c>
      <c r="B727" s="4">
        <v>2039.33</v>
      </c>
      <c r="C727" s="1">
        <v>12.6929</v>
      </c>
      <c r="D727" s="1">
        <v>1.95</v>
      </c>
      <c r="E727" s="1">
        <v>0.23730000000000001</v>
      </c>
      <c r="F727" s="4">
        <f t="shared" si="284"/>
        <v>0.12692899999999999</v>
      </c>
      <c r="G727" s="4">
        <f t="shared" si="285"/>
        <v>1.95E-2</v>
      </c>
      <c r="H727" s="4">
        <f t="shared" si="286"/>
        <v>2.3730000000000001E-3</v>
      </c>
      <c r="I727" s="3">
        <f t="shared" si="287"/>
        <v>55.872205608260657</v>
      </c>
      <c r="J727" s="4">
        <f t="shared" si="274"/>
        <v>1436667.3693265347</v>
      </c>
      <c r="K727" s="1">
        <f t="shared" si="275"/>
        <v>1998.98</v>
      </c>
      <c r="L727" s="5">
        <f t="shared" si="276"/>
        <v>9.0410958904109925E-2</v>
      </c>
      <c r="M727" s="5">
        <f t="shared" si="277"/>
        <v>-0.30724546131846941</v>
      </c>
      <c r="N727" s="5">
        <f t="shared" si="278"/>
        <v>15.631900734906708</v>
      </c>
      <c r="O727" s="1">
        <f t="shared" si="279"/>
        <v>0</v>
      </c>
      <c r="P727" s="1">
        <f t="shared" si="280"/>
        <v>1998.98</v>
      </c>
      <c r="Q727" s="5">
        <f t="shared" si="281"/>
        <v>9.0410958904109925E-2</v>
      </c>
      <c r="R727" s="5">
        <f t="shared" si="282"/>
        <v>-0.30724546131846941</v>
      </c>
      <c r="S727" s="5">
        <f t="shared" si="288"/>
        <v>15.631900734906708</v>
      </c>
      <c r="T727" s="5">
        <f t="shared" si="289"/>
        <v>-699.96308295190659</v>
      </c>
      <c r="U727" s="4">
        <f t="shared" si="290"/>
        <v>1436690.552808193</v>
      </c>
      <c r="V727" s="4">
        <f t="shared" si="283"/>
        <v>23.183855769973306</v>
      </c>
      <c r="W727" s="4">
        <f t="shared" si="291"/>
        <v>1425748.7993773895</v>
      </c>
      <c r="X727" s="4">
        <f t="shared" si="295"/>
        <v>567.67674837680534</v>
      </c>
      <c r="Y727" s="9">
        <f>SUM($X$6:X727)</f>
        <v>425748.79937738949</v>
      </c>
      <c r="Z727" s="16">
        <f t="shared" si="296"/>
        <v>0.42574879937738946</v>
      </c>
      <c r="AA727" s="16">
        <f t="shared" si="292"/>
        <v>0.59689442939251092</v>
      </c>
      <c r="AB727" s="16">
        <f t="shared" si="293"/>
        <v>3.9831902020258278E-4</v>
      </c>
      <c r="AC727" s="16">
        <f t="shared" si="294"/>
        <v>5.29866306880867E-4</v>
      </c>
    </row>
    <row r="728" spans="1:29" x14ac:dyDescent="0.15">
      <c r="A728" s="8">
        <v>41957</v>
      </c>
      <c r="B728" s="4">
        <v>2039.82</v>
      </c>
      <c r="C728" s="1">
        <v>12.806799999999999</v>
      </c>
      <c r="D728" s="1">
        <v>1.95</v>
      </c>
      <c r="E728" s="1">
        <v>0.23730000000000001</v>
      </c>
      <c r="F728" s="4">
        <f t="shared" si="284"/>
        <v>0.12806799999999999</v>
      </c>
      <c r="G728" s="4">
        <f t="shared" si="285"/>
        <v>1.95E-2</v>
      </c>
      <c r="H728" s="4">
        <f t="shared" si="286"/>
        <v>2.3730000000000001E-3</v>
      </c>
      <c r="I728" s="3">
        <f t="shared" si="287"/>
        <v>56.345906788580045</v>
      </c>
      <c r="J728" s="4">
        <f t="shared" si="274"/>
        <v>1436690.552808193</v>
      </c>
      <c r="K728" s="1">
        <f t="shared" si="275"/>
        <v>1998.98</v>
      </c>
      <c r="L728" s="5">
        <f t="shared" si="276"/>
        <v>8.7671232876712663E-2</v>
      </c>
      <c r="M728" s="5">
        <f t="shared" si="277"/>
        <v>-0.30355826931562907</v>
      </c>
      <c r="N728" s="5">
        <f t="shared" si="278"/>
        <v>15.277827910441843</v>
      </c>
      <c r="O728" s="1">
        <f t="shared" si="279"/>
        <v>0</v>
      </c>
      <c r="P728" s="1">
        <f t="shared" si="280"/>
        <v>1998.98</v>
      </c>
      <c r="Q728" s="5">
        <f t="shared" si="281"/>
        <v>8.7671232876712663E-2</v>
      </c>
      <c r="R728" s="5">
        <f t="shared" si="282"/>
        <v>-0.30355826931562907</v>
      </c>
      <c r="S728" s="5">
        <f t="shared" si="288"/>
        <v>15.277827910441843</v>
      </c>
      <c r="T728" s="5">
        <f t="shared" si="289"/>
        <v>-699.96308295190659</v>
      </c>
      <c r="U728" s="4">
        <f t="shared" si="290"/>
        <v>1436713.7366639629</v>
      </c>
      <c r="V728" s="4">
        <f t="shared" si="283"/>
        <v>23.184229887536276</v>
      </c>
      <c r="W728" s="4">
        <f t="shared" si="291"/>
        <v>1426019.8211389615</v>
      </c>
      <c r="X728" s="4">
        <f t="shared" si="295"/>
        <v>271.02176157198846</v>
      </c>
      <c r="Y728" s="9">
        <f>SUM($X$6:X728)</f>
        <v>426019.82113896147</v>
      </c>
      <c r="Z728" s="16">
        <f t="shared" si="296"/>
        <v>0.42601982113896147</v>
      </c>
      <c r="AA728" s="16">
        <f t="shared" si="292"/>
        <v>0.59727812318920026</v>
      </c>
      <c r="AB728" s="16">
        <f t="shared" si="293"/>
        <v>1.9009082223344042E-4</v>
      </c>
      <c r="AC728" s="16">
        <f t="shared" si="294"/>
        <v>2.4027499227687971E-4</v>
      </c>
    </row>
    <row r="729" spans="1:29" x14ac:dyDescent="0.15">
      <c r="A729" s="8">
        <v>41960</v>
      </c>
      <c r="B729" s="4">
        <v>2041.32</v>
      </c>
      <c r="C729" s="1">
        <v>12.728300000000001</v>
      </c>
      <c r="D729" s="1">
        <v>1.95</v>
      </c>
      <c r="E729" s="1">
        <v>0.23699999999999999</v>
      </c>
      <c r="F729" s="4">
        <f t="shared" si="284"/>
        <v>0.12728300000000001</v>
      </c>
      <c r="G729" s="4">
        <f t="shared" si="285"/>
        <v>1.95E-2</v>
      </c>
      <c r="H729" s="4">
        <f t="shared" si="286"/>
        <v>2.3699999999999997E-3</v>
      </c>
      <c r="I729" s="3">
        <f t="shared" si="287"/>
        <v>56.070706501943974</v>
      </c>
      <c r="J729" s="4">
        <f t="shared" si="274"/>
        <v>1436713.7366639629</v>
      </c>
      <c r="K729" s="1">
        <f t="shared" si="275"/>
        <v>1998.98</v>
      </c>
      <c r="L729" s="5">
        <f t="shared" si="276"/>
        <v>7.9452054794520888E-2</v>
      </c>
      <c r="M729" s="5">
        <f t="shared" si="277"/>
        <v>-0.28586510691532596</v>
      </c>
      <c r="N729" s="5">
        <f t="shared" si="278"/>
        <v>13.315030102919394</v>
      </c>
      <c r="O729" s="1">
        <f t="shared" si="279"/>
        <v>0</v>
      </c>
      <c r="P729" s="1">
        <f t="shared" si="280"/>
        <v>1998.98</v>
      </c>
      <c r="Q729" s="5">
        <f t="shared" si="281"/>
        <v>7.9452054794520888E-2</v>
      </c>
      <c r="R729" s="5">
        <f t="shared" si="282"/>
        <v>-0.28586510691532596</v>
      </c>
      <c r="S729" s="5">
        <f t="shared" si="288"/>
        <v>13.315030102919394</v>
      </c>
      <c r="T729" s="5">
        <f t="shared" si="289"/>
        <v>-699.96308295190659</v>
      </c>
      <c r="U729" s="4">
        <f t="shared" si="290"/>
        <v>1436736.9208938505</v>
      </c>
      <c r="V729" s="4">
        <f t="shared" si="283"/>
        <v>69.553812033409145</v>
      </c>
      <c r="W729" s="4">
        <f t="shared" si="291"/>
        <v>1427416.8913734136</v>
      </c>
      <c r="X729" s="4">
        <f t="shared" si="295"/>
        <v>1397.0702344521414</v>
      </c>
      <c r="Y729" s="9">
        <f>SUM($X$6:X729)</f>
        <v>427416.89137341361</v>
      </c>
      <c r="Z729" s="16">
        <f t="shared" si="296"/>
        <v>0.4274168913734136</v>
      </c>
      <c r="AA729" s="16">
        <f t="shared" si="292"/>
        <v>0.59845269603620821</v>
      </c>
      <c r="AB729" s="16">
        <f t="shared" si="293"/>
        <v>9.7969902924371845E-4</v>
      </c>
      <c r="AC729" s="16">
        <f t="shared" si="294"/>
        <v>7.353590022649057E-4</v>
      </c>
    </row>
    <row r="730" spans="1:29" x14ac:dyDescent="0.15">
      <c r="A730" s="8">
        <v>41961</v>
      </c>
      <c r="B730" s="4">
        <v>2051.8000000000002</v>
      </c>
      <c r="C730" s="1">
        <v>12.6107</v>
      </c>
      <c r="D730" s="1">
        <v>1.94</v>
      </c>
      <c r="E730" s="1">
        <v>0.23699999999999999</v>
      </c>
      <c r="F730" s="4">
        <f t="shared" si="284"/>
        <v>0.126107</v>
      </c>
      <c r="G730" s="4">
        <f t="shared" si="285"/>
        <v>1.9400000000000001E-2</v>
      </c>
      <c r="H730" s="4">
        <f t="shared" si="286"/>
        <v>2.3699999999999997E-3</v>
      </c>
      <c r="I730" s="3">
        <f t="shared" si="287"/>
        <v>55.854373754690393</v>
      </c>
      <c r="J730" s="4">
        <f t="shared" si="274"/>
        <v>1436736.9208938505</v>
      </c>
      <c r="K730" s="1">
        <f t="shared" si="275"/>
        <v>1998.98</v>
      </c>
      <c r="L730" s="5">
        <f t="shared" si="276"/>
        <v>7.6712328767123625E-2</v>
      </c>
      <c r="M730" s="5">
        <f t="shared" si="277"/>
        <v>-0.23334061904466585</v>
      </c>
      <c r="N730" s="5">
        <f t="shared" si="278"/>
        <v>9.9395562816571168</v>
      </c>
      <c r="O730" s="1">
        <f t="shared" si="279"/>
        <v>0</v>
      </c>
      <c r="P730" s="1">
        <f t="shared" si="280"/>
        <v>1998.98</v>
      </c>
      <c r="Q730" s="5">
        <f t="shared" si="281"/>
        <v>7.6712328767123625E-2</v>
      </c>
      <c r="R730" s="5">
        <f t="shared" si="282"/>
        <v>-0.23334061904466585</v>
      </c>
      <c r="S730" s="5">
        <f t="shared" si="288"/>
        <v>9.9395562816571168</v>
      </c>
      <c r="T730" s="5">
        <f t="shared" si="289"/>
        <v>-699.96308295190659</v>
      </c>
      <c r="U730" s="4">
        <f t="shared" si="290"/>
        <v>1436806.474705884</v>
      </c>
      <c r="V730" s="4">
        <f t="shared" si="283"/>
        <v>23.185726400048374</v>
      </c>
      <c r="W730" s="4">
        <f t="shared" si="291"/>
        <v>1429849.1522478012</v>
      </c>
      <c r="X730" s="4">
        <f t="shared" si="295"/>
        <v>2432.2608743875753</v>
      </c>
      <c r="Y730" s="9">
        <f>SUM($X$6:X730)</f>
        <v>429849.15224780119</v>
      </c>
      <c r="Z730" s="16">
        <f t="shared" si="296"/>
        <v>0.42984915224780118</v>
      </c>
      <c r="AA730" s="16">
        <f t="shared" si="292"/>
        <v>0.60665904499397072</v>
      </c>
      <c r="AB730" s="16">
        <f t="shared" si="293"/>
        <v>1.7039597114808791E-3</v>
      </c>
      <c r="AC730" s="16">
        <f t="shared" si="294"/>
        <v>5.1339329453492085E-3</v>
      </c>
    </row>
    <row r="731" spans="1:29" x14ac:dyDescent="0.15">
      <c r="A731" s="8">
        <v>41962</v>
      </c>
      <c r="B731" s="4">
        <v>2048.7199999999998</v>
      </c>
      <c r="C731" s="1">
        <v>12.9278</v>
      </c>
      <c r="D731" s="1">
        <v>1.94</v>
      </c>
      <c r="E731" s="1">
        <v>0.2361</v>
      </c>
      <c r="F731" s="4">
        <f t="shared" si="284"/>
        <v>0.129278</v>
      </c>
      <c r="G731" s="4">
        <f t="shared" si="285"/>
        <v>1.9400000000000001E-2</v>
      </c>
      <c r="H731" s="4">
        <f t="shared" si="286"/>
        <v>2.3610000000000003E-3</v>
      </c>
      <c r="I731" s="3">
        <f t="shared" si="287"/>
        <v>57.06007213640153</v>
      </c>
      <c r="J731" s="4">
        <f t="shared" si="274"/>
        <v>1436806.474705884</v>
      </c>
      <c r="K731" s="1">
        <f t="shared" si="275"/>
        <v>1998.98</v>
      </c>
      <c r="L731" s="5">
        <f t="shared" si="276"/>
        <v>7.3972602739726362E-2</v>
      </c>
      <c r="M731" s="5">
        <f t="shared" si="277"/>
        <v>-0.24765832747185257</v>
      </c>
      <c r="N731" s="5">
        <f t="shared" si="278"/>
        <v>10.806213320918678</v>
      </c>
      <c r="O731" s="1">
        <f t="shared" si="279"/>
        <v>0</v>
      </c>
      <c r="P731" s="1">
        <f t="shared" si="280"/>
        <v>1998.98</v>
      </c>
      <c r="Q731" s="5">
        <f t="shared" si="281"/>
        <v>7.3972602739726362E-2</v>
      </c>
      <c r="R731" s="5">
        <f t="shared" si="282"/>
        <v>-0.24765832747185257</v>
      </c>
      <c r="S731" s="5">
        <f t="shared" si="288"/>
        <v>10.806213320918678</v>
      </c>
      <c r="T731" s="5">
        <f t="shared" si="289"/>
        <v>-699.96308295190659</v>
      </c>
      <c r="U731" s="4">
        <f t="shared" si="290"/>
        <v>1436829.660432284</v>
      </c>
      <c r="V731" s="4">
        <f t="shared" si="283"/>
        <v>23.186100547797679</v>
      </c>
      <c r="W731" s="4">
        <f t="shared" si="291"/>
        <v>1429265.7100411379</v>
      </c>
      <c r="X731" s="4">
        <f t="shared" si="295"/>
        <v>-583.44220666331239</v>
      </c>
      <c r="Y731" s="9">
        <f>SUM($X$6:X731)</f>
        <v>429265.71004113788</v>
      </c>
      <c r="Z731" s="16">
        <f t="shared" si="296"/>
        <v>0.42926571004113789</v>
      </c>
      <c r="AA731" s="16">
        <f t="shared" si="292"/>
        <v>0.60424725541478075</v>
      </c>
      <c r="AB731" s="16">
        <f t="shared" si="293"/>
        <v>-4.0804458690352706E-4</v>
      </c>
      <c r="AC731" s="16">
        <f t="shared" si="294"/>
        <v>-1.5011209669560297E-3</v>
      </c>
    </row>
    <row r="732" spans="1:29" x14ac:dyDescent="0.15">
      <c r="A732" s="8">
        <v>41963</v>
      </c>
      <c r="B732" s="4">
        <v>2052.75</v>
      </c>
      <c r="C732" s="1">
        <v>12.5343</v>
      </c>
      <c r="D732" s="1">
        <v>1.94</v>
      </c>
      <c r="E732" s="1">
        <v>0.23810000000000001</v>
      </c>
      <c r="F732" s="4">
        <f t="shared" si="284"/>
        <v>0.12534300000000001</v>
      </c>
      <c r="G732" s="4">
        <f t="shared" si="285"/>
        <v>1.9400000000000001E-2</v>
      </c>
      <c r="H732" s="4">
        <f t="shared" si="286"/>
        <v>2.3809999999999999E-3</v>
      </c>
      <c r="I732" s="3">
        <f t="shared" si="287"/>
        <v>55.566509107879654</v>
      </c>
      <c r="J732" s="4">
        <f t="shared" ref="J732:J795" si="297">U731</f>
        <v>1436829.660432284</v>
      </c>
      <c r="K732" s="1">
        <f t="shared" ref="K732:K795" si="298">P731</f>
        <v>1998.98</v>
      </c>
      <c r="L732" s="5">
        <f t="shared" ref="L732:L795" si="299">Q731-(A732-A731)/365</f>
        <v>7.1232876712329099E-2</v>
      </c>
      <c r="M732" s="5">
        <f t="shared" ref="M732:M795" si="300">BSM_Put(B732,K732,F732,H732,G732,L732,$G$3)</f>
        <v>-0.21918328883395924</v>
      </c>
      <c r="N732" s="5">
        <f t="shared" ref="N732:N795" si="301">BSM_Put(B732,K732,F732,H732,G732,L732,$F$3)</f>
        <v>8.7710717384100914</v>
      </c>
      <c r="O732" s="1">
        <f t="shared" ref="O732:O795" si="302">IF(OR(M732&gt;-0.05,L732&lt;=0.00001),1,0)</f>
        <v>0</v>
      </c>
      <c r="P732" s="1">
        <f t="shared" ref="P732:P795" si="303">IF(O732,B732,K732)</f>
        <v>1998.98</v>
      </c>
      <c r="Q732" s="5">
        <f t="shared" ref="Q732:Q795" si="304">IF(O732,$B$3,L732)</f>
        <v>7.1232876712329099E-2</v>
      </c>
      <c r="R732" s="5">
        <f t="shared" ref="R732:R795" si="305">IF(O732,BSM_Put(B732,P732,F732,H732,G732,Q732,$G$3),M732)</f>
        <v>-0.21918328883395924</v>
      </c>
      <c r="S732" s="5">
        <f t="shared" si="288"/>
        <v>8.7710717384100914</v>
      </c>
      <c r="T732" s="5">
        <f t="shared" si="289"/>
        <v>-699.96308295190659</v>
      </c>
      <c r="U732" s="4">
        <f t="shared" si="290"/>
        <v>1436852.8465328319</v>
      </c>
      <c r="V732" s="4">
        <f t="shared" ref="V732:V795" si="306">U732*$H$6*(A732-A731)/365</f>
        <v>23.186474701584601</v>
      </c>
      <c r="W732" s="4">
        <f t="shared" si="291"/>
        <v>1430713.420118022</v>
      </c>
      <c r="X732" s="4">
        <f t="shared" si="295"/>
        <v>1447.7100768841337</v>
      </c>
      <c r="Y732" s="9">
        <f>SUM($X$6:X732)</f>
        <v>430713.42011802201</v>
      </c>
      <c r="Z732" s="16">
        <f t="shared" si="296"/>
        <v>0.43071342011802199</v>
      </c>
      <c r="AA732" s="16">
        <f t="shared" si="292"/>
        <v>0.60740294113040894</v>
      </c>
      <c r="AB732" s="16">
        <f t="shared" si="293"/>
        <v>1.0129047851028799E-3</v>
      </c>
      <c r="AC732" s="16">
        <f t="shared" si="294"/>
        <v>1.967081885274806E-3</v>
      </c>
    </row>
    <row r="733" spans="1:29" x14ac:dyDescent="0.15">
      <c r="A733" s="8">
        <v>41964</v>
      </c>
      <c r="B733" s="4">
        <v>2063.5</v>
      </c>
      <c r="C733" s="1">
        <v>12.348599999999999</v>
      </c>
      <c r="D733" s="1">
        <v>1.9300000000000002</v>
      </c>
      <c r="E733" s="1">
        <v>0.23799999999999999</v>
      </c>
      <c r="F733" s="4">
        <f t="shared" si="284"/>
        <v>0.123486</v>
      </c>
      <c r="G733" s="4">
        <f t="shared" si="285"/>
        <v>1.9300000000000001E-2</v>
      </c>
      <c r="H733" s="4">
        <f t="shared" si="286"/>
        <v>2.3799999999999997E-3</v>
      </c>
      <c r="I733" s="3">
        <f t="shared" si="287"/>
        <v>55.072310760787033</v>
      </c>
      <c r="J733" s="4">
        <f t="shared" si="297"/>
        <v>1436852.8465328319</v>
      </c>
      <c r="K733" s="1">
        <f t="shared" si="298"/>
        <v>1998.98</v>
      </c>
      <c r="L733" s="5">
        <f t="shared" si="299"/>
        <v>6.8493150684931836E-2</v>
      </c>
      <c r="M733" s="5">
        <f t="shared" si="300"/>
        <v>-0.16749143060736738</v>
      </c>
      <c r="N733" s="5">
        <f t="shared" si="301"/>
        <v>6.0372724194105816</v>
      </c>
      <c r="O733" s="1">
        <f t="shared" si="302"/>
        <v>0</v>
      </c>
      <c r="P733" s="1">
        <f t="shared" si="303"/>
        <v>1998.98</v>
      </c>
      <c r="Q733" s="5">
        <f t="shared" si="304"/>
        <v>6.8493150684931836E-2</v>
      </c>
      <c r="R733" s="5">
        <f t="shared" si="305"/>
        <v>-0.16749143060736738</v>
      </c>
      <c r="S733" s="5">
        <f t="shared" si="288"/>
        <v>6.0372724194105816</v>
      </c>
      <c r="T733" s="5">
        <f t="shared" si="289"/>
        <v>-699.96308295190659</v>
      </c>
      <c r="U733" s="4">
        <f t="shared" si="290"/>
        <v>1436876.0330075335</v>
      </c>
      <c r="V733" s="4">
        <f t="shared" si="306"/>
        <v>23.186848861409239</v>
      </c>
      <c r="W733" s="4">
        <f t="shared" si="291"/>
        <v>1432650.1651922225</v>
      </c>
      <c r="X733" s="4">
        <f t="shared" si="295"/>
        <v>1936.7450742004439</v>
      </c>
      <c r="Y733" s="9">
        <f>SUM($X$6:X733)</f>
        <v>432650.16519222246</v>
      </c>
      <c r="Z733" s="16">
        <f t="shared" si="296"/>
        <v>0.43265016519222244</v>
      </c>
      <c r="AA733" s="16">
        <f t="shared" si="292"/>
        <v>0.61582071320063281</v>
      </c>
      <c r="AB733" s="16">
        <f t="shared" si="293"/>
        <v>1.3536918344141055E-3</v>
      </c>
      <c r="AC733" s="16">
        <f t="shared" si="294"/>
        <v>5.2368773596395083E-3</v>
      </c>
    </row>
    <row r="734" spans="1:29" x14ac:dyDescent="0.15">
      <c r="A734" s="8">
        <v>41967</v>
      </c>
      <c r="B734" s="4">
        <v>2069.41</v>
      </c>
      <c r="C734" s="1">
        <v>12.2126</v>
      </c>
      <c r="D734" s="1">
        <v>1.92</v>
      </c>
      <c r="E734" s="1">
        <v>0.23960000000000001</v>
      </c>
      <c r="F734" s="4">
        <f t="shared" si="284"/>
        <v>0.122126</v>
      </c>
      <c r="G734" s="4">
        <f t="shared" si="285"/>
        <v>1.9199999999999998E-2</v>
      </c>
      <c r="H734" s="4">
        <f t="shared" si="286"/>
        <v>2.3960000000000001E-3</v>
      </c>
      <c r="I734" s="3">
        <f t="shared" si="287"/>
        <v>54.641604218520122</v>
      </c>
      <c r="J734" s="4">
        <f t="shared" si="297"/>
        <v>1436876.0330075335</v>
      </c>
      <c r="K734" s="1">
        <f t="shared" si="298"/>
        <v>1998.98</v>
      </c>
      <c r="L734" s="5">
        <f t="shared" si="299"/>
        <v>6.0273972602740054E-2</v>
      </c>
      <c r="M734" s="5">
        <f t="shared" si="300"/>
        <v>-0.1278120948844963</v>
      </c>
      <c r="N734" s="5">
        <f t="shared" si="301"/>
        <v>4.0100428362231444</v>
      </c>
      <c r="O734" s="1">
        <f t="shared" si="302"/>
        <v>0</v>
      </c>
      <c r="P734" s="1">
        <f t="shared" si="303"/>
        <v>1998.98</v>
      </c>
      <c r="Q734" s="5">
        <f t="shared" si="304"/>
        <v>6.0273972602740054E-2</v>
      </c>
      <c r="R734" s="5">
        <f t="shared" si="305"/>
        <v>-0.1278120948844963</v>
      </c>
      <c r="S734" s="5">
        <f t="shared" si="288"/>
        <v>4.0100428362231444</v>
      </c>
      <c r="T734" s="5">
        <f t="shared" si="289"/>
        <v>-699.96308295190659</v>
      </c>
      <c r="U734" s="4">
        <f t="shared" si="290"/>
        <v>1436899.2198563949</v>
      </c>
      <c r="V734" s="4">
        <f t="shared" si="306"/>
        <v>69.561669081815054</v>
      </c>
      <c r="W734" s="4">
        <f t="shared" si="291"/>
        <v>1434092.337909983</v>
      </c>
      <c r="X734" s="4">
        <f t="shared" si="295"/>
        <v>1442.1727177605499</v>
      </c>
      <c r="Y734" s="9">
        <f>SUM($X$6:X734)</f>
        <v>434092.33790998301</v>
      </c>
      <c r="Z734" s="16">
        <f t="shared" si="296"/>
        <v>0.43409233790998303</v>
      </c>
      <c r="AA734" s="16">
        <f t="shared" si="292"/>
        <v>0.62044853021784407</v>
      </c>
      <c r="AB734" s="16">
        <f t="shared" si="293"/>
        <v>1.0066468093884245E-3</v>
      </c>
      <c r="AC734" s="16">
        <f t="shared" si="294"/>
        <v>2.8640659074387468E-3</v>
      </c>
    </row>
    <row r="735" spans="1:29" x14ac:dyDescent="0.15">
      <c r="A735" s="8">
        <v>41968</v>
      </c>
      <c r="B735" s="4">
        <v>2067.0300000000002</v>
      </c>
      <c r="C735" s="1">
        <v>12.415800000000001</v>
      </c>
      <c r="D735" s="1">
        <v>1.92</v>
      </c>
      <c r="E735" s="1">
        <v>0.2409</v>
      </c>
      <c r="F735" s="4">
        <f t="shared" si="284"/>
        <v>0.124158</v>
      </c>
      <c r="G735" s="4">
        <f t="shared" si="285"/>
        <v>1.9199999999999998E-2</v>
      </c>
      <c r="H735" s="4">
        <f t="shared" si="286"/>
        <v>2.4090000000000001E-3</v>
      </c>
      <c r="I735" s="3">
        <f t="shared" si="287"/>
        <v>55.407244787190422</v>
      </c>
      <c r="J735" s="4">
        <f t="shared" si="297"/>
        <v>1436899.2198563949</v>
      </c>
      <c r="K735" s="1">
        <f t="shared" si="298"/>
        <v>1998.98</v>
      </c>
      <c r="L735" s="5">
        <f t="shared" si="299"/>
        <v>5.7534246575342791E-2</v>
      </c>
      <c r="M735" s="5">
        <f t="shared" si="300"/>
        <v>-0.13410276786322525</v>
      </c>
      <c r="N735" s="5">
        <f t="shared" si="301"/>
        <v>4.2202544006536051</v>
      </c>
      <c r="O735" s="1">
        <f t="shared" si="302"/>
        <v>0</v>
      </c>
      <c r="P735" s="1">
        <f t="shared" si="303"/>
        <v>1998.98</v>
      </c>
      <c r="Q735" s="5">
        <f t="shared" si="304"/>
        <v>5.7534246575342791E-2</v>
      </c>
      <c r="R735" s="5">
        <f t="shared" si="305"/>
        <v>-0.13410276786322525</v>
      </c>
      <c r="S735" s="5">
        <f t="shared" si="288"/>
        <v>4.2202544006536051</v>
      </c>
      <c r="T735" s="5">
        <f t="shared" si="289"/>
        <v>-699.96308295190659</v>
      </c>
      <c r="U735" s="4">
        <f t="shared" si="290"/>
        <v>1436968.7815254768</v>
      </c>
      <c r="V735" s="4">
        <f t="shared" si="306"/>
        <v>23.188345542972762</v>
      </c>
      <c r="W735" s="4">
        <f t="shared" si="291"/>
        <v>1434014.759244354</v>
      </c>
      <c r="X735" s="4">
        <f t="shared" si="295"/>
        <v>-77.578665629029274</v>
      </c>
      <c r="Y735" s="9">
        <f>SUM($X$6:X735)</f>
        <v>434014.75924435398</v>
      </c>
      <c r="Z735" s="16">
        <f t="shared" si="296"/>
        <v>0.43401475924435395</v>
      </c>
      <c r="AA735" s="16">
        <f t="shared" si="292"/>
        <v>0.61858487463392497</v>
      </c>
      <c r="AB735" s="16">
        <f t="shared" si="293"/>
        <v>-5.4096004544652156E-5</v>
      </c>
      <c r="AC735" s="16">
        <f t="shared" si="294"/>
        <v>-1.1500862564690682E-3</v>
      </c>
    </row>
    <row r="736" spans="1:29" x14ac:dyDescent="0.15">
      <c r="A736" s="8">
        <v>41969</v>
      </c>
      <c r="B736" s="4">
        <v>2072.83</v>
      </c>
      <c r="C736" s="1">
        <v>12.271699999999999</v>
      </c>
      <c r="D736" s="1">
        <v>1.92</v>
      </c>
      <c r="E736" s="1">
        <v>0.2409</v>
      </c>
      <c r="F736" s="4">
        <f t="shared" si="284"/>
        <v>0.12271699999999999</v>
      </c>
      <c r="G736" s="4">
        <f t="shared" si="285"/>
        <v>1.9199999999999998E-2</v>
      </c>
      <c r="H736" s="4">
        <f t="shared" si="286"/>
        <v>2.4090000000000001E-3</v>
      </c>
      <c r="I736" s="3">
        <f t="shared" si="287"/>
        <v>54.970970867594772</v>
      </c>
      <c r="J736" s="4">
        <f t="shared" si="297"/>
        <v>1436968.7815254768</v>
      </c>
      <c r="K736" s="1">
        <f t="shared" si="298"/>
        <v>1998.98</v>
      </c>
      <c r="L736" s="5">
        <f t="shared" si="299"/>
        <v>5.4794520547945529E-2</v>
      </c>
      <c r="M736" s="5">
        <f t="shared" si="300"/>
        <v>-0.10641171198857517</v>
      </c>
      <c r="N736" s="5">
        <f t="shared" si="301"/>
        <v>3.076127965633987</v>
      </c>
      <c r="O736" s="1">
        <f t="shared" si="302"/>
        <v>0</v>
      </c>
      <c r="P736" s="1">
        <f t="shared" si="303"/>
        <v>1998.98</v>
      </c>
      <c r="Q736" s="5">
        <f t="shared" si="304"/>
        <v>5.4794520547945529E-2</v>
      </c>
      <c r="R736" s="5">
        <f t="shared" si="305"/>
        <v>-0.10641171198857517</v>
      </c>
      <c r="S736" s="5">
        <f t="shared" si="288"/>
        <v>3.076127965633987</v>
      </c>
      <c r="T736" s="5">
        <f t="shared" si="289"/>
        <v>-699.96308295190659</v>
      </c>
      <c r="U736" s="4">
        <f t="shared" si="290"/>
        <v>1436991.9698710197</v>
      </c>
      <c r="V736" s="4">
        <f t="shared" si="306"/>
        <v>23.188719732987138</v>
      </c>
      <c r="W736" s="4">
        <f t="shared" si="291"/>
        <v>1434838.7938566399</v>
      </c>
      <c r="X736" s="4">
        <f t="shared" si="295"/>
        <v>824.03461228590459</v>
      </c>
      <c r="Y736" s="9">
        <f>SUM($X$6:X736)</f>
        <v>434838.79385663988</v>
      </c>
      <c r="Z736" s="16">
        <f t="shared" si="296"/>
        <v>0.43483879385663987</v>
      </c>
      <c r="AA736" s="16">
        <f t="shared" si="292"/>
        <v>0.62312655630902225</v>
      </c>
      <c r="AB736" s="16">
        <f t="shared" si="293"/>
        <v>5.7463467999459435E-4</v>
      </c>
      <c r="AC736" s="16">
        <f t="shared" si="294"/>
        <v>2.805958307329708E-3</v>
      </c>
    </row>
    <row r="737" spans="1:29" x14ac:dyDescent="0.15">
      <c r="A737" s="8">
        <v>41971</v>
      </c>
      <c r="B737" s="4">
        <v>2067.56</v>
      </c>
      <c r="C737" s="1">
        <v>12.901899999999999</v>
      </c>
      <c r="D737" s="1">
        <v>1.9300000000000002</v>
      </c>
      <c r="E737" s="1">
        <v>0.2336</v>
      </c>
      <c r="F737" s="4">
        <f t="shared" si="284"/>
        <v>0.12901899999999999</v>
      </c>
      <c r="G737" s="4">
        <f t="shared" si="285"/>
        <v>1.9300000000000001E-2</v>
      </c>
      <c r="H737" s="4">
        <f t="shared" si="286"/>
        <v>2.336E-3</v>
      </c>
      <c r="I737" s="3">
        <f t="shared" si="287"/>
        <v>57.459306007364326</v>
      </c>
      <c r="J737" s="4">
        <f t="shared" si="297"/>
        <v>1436991.9698710197</v>
      </c>
      <c r="K737" s="1">
        <f t="shared" si="298"/>
        <v>1998.98</v>
      </c>
      <c r="L737" s="5">
        <f t="shared" si="299"/>
        <v>4.931506849315101E-2</v>
      </c>
      <c r="M737" s="5">
        <f t="shared" si="300"/>
        <v>-0.12240736102194222</v>
      </c>
      <c r="N737" s="5">
        <f t="shared" si="301"/>
        <v>3.6287853514899147</v>
      </c>
      <c r="O737" s="1">
        <f t="shared" si="302"/>
        <v>0</v>
      </c>
      <c r="P737" s="1">
        <f t="shared" si="303"/>
        <v>1998.98</v>
      </c>
      <c r="Q737" s="5">
        <f t="shared" si="304"/>
        <v>4.931506849315101E-2</v>
      </c>
      <c r="R737" s="5">
        <f t="shared" si="305"/>
        <v>-0.12240736102194222</v>
      </c>
      <c r="S737" s="5">
        <f t="shared" si="288"/>
        <v>3.6287853514899147</v>
      </c>
      <c r="T737" s="5">
        <f t="shared" si="289"/>
        <v>-699.96308295190659</v>
      </c>
      <c r="U737" s="4">
        <f t="shared" si="290"/>
        <v>1437015.1585907526</v>
      </c>
      <c r="V737" s="4">
        <f t="shared" si="306"/>
        <v>46.378187858079627</v>
      </c>
      <c r="W737" s="4">
        <f t="shared" si="291"/>
        <v>1434475.1428087531</v>
      </c>
      <c r="X737" s="4">
        <f t="shared" si="295"/>
        <v>-363.65104788681492</v>
      </c>
      <c r="Y737" s="9">
        <f>SUM($X$6:X737)</f>
        <v>434475.14280875307</v>
      </c>
      <c r="Z737" s="16">
        <f t="shared" si="296"/>
        <v>0.43447514280875305</v>
      </c>
      <c r="AA737" s="16">
        <f t="shared" si="292"/>
        <v>0.61899989037320102</v>
      </c>
      <c r="AB737" s="16">
        <f t="shared" si="293"/>
        <v>-2.5344383595133594E-4</v>
      </c>
      <c r="AC737" s="16">
        <f t="shared" si="294"/>
        <v>-2.5424178538519713E-3</v>
      </c>
    </row>
    <row r="738" spans="1:29" x14ac:dyDescent="0.15">
      <c r="A738" s="8">
        <v>41974</v>
      </c>
      <c r="B738" s="4">
        <v>2053.44</v>
      </c>
      <c r="C738" s="1">
        <v>13.556799999999999</v>
      </c>
      <c r="D738" s="1">
        <v>1.94</v>
      </c>
      <c r="E738" s="1">
        <v>0.2346</v>
      </c>
      <c r="F738" s="4">
        <f t="shared" si="284"/>
        <v>0.13556799999999999</v>
      </c>
      <c r="G738" s="4">
        <f t="shared" si="285"/>
        <v>1.9400000000000001E-2</v>
      </c>
      <c r="H738" s="4">
        <f t="shared" si="286"/>
        <v>2.346E-3</v>
      </c>
      <c r="I738" s="3">
        <f t="shared" si="287"/>
        <v>59.75486703934083</v>
      </c>
      <c r="J738" s="4">
        <f t="shared" si="297"/>
        <v>1437015.1585907526</v>
      </c>
      <c r="K738" s="1">
        <f t="shared" si="298"/>
        <v>1998.98</v>
      </c>
      <c r="L738" s="5">
        <f t="shared" si="299"/>
        <v>4.1095890410959228E-2</v>
      </c>
      <c r="M738" s="5">
        <f t="shared" si="300"/>
        <v>-0.1668155321793062</v>
      </c>
      <c r="N738" s="5">
        <f t="shared" si="301"/>
        <v>5.0710197990188473</v>
      </c>
      <c r="O738" s="1">
        <f t="shared" si="302"/>
        <v>0</v>
      </c>
      <c r="P738" s="1">
        <f t="shared" si="303"/>
        <v>1998.98</v>
      </c>
      <c r="Q738" s="5">
        <f t="shared" si="304"/>
        <v>4.1095890410959228E-2</v>
      </c>
      <c r="R738" s="5">
        <f t="shared" si="305"/>
        <v>-0.1668155321793062</v>
      </c>
      <c r="S738" s="5">
        <f t="shared" si="288"/>
        <v>5.0710197990188473</v>
      </c>
      <c r="T738" s="5">
        <f t="shared" si="289"/>
        <v>-699.96308295190659</v>
      </c>
      <c r="U738" s="4">
        <f t="shared" si="290"/>
        <v>1437061.5367786107</v>
      </c>
      <c r="V738" s="4">
        <f t="shared" si="306"/>
        <v>69.569526999665882</v>
      </c>
      <c r="W738" s="4">
        <f t="shared" si="291"/>
        <v>1433512.0101263793</v>
      </c>
      <c r="X738" s="4">
        <f t="shared" si="295"/>
        <v>-963.13268237374723</v>
      </c>
      <c r="Y738" s="9">
        <f>SUM($X$6:X738)</f>
        <v>433512.01012637932</v>
      </c>
      <c r="Z738" s="16">
        <f t="shared" si="296"/>
        <v>0.4335120101263793</v>
      </c>
      <c r="AA738" s="16">
        <f t="shared" si="292"/>
        <v>0.60794324464003269</v>
      </c>
      <c r="AB738" s="16">
        <f t="shared" si="293"/>
        <v>-6.7141817493463103E-4</v>
      </c>
      <c r="AC738" s="16">
        <f t="shared" si="294"/>
        <v>-6.8293060419044142E-3</v>
      </c>
    </row>
    <row r="739" spans="1:29" x14ac:dyDescent="0.15">
      <c r="A739" s="8">
        <v>41975</v>
      </c>
      <c r="B739" s="4">
        <v>2066.5500000000002</v>
      </c>
      <c r="C739" s="1">
        <v>12.875299999999999</v>
      </c>
      <c r="D739" s="1">
        <v>1.9300000000000002</v>
      </c>
      <c r="E739" s="1">
        <v>0.2346</v>
      </c>
      <c r="F739" s="4">
        <f t="shared" si="284"/>
        <v>0.12875300000000001</v>
      </c>
      <c r="G739" s="4">
        <f t="shared" si="285"/>
        <v>1.9300000000000001E-2</v>
      </c>
      <c r="H739" s="4">
        <f t="shared" si="286"/>
        <v>2.346E-3</v>
      </c>
      <c r="I739" s="3">
        <f t="shared" si="287"/>
        <v>57.319549271128196</v>
      </c>
      <c r="J739" s="4">
        <f t="shared" si="297"/>
        <v>1437061.5367786107</v>
      </c>
      <c r="K739" s="1">
        <f t="shared" si="298"/>
        <v>1998.98</v>
      </c>
      <c r="L739" s="5">
        <f t="shared" si="299"/>
        <v>3.8356164383561965E-2</v>
      </c>
      <c r="M739" s="5">
        <f t="shared" si="300"/>
        <v>-9.5846106392755412E-2</v>
      </c>
      <c r="N739" s="5">
        <f t="shared" si="301"/>
        <v>2.3693711910173185</v>
      </c>
      <c r="O739" s="1">
        <f t="shared" si="302"/>
        <v>0</v>
      </c>
      <c r="P739" s="1">
        <f t="shared" si="303"/>
        <v>1998.98</v>
      </c>
      <c r="Q739" s="5">
        <f t="shared" si="304"/>
        <v>3.8356164383561965E-2</v>
      </c>
      <c r="R739" s="5">
        <f t="shared" si="305"/>
        <v>-9.5846106392755412E-2</v>
      </c>
      <c r="S739" s="5">
        <f t="shared" si="288"/>
        <v>2.3693711910173185</v>
      </c>
      <c r="T739" s="5">
        <f t="shared" si="289"/>
        <v>-699.96308295190659</v>
      </c>
      <c r="U739" s="4">
        <f t="shared" si="290"/>
        <v>1437131.1063056104</v>
      </c>
      <c r="V739" s="4">
        <f t="shared" si="306"/>
        <v>23.190964975726146</v>
      </c>
      <c r="W739" s="4">
        <f t="shared" si="291"/>
        <v>1435472.6339420886</v>
      </c>
      <c r="X739" s="4">
        <f t="shared" si="295"/>
        <v>1960.6238157092594</v>
      </c>
      <c r="Y739" s="9">
        <f>SUM($X$6:X739)</f>
        <v>435472.63394208858</v>
      </c>
      <c r="Z739" s="16">
        <f t="shared" si="296"/>
        <v>0.43547263394208857</v>
      </c>
      <c r="AA739" s="16">
        <f t="shared" si="292"/>
        <v>0.61820901132288242</v>
      </c>
      <c r="AB739" s="16">
        <f t="shared" si="293"/>
        <v>1.3677065848485006E-3</v>
      </c>
      <c r="AC739" s="16">
        <f t="shared" si="294"/>
        <v>6.3844086021505996E-3</v>
      </c>
    </row>
    <row r="740" spans="1:29" x14ac:dyDescent="0.15">
      <c r="A740" s="8">
        <v>41976</v>
      </c>
      <c r="B740" s="4">
        <v>2074.33</v>
      </c>
      <c r="C740" s="1">
        <v>12.4725</v>
      </c>
      <c r="D740" s="1">
        <v>1.9300000000000002</v>
      </c>
      <c r="E740" s="1">
        <v>0.2349</v>
      </c>
      <c r="F740" s="4">
        <f t="shared" si="284"/>
        <v>0.124725</v>
      </c>
      <c r="G740" s="4">
        <f t="shared" si="285"/>
        <v>1.9300000000000001E-2</v>
      </c>
      <c r="H740" s="4">
        <f t="shared" si="286"/>
        <v>2.349E-3</v>
      </c>
      <c r="I740" s="3">
        <f t="shared" si="287"/>
        <v>55.879142101292047</v>
      </c>
      <c r="J740" s="4">
        <f t="shared" si="297"/>
        <v>1437131.1063056104</v>
      </c>
      <c r="K740" s="1">
        <f t="shared" si="298"/>
        <v>1998.98</v>
      </c>
      <c r="L740" s="5">
        <f t="shared" si="299"/>
        <v>3.5616438356164702E-2</v>
      </c>
      <c r="M740" s="5">
        <f t="shared" si="300"/>
        <v>-5.9568235944076474E-2</v>
      </c>
      <c r="N740" s="5">
        <f t="shared" si="301"/>
        <v>1.2624307765916254</v>
      </c>
      <c r="O740" s="1">
        <f t="shared" si="302"/>
        <v>0</v>
      </c>
      <c r="P740" s="1">
        <f t="shared" si="303"/>
        <v>1998.98</v>
      </c>
      <c r="Q740" s="5">
        <f t="shared" si="304"/>
        <v>3.5616438356164702E-2</v>
      </c>
      <c r="R740" s="5">
        <f t="shared" si="305"/>
        <v>-5.9568235944076474E-2</v>
      </c>
      <c r="S740" s="5">
        <f t="shared" si="288"/>
        <v>1.2624307765916254</v>
      </c>
      <c r="T740" s="5">
        <f t="shared" si="289"/>
        <v>-699.96308295190659</v>
      </c>
      <c r="U740" s="4">
        <f t="shared" si="290"/>
        <v>1437154.297270586</v>
      </c>
      <c r="V740" s="4">
        <f t="shared" si="306"/>
        <v>23.191339208010277</v>
      </c>
      <c r="W740" s="4">
        <f t="shared" si="291"/>
        <v>1436270.6423321895</v>
      </c>
      <c r="X740" s="4">
        <f t="shared" si="295"/>
        <v>798.00839010090567</v>
      </c>
      <c r="Y740" s="9">
        <f>SUM($X$6:X740)</f>
        <v>436270.64233218948</v>
      </c>
      <c r="Z740" s="16">
        <f t="shared" si="296"/>
        <v>0.43627064233218948</v>
      </c>
      <c r="AA740" s="16">
        <f t="shared" si="292"/>
        <v>0.62430112915603031</v>
      </c>
      <c r="AB740" s="16">
        <f t="shared" si="293"/>
        <v>5.5592030891555113E-4</v>
      </c>
      <c r="AC740" s="16">
        <f t="shared" si="294"/>
        <v>3.764728654036798E-3</v>
      </c>
    </row>
    <row r="741" spans="1:29" x14ac:dyDescent="0.15">
      <c r="A741" s="8">
        <v>41977</v>
      </c>
      <c r="B741" s="4">
        <v>2071.92</v>
      </c>
      <c r="C741" s="1">
        <v>12.532399999999999</v>
      </c>
      <c r="D741" s="1">
        <v>1.9300000000000002</v>
      </c>
      <c r="E741" s="1">
        <v>0.23530000000000001</v>
      </c>
      <c r="F741" s="4">
        <f t="shared" si="284"/>
        <v>0.12532399999999999</v>
      </c>
      <c r="G741" s="4">
        <f t="shared" si="285"/>
        <v>1.9300000000000001E-2</v>
      </c>
      <c r="H741" s="4">
        <f t="shared" si="286"/>
        <v>2.3530000000000001E-3</v>
      </c>
      <c r="I741" s="3">
        <f t="shared" si="287"/>
        <v>56.058976644784366</v>
      </c>
      <c r="J741" s="4">
        <f t="shared" si="297"/>
        <v>1437154.297270586</v>
      </c>
      <c r="K741" s="1">
        <f t="shared" si="298"/>
        <v>1998.98</v>
      </c>
      <c r="L741" s="5">
        <f t="shared" si="299"/>
        <v>3.2876712328767439E-2</v>
      </c>
      <c r="M741" s="5">
        <f t="shared" si="300"/>
        <v>-5.8872103885777238E-2</v>
      </c>
      <c r="N741" s="5">
        <f t="shared" si="301"/>
        <v>1.20029342298192</v>
      </c>
      <c r="O741" s="1">
        <f t="shared" si="302"/>
        <v>0</v>
      </c>
      <c r="P741" s="1">
        <f t="shared" si="303"/>
        <v>1998.98</v>
      </c>
      <c r="Q741" s="5">
        <f t="shared" si="304"/>
        <v>3.2876712328767439E-2</v>
      </c>
      <c r="R741" s="5">
        <f t="shared" si="305"/>
        <v>-5.8872103885777238E-2</v>
      </c>
      <c r="S741" s="5">
        <f t="shared" si="288"/>
        <v>1.20029342298192</v>
      </c>
      <c r="T741" s="5">
        <f t="shared" si="289"/>
        <v>-699.96308295190659</v>
      </c>
      <c r="U741" s="4">
        <f t="shared" si="290"/>
        <v>1437177.4886097941</v>
      </c>
      <c r="V741" s="4">
        <f t="shared" si="306"/>
        <v>23.191713446333388</v>
      </c>
      <c r="W741" s="4">
        <f t="shared" si="291"/>
        <v>1436337.3275249968</v>
      </c>
      <c r="X741" s="4">
        <f t="shared" si="295"/>
        <v>66.68519280734472</v>
      </c>
      <c r="Y741" s="9">
        <f>SUM($X$6:X741)</f>
        <v>436337.32752499683</v>
      </c>
      <c r="Z741" s="16">
        <f t="shared" si="296"/>
        <v>0.43633732752499682</v>
      </c>
      <c r="AA741" s="16">
        <f t="shared" si="292"/>
        <v>0.62241398211517096</v>
      </c>
      <c r="AB741" s="16">
        <f t="shared" si="293"/>
        <v>4.6429406019928493E-5</v>
      </c>
      <c r="AC741" s="16">
        <f t="shared" si="294"/>
        <v>-1.1618209253107532E-3</v>
      </c>
    </row>
    <row r="742" spans="1:29" x14ac:dyDescent="0.15">
      <c r="A742" s="8">
        <v>41978</v>
      </c>
      <c r="B742" s="4">
        <v>2075.37</v>
      </c>
      <c r="C742" s="1">
        <v>12.225899999999999</v>
      </c>
      <c r="D742" s="1">
        <v>1.92</v>
      </c>
      <c r="E742" s="1">
        <v>0.2356</v>
      </c>
      <c r="F742" s="4">
        <f t="shared" si="284"/>
        <v>0.12225899999999999</v>
      </c>
      <c r="G742" s="4">
        <f t="shared" si="285"/>
        <v>1.9199999999999998E-2</v>
      </c>
      <c r="H742" s="4">
        <f t="shared" si="286"/>
        <v>2.356E-3</v>
      </c>
      <c r="I742" s="3">
        <f t="shared" si="287"/>
        <v>54.864815470350869</v>
      </c>
      <c r="J742" s="4">
        <f t="shared" si="297"/>
        <v>1437177.4886097941</v>
      </c>
      <c r="K742" s="1">
        <f t="shared" si="298"/>
        <v>1998.98</v>
      </c>
      <c r="L742" s="5">
        <f t="shared" si="299"/>
        <v>3.013698630137018E-2</v>
      </c>
      <c r="M742" s="5">
        <f t="shared" si="300"/>
        <v>-3.9721299993057041E-2</v>
      </c>
      <c r="N742" s="5">
        <f t="shared" si="301"/>
        <v>0.71105549826934522</v>
      </c>
      <c r="O742" s="1">
        <f t="shared" si="302"/>
        <v>1</v>
      </c>
      <c r="P742" s="1">
        <f t="shared" si="303"/>
        <v>2075.37</v>
      </c>
      <c r="Q742" s="5">
        <f t="shared" si="304"/>
        <v>0.24931506849315069</v>
      </c>
      <c r="R742" s="5">
        <f t="shared" si="305"/>
        <v>-0.5128029063209909</v>
      </c>
      <c r="S742" s="5">
        <f t="shared" si="288"/>
        <v>54.864815470350869</v>
      </c>
      <c r="T742" s="5">
        <f t="shared" si="289"/>
        <v>-692.25235789814622</v>
      </c>
      <c r="U742" s="4">
        <f t="shared" si="290"/>
        <v>1474683.265599519</v>
      </c>
      <c r="V742" s="4">
        <f t="shared" si="306"/>
        <v>23.796943655838813</v>
      </c>
      <c r="W742" s="4">
        <f t="shared" si="291"/>
        <v>1436702.9677245219</v>
      </c>
      <c r="X742" s="4">
        <f t="shared" si="295"/>
        <v>365.64019952504896</v>
      </c>
      <c r="Y742" s="9">
        <f>SUM($X$6:X742)</f>
        <v>436702.96772452188</v>
      </c>
      <c r="Z742" s="16">
        <f t="shared" si="296"/>
        <v>0.43670296772452188</v>
      </c>
      <c r="AA742" s="16">
        <f t="shared" si="292"/>
        <v>0.62511549966328905</v>
      </c>
      <c r="AB742" s="16">
        <f t="shared" si="293"/>
        <v>2.5456429525165677E-4</v>
      </c>
      <c r="AC742" s="16">
        <f t="shared" si="294"/>
        <v>1.6651222054904716E-3</v>
      </c>
    </row>
    <row r="743" spans="1:29" x14ac:dyDescent="0.15">
      <c r="A743" s="8">
        <v>41981</v>
      </c>
      <c r="B743" s="4">
        <v>2060.31</v>
      </c>
      <c r="C743" s="1">
        <v>13.498799999999999</v>
      </c>
      <c r="D743" s="1">
        <v>1.94</v>
      </c>
      <c r="E743" s="1">
        <v>0.23760000000000001</v>
      </c>
      <c r="F743" s="4">
        <f t="shared" si="284"/>
        <v>0.134988</v>
      </c>
      <c r="G743" s="4">
        <f t="shared" si="285"/>
        <v>1.9400000000000001E-2</v>
      </c>
      <c r="H743" s="4">
        <f t="shared" si="286"/>
        <v>2.3760000000000001E-3</v>
      </c>
      <c r="I743" s="3">
        <f t="shared" si="287"/>
        <v>59.709701504766045</v>
      </c>
      <c r="J743" s="4">
        <f t="shared" si="297"/>
        <v>1474683.265599519</v>
      </c>
      <c r="K743" s="1">
        <f t="shared" si="298"/>
        <v>2075.37</v>
      </c>
      <c r="L743" s="5">
        <f t="shared" si="299"/>
        <v>0.24109589041095891</v>
      </c>
      <c r="M743" s="5">
        <f t="shared" si="300"/>
        <v>-0.55255171323909247</v>
      </c>
      <c r="N743" s="5">
        <f t="shared" si="301"/>
        <v>67.070981768870098</v>
      </c>
      <c r="O743" s="1">
        <f t="shared" si="302"/>
        <v>0</v>
      </c>
      <c r="P743" s="1">
        <f t="shared" si="303"/>
        <v>2075.37</v>
      </c>
      <c r="Q743" s="5">
        <f t="shared" si="304"/>
        <v>0.24109589041095891</v>
      </c>
      <c r="R743" s="5">
        <f t="shared" si="305"/>
        <v>-0.55255171323909247</v>
      </c>
      <c r="S743" s="5">
        <f t="shared" si="288"/>
        <v>67.070981768870098</v>
      </c>
      <c r="T743" s="5">
        <f t="shared" si="289"/>
        <v>-692.25235789814622</v>
      </c>
      <c r="U743" s="4">
        <f t="shared" si="290"/>
        <v>1474707.062543175</v>
      </c>
      <c r="V743" s="4">
        <f t="shared" si="306"/>
        <v>71.391983000377806</v>
      </c>
      <c r="W743" s="4">
        <f t="shared" si="291"/>
        <v>1428277.017267131</v>
      </c>
      <c r="X743" s="4">
        <f t="shared" si="295"/>
        <v>-8425.9504573908634</v>
      </c>
      <c r="Y743" s="9">
        <f>SUM($X$6:X743)</f>
        <v>428277.01726713101</v>
      </c>
      <c r="Z743" s="16">
        <f t="shared" si="296"/>
        <v>0.42827701726713102</v>
      </c>
      <c r="AA743" s="16">
        <f t="shared" si="292"/>
        <v>0.61332278827932907</v>
      </c>
      <c r="AB743" s="16">
        <f t="shared" si="293"/>
        <v>-5.8647825240704049E-3</v>
      </c>
      <c r="AC743" s="16">
        <f t="shared" si="294"/>
        <v>-7.2565373885138292E-3</v>
      </c>
    </row>
    <row r="744" spans="1:29" x14ac:dyDescent="0.15">
      <c r="A744" s="8">
        <v>41982</v>
      </c>
      <c r="B744" s="4">
        <v>2059.8200000000002</v>
      </c>
      <c r="C744" s="1">
        <v>13.4008</v>
      </c>
      <c r="D744" s="1">
        <v>1.94</v>
      </c>
      <c r="E744" s="1">
        <v>0.23880000000000001</v>
      </c>
      <c r="F744" s="4">
        <f t="shared" si="284"/>
        <v>0.13400800000000002</v>
      </c>
      <c r="G744" s="4">
        <f t="shared" si="285"/>
        <v>1.9400000000000001E-2</v>
      </c>
      <c r="H744" s="4">
        <f t="shared" si="286"/>
        <v>2.3879999999999999E-3</v>
      </c>
      <c r="I744" s="3">
        <f t="shared" si="287"/>
        <v>59.292194305461734</v>
      </c>
      <c r="J744" s="4">
        <f t="shared" si="297"/>
        <v>1474707.062543175</v>
      </c>
      <c r="K744" s="1">
        <f t="shared" si="298"/>
        <v>2075.37</v>
      </c>
      <c r="L744" s="5">
        <f t="shared" si="299"/>
        <v>0.23835616438356166</v>
      </c>
      <c r="M744" s="5">
        <f t="shared" si="300"/>
        <v>-0.55476509530739315</v>
      </c>
      <c r="N744" s="5">
        <f t="shared" si="301"/>
        <v>66.592686657264764</v>
      </c>
      <c r="O744" s="1">
        <f t="shared" si="302"/>
        <v>0</v>
      </c>
      <c r="P744" s="1">
        <f t="shared" si="303"/>
        <v>2075.37</v>
      </c>
      <c r="Q744" s="5">
        <f t="shared" si="304"/>
        <v>0.23835616438356166</v>
      </c>
      <c r="R744" s="5">
        <f t="shared" si="305"/>
        <v>-0.55476509530739315</v>
      </c>
      <c r="S744" s="5">
        <f t="shared" si="288"/>
        <v>66.592686657264764</v>
      </c>
      <c r="T744" s="5">
        <f t="shared" si="289"/>
        <v>-692.25235789814622</v>
      </c>
      <c r="U744" s="4">
        <f t="shared" si="290"/>
        <v>1474778.4545261753</v>
      </c>
      <c r="V744" s="4">
        <f t="shared" si="306"/>
        <v>23.798479718244309</v>
      </c>
      <c r="W744" s="4">
        <f t="shared" si="291"/>
        <v>1428679.5101689114</v>
      </c>
      <c r="X744" s="4">
        <f t="shared" si="295"/>
        <v>402.49290178040974</v>
      </c>
      <c r="Y744" s="9">
        <f>SUM($X$6:X744)</f>
        <v>428679.51016891142</v>
      </c>
      <c r="Z744" s="16">
        <f t="shared" si="296"/>
        <v>0.42867951016891143</v>
      </c>
      <c r="AA744" s="16">
        <f t="shared" si="292"/>
        <v>0.61293909448264006</v>
      </c>
      <c r="AB744" s="16">
        <f t="shared" si="293"/>
        <v>2.818031074605826E-4</v>
      </c>
      <c r="AC744" s="16">
        <f t="shared" si="294"/>
        <v>-2.3782828797597533E-4</v>
      </c>
    </row>
    <row r="745" spans="1:29" x14ac:dyDescent="0.15">
      <c r="A745" s="8">
        <v>41983</v>
      </c>
      <c r="B745" s="4">
        <v>2026.14</v>
      </c>
      <c r="C745" s="1">
        <v>15.494999999999999</v>
      </c>
      <c r="D745" s="1">
        <v>1.97</v>
      </c>
      <c r="E745" s="1">
        <v>0.2399</v>
      </c>
      <c r="F745" s="4">
        <f t="shared" si="284"/>
        <v>0.15495</v>
      </c>
      <c r="G745" s="4">
        <f t="shared" si="285"/>
        <v>1.9699999999999999E-2</v>
      </c>
      <c r="H745" s="4">
        <f t="shared" si="286"/>
        <v>2.3990000000000001E-3</v>
      </c>
      <c r="I745" s="3">
        <f t="shared" si="287"/>
        <v>66.805331241827133</v>
      </c>
      <c r="J745" s="4">
        <f t="shared" si="297"/>
        <v>1474778.4545261753</v>
      </c>
      <c r="K745" s="1">
        <f t="shared" si="298"/>
        <v>2075.37</v>
      </c>
      <c r="L745" s="5">
        <f t="shared" si="299"/>
        <v>0.23561643835616441</v>
      </c>
      <c r="M745" s="5">
        <f t="shared" si="300"/>
        <v>-0.62855591055839399</v>
      </c>
      <c r="N745" s="5">
        <f t="shared" si="301"/>
        <v>94.30765116906862</v>
      </c>
      <c r="O745" s="1">
        <f t="shared" si="302"/>
        <v>0</v>
      </c>
      <c r="P745" s="1">
        <f t="shared" si="303"/>
        <v>2075.37</v>
      </c>
      <c r="Q745" s="5">
        <f t="shared" si="304"/>
        <v>0.23561643835616441</v>
      </c>
      <c r="R745" s="5">
        <f t="shared" si="305"/>
        <v>-0.62855591055839399</v>
      </c>
      <c r="S745" s="5">
        <f t="shared" si="288"/>
        <v>94.30765116906862</v>
      </c>
      <c r="T745" s="5">
        <f t="shared" si="289"/>
        <v>-692.25235789814622</v>
      </c>
      <c r="U745" s="4">
        <f t="shared" si="290"/>
        <v>1474802.2530058934</v>
      </c>
      <c r="V745" s="4">
        <f t="shared" si="306"/>
        <v>23.798863753985515</v>
      </c>
      <c r="W745" s="4">
        <f t="shared" si="291"/>
        <v>1409517.5591162699</v>
      </c>
      <c r="X745" s="4">
        <f t="shared" si="295"/>
        <v>-19161.951052641496</v>
      </c>
      <c r="Y745" s="9">
        <f>SUM($X$6:X745)</f>
        <v>409517.55911626993</v>
      </c>
      <c r="Z745" s="16">
        <f t="shared" si="296"/>
        <v>0.40951755911626991</v>
      </c>
      <c r="AA745" s="16">
        <f t="shared" si="292"/>
        <v>0.58656601882448767</v>
      </c>
      <c r="AB745" s="16">
        <f t="shared" si="293"/>
        <v>-1.3412350997023816E-2</v>
      </c>
      <c r="AC745" s="16">
        <f t="shared" si="294"/>
        <v>-1.63509432863066E-2</v>
      </c>
    </row>
    <row r="746" spans="1:29" x14ac:dyDescent="0.15">
      <c r="A746" s="8">
        <v>41984</v>
      </c>
      <c r="B746" s="4">
        <v>2035.33</v>
      </c>
      <c r="C746" s="1">
        <v>16.6967</v>
      </c>
      <c r="D746" s="1">
        <v>1.96</v>
      </c>
      <c r="E746" s="1">
        <v>0.24060000000000001</v>
      </c>
      <c r="F746" s="4">
        <f t="shared" si="284"/>
        <v>0.166967</v>
      </c>
      <c r="G746" s="4">
        <f t="shared" si="285"/>
        <v>1.9599999999999999E-2</v>
      </c>
      <c r="H746" s="4">
        <f t="shared" si="286"/>
        <v>2.4060000000000002E-3</v>
      </c>
      <c r="I746" s="3">
        <f t="shared" si="287"/>
        <v>71.928753409959683</v>
      </c>
      <c r="J746" s="4">
        <f t="shared" si="297"/>
        <v>1474802.2530058934</v>
      </c>
      <c r="K746" s="1">
        <f t="shared" si="298"/>
        <v>2075.37</v>
      </c>
      <c r="L746" s="5">
        <f t="shared" si="299"/>
        <v>0.23287671232876717</v>
      </c>
      <c r="M746" s="5">
        <f t="shared" si="300"/>
        <v>-0.59643863192735624</v>
      </c>
      <c r="N746" s="5">
        <f t="shared" si="301"/>
        <v>92.732820592378886</v>
      </c>
      <c r="O746" s="1">
        <f t="shared" si="302"/>
        <v>0</v>
      </c>
      <c r="P746" s="1">
        <f t="shared" si="303"/>
        <v>2075.37</v>
      </c>
      <c r="Q746" s="5">
        <f t="shared" si="304"/>
        <v>0.23287671232876717</v>
      </c>
      <c r="R746" s="5">
        <f t="shared" si="305"/>
        <v>-0.59643863192735624</v>
      </c>
      <c r="S746" s="5">
        <f t="shared" si="288"/>
        <v>92.732820592378886</v>
      </c>
      <c r="T746" s="5">
        <f t="shared" si="289"/>
        <v>-692.25235789814622</v>
      </c>
      <c r="U746" s="4">
        <f t="shared" si="290"/>
        <v>1474826.0518696473</v>
      </c>
      <c r="V746" s="4">
        <f t="shared" si="306"/>
        <v>23.799247795923897</v>
      </c>
      <c r="W746" s="4">
        <f t="shared" si="291"/>
        <v>1410631.5381600272</v>
      </c>
      <c r="X746" s="4">
        <f t="shared" si="295"/>
        <v>1113.9790437573101</v>
      </c>
      <c r="Y746" s="9">
        <f>SUM($X$6:X746)</f>
        <v>410631.53816002724</v>
      </c>
      <c r="Z746" s="16">
        <f t="shared" si="296"/>
        <v>0.41063153816002723</v>
      </c>
      <c r="AA746" s="16">
        <f t="shared" si="292"/>
        <v>0.59376223513382298</v>
      </c>
      <c r="AB746" s="16">
        <f t="shared" si="293"/>
        <v>7.9032647486544649E-4</v>
      </c>
      <c r="AC746" s="16">
        <f t="shared" si="294"/>
        <v>4.5357181636016403E-3</v>
      </c>
    </row>
    <row r="747" spans="1:29" x14ac:dyDescent="0.15">
      <c r="A747" s="8">
        <v>41985</v>
      </c>
      <c r="B747" s="4">
        <v>2002.33</v>
      </c>
      <c r="C747" s="1">
        <v>17.834</v>
      </c>
      <c r="D747" s="1">
        <v>2</v>
      </c>
      <c r="E747" s="1">
        <v>0.2429</v>
      </c>
      <c r="F747" s="4">
        <f t="shared" si="284"/>
        <v>0.17834</v>
      </c>
      <c r="G747" s="4">
        <f t="shared" si="285"/>
        <v>0.02</v>
      </c>
      <c r="H747" s="4">
        <f t="shared" si="286"/>
        <v>2.4290000000000002E-3</v>
      </c>
      <c r="I747" s="3">
        <f t="shared" si="287"/>
        <v>75.370056329820983</v>
      </c>
      <c r="J747" s="4">
        <f t="shared" si="297"/>
        <v>1474826.0518696473</v>
      </c>
      <c r="K747" s="1">
        <f t="shared" si="298"/>
        <v>2075.37</v>
      </c>
      <c r="L747" s="5">
        <f t="shared" si="299"/>
        <v>0.23013698630136992</v>
      </c>
      <c r="M747" s="5">
        <f t="shared" si="300"/>
        <v>-0.6608990660797549</v>
      </c>
      <c r="N747" s="5">
        <f t="shared" si="301"/>
        <v>117.32455226137535</v>
      </c>
      <c r="O747" s="1">
        <f t="shared" si="302"/>
        <v>0</v>
      </c>
      <c r="P747" s="1">
        <f t="shared" si="303"/>
        <v>2075.37</v>
      </c>
      <c r="Q747" s="5">
        <f t="shared" si="304"/>
        <v>0.23013698630136992</v>
      </c>
      <c r="R747" s="5">
        <f t="shared" si="305"/>
        <v>-0.6608990660797549</v>
      </c>
      <c r="S747" s="5">
        <f t="shared" si="288"/>
        <v>117.32455226137535</v>
      </c>
      <c r="T747" s="5">
        <f t="shared" si="289"/>
        <v>-692.25235789814622</v>
      </c>
      <c r="U747" s="4">
        <f t="shared" si="290"/>
        <v>1474849.8511174433</v>
      </c>
      <c r="V747" s="4">
        <f t="shared" si="306"/>
        <v>23.799631844059562</v>
      </c>
      <c r="W747" s="4">
        <f t="shared" si="291"/>
        <v>1393631.6531751619</v>
      </c>
      <c r="X747" s="4">
        <f t="shared" si="295"/>
        <v>-16999.884984865319</v>
      </c>
      <c r="Y747" s="9">
        <f>SUM($X$6:X747)</f>
        <v>393631.65317516192</v>
      </c>
      <c r="Z747" s="16">
        <f t="shared" si="296"/>
        <v>0.39363165317516191</v>
      </c>
      <c r="AA747" s="16">
        <f t="shared" si="292"/>
        <v>0.56792163249964767</v>
      </c>
      <c r="AB747" s="16">
        <f t="shared" si="293"/>
        <v>-1.2051258266236771E-2</v>
      </c>
      <c r="AC747" s="16">
        <f t="shared" si="294"/>
        <v>-1.6213586985894181E-2</v>
      </c>
    </row>
    <row r="748" spans="1:29" x14ac:dyDescent="0.15">
      <c r="A748" s="8">
        <v>41988</v>
      </c>
      <c r="B748" s="4">
        <v>1989.63</v>
      </c>
      <c r="C748" s="1">
        <v>17.833400000000001</v>
      </c>
      <c r="D748" s="1">
        <v>2.0099999999999998</v>
      </c>
      <c r="E748" s="1">
        <v>0.24260000000000001</v>
      </c>
      <c r="F748" s="4">
        <f t="shared" si="284"/>
        <v>0.17833400000000002</v>
      </c>
      <c r="G748" s="4">
        <f t="shared" si="285"/>
        <v>2.0099999999999996E-2</v>
      </c>
      <c r="H748" s="4">
        <f t="shared" si="286"/>
        <v>2.4260000000000002E-3</v>
      </c>
      <c r="I748" s="3">
        <f t="shared" si="287"/>
        <v>74.915219940019696</v>
      </c>
      <c r="J748" s="4">
        <f t="shared" si="297"/>
        <v>1474849.8511174433</v>
      </c>
      <c r="K748" s="1">
        <f t="shared" si="298"/>
        <v>2075.37</v>
      </c>
      <c r="L748" s="5">
        <f t="shared" si="299"/>
        <v>0.22191780821917814</v>
      </c>
      <c r="M748" s="5">
        <f t="shared" si="300"/>
        <v>-0.69079725253665347</v>
      </c>
      <c r="N748" s="5">
        <f t="shared" si="301"/>
        <v>124.64754182798259</v>
      </c>
      <c r="O748" s="1">
        <f t="shared" si="302"/>
        <v>0</v>
      </c>
      <c r="P748" s="1">
        <f t="shared" si="303"/>
        <v>2075.37</v>
      </c>
      <c r="Q748" s="5">
        <f t="shared" si="304"/>
        <v>0.22191780821917814</v>
      </c>
      <c r="R748" s="5">
        <f t="shared" si="305"/>
        <v>-0.69079725253665347</v>
      </c>
      <c r="S748" s="5">
        <f t="shared" si="288"/>
        <v>124.64754182798259</v>
      </c>
      <c r="T748" s="5">
        <f t="shared" si="289"/>
        <v>-692.25235789814622</v>
      </c>
      <c r="U748" s="4">
        <f t="shared" si="290"/>
        <v>1474873.6507492873</v>
      </c>
      <c r="V748" s="4">
        <f t="shared" si="306"/>
        <v>71.400047695177832</v>
      </c>
      <c r="W748" s="4">
        <f t="shared" si="291"/>
        <v>1388586.0960126587</v>
      </c>
      <c r="X748" s="4">
        <f t="shared" si="295"/>
        <v>-5045.5571625032462</v>
      </c>
      <c r="Y748" s="9">
        <f>SUM($X$6:X748)</f>
        <v>388586.09601265867</v>
      </c>
      <c r="Z748" s="16">
        <f t="shared" si="296"/>
        <v>0.3885860960126587</v>
      </c>
      <c r="AA748" s="16">
        <f t="shared" si="292"/>
        <v>0.55797691572831365</v>
      </c>
      <c r="AB748" s="16">
        <f t="shared" si="293"/>
        <v>-3.6204381200784074E-3</v>
      </c>
      <c r="AC748" s="16">
        <f t="shared" si="294"/>
        <v>-6.3426108583499313E-3</v>
      </c>
    </row>
    <row r="749" spans="1:29" x14ac:dyDescent="0.15">
      <c r="A749" s="8">
        <v>41989</v>
      </c>
      <c r="B749" s="4">
        <v>1972.74</v>
      </c>
      <c r="C749" s="1">
        <v>19.091699999999999</v>
      </c>
      <c r="D749" s="1">
        <v>2.0299999999999998</v>
      </c>
      <c r="E749" s="1">
        <v>0.24260000000000001</v>
      </c>
      <c r="F749" s="4">
        <f t="shared" si="284"/>
        <v>0.190917</v>
      </c>
      <c r="G749" s="4">
        <f t="shared" si="285"/>
        <v>2.0299999999999999E-2</v>
      </c>
      <c r="H749" s="4">
        <f t="shared" si="286"/>
        <v>2.4260000000000002E-3</v>
      </c>
      <c r="I749" s="3">
        <f t="shared" si="287"/>
        <v>79.248103193083139</v>
      </c>
      <c r="J749" s="4">
        <f t="shared" si="297"/>
        <v>1474873.6507492873</v>
      </c>
      <c r="K749" s="1">
        <f t="shared" si="298"/>
        <v>2075.37</v>
      </c>
      <c r="L749" s="5">
        <f t="shared" si="299"/>
        <v>0.21917808219178089</v>
      </c>
      <c r="M749" s="5">
        <f t="shared" si="300"/>
        <v>-0.71132032629536845</v>
      </c>
      <c r="N749" s="5">
        <f t="shared" si="301"/>
        <v>140.14489705808026</v>
      </c>
      <c r="O749" s="1">
        <f t="shared" si="302"/>
        <v>0</v>
      </c>
      <c r="P749" s="1">
        <f t="shared" si="303"/>
        <v>2075.37</v>
      </c>
      <c r="Q749" s="5">
        <f t="shared" si="304"/>
        <v>0.21917808219178089</v>
      </c>
      <c r="R749" s="5">
        <f t="shared" si="305"/>
        <v>-0.71132032629536845</v>
      </c>
      <c r="S749" s="5">
        <f t="shared" si="288"/>
        <v>140.14489705808026</v>
      </c>
      <c r="T749" s="5">
        <f t="shared" si="289"/>
        <v>-692.25235789814622</v>
      </c>
      <c r="U749" s="4">
        <f t="shared" si="290"/>
        <v>1474945.0507969826</v>
      </c>
      <c r="V749" s="4">
        <f t="shared" si="306"/>
        <v>23.801168079984183</v>
      </c>
      <c r="W749" s="4">
        <f t="shared" si="291"/>
        <v>1377929.4153611336</v>
      </c>
      <c r="X749" s="4">
        <f t="shared" si="295"/>
        <v>-10656.680651525036</v>
      </c>
      <c r="Y749" s="9">
        <f>SUM($X$6:X749)</f>
        <v>377929.41536113364</v>
      </c>
      <c r="Z749" s="16">
        <f t="shared" si="296"/>
        <v>0.37792941536113361</v>
      </c>
      <c r="AA749" s="16">
        <f t="shared" si="292"/>
        <v>0.54475122547100374</v>
      </c>
      <c r="AB749" s="16">
        <f t="shared" si="293"/>
        <v>-7.6744831898618452E-3</v>
      </c>
      <c r="AC749" s="16">
        <f t="shared" si="294"/>
        <v>-8.4890155456040055E-3</v>
      </c>
    </row>
    <row r="750" spans="1:29" x14ac:dyDescent="0.15">
      <c r="A750" s="8">
        <v>41990</v>
      </c>
      <c r="B750" s="4">
        <v>2012.89</v>
      </c>
      <c r="C750" s="1">
        <v>16.7577</v>
      </c>
      <c r="D750" s="1">
        <v>1.99</v>
      </c>
      <c r="E750" s="1">
        <v>0.24540000000000001</v>
      </c>
      <c r="F750" s="4">
        <f t="shared" si="284"/>
        <v>0.167577</v>
      </c>
      <c r="G750" s="4">
        <f t="shared" si="285"/>
        <v>1.9900000000000001E-2</v>
      </c>
      <c r="H750" s="4">
        <f t="shared" si="286"/>
        <v>2.454E-3</v>
      </c>
      <c r="I750" s="3">
        <f t="shared" si="287"/>
        <v>71.441663405862982</v>
      </c>
      <c r="J750" s="4">
        <f t="shared" si="297"/>
        <v>1474945.0507969826</v>
      </c>
      <c r="K750" s="1">
        <f t="shared" si="298"/>
        <v>2075.37</v>
      </c>
      <c r="L750" s="5">
        <f t="shared" si="299"/>
        <v>0.21643835616438364</v>
      </c>
      <c r="M750" s="5">
        <f t="shared" si="300"/>
        <v>-0.65317010944666698</v>
      </c>
      <c r="N750" s="5">
        <f t="shared" si="301"/>
        <v>104.47503862400018</v>
      </c>
      <c r="O750" s="1">
        <f t="shared" si="302"/>
        <v>0</v>
      </c>
      <c r="P750" s="1">
        <f t="shared" si="303"/>
        <v>2075.37</v>
      </c>
      <c r="Q750" s="5">
        <f t="shared" si="304"/>
        <v>0.21643835616438364</v>
      </c>
      <c r="R750" s="5">
        <f t="shared" si="305"/>
        <v>-0.65317010944666698</v>
      </c>
      <c r="S750" s="5">
        <f t="shared" si="288"/>
        <v>104.47503862400018</v>
      </c>
      <c r="T750" s="5">
        <f t="shared" si="289"/>
        <v>-692.25235789814622</v>
      </c>
      <c r="U750" s="4">
        <f t="shared" si="290"/>
        <v>1474968.8519650626</v>
      </c>
      <c r="V750" s="4">
        <f t="shared" si="306"/>
        <v>23.801552159107445</v>
      </c>
      <c r="W750" s="4">
        <f t="shared" si="291"/>
        <v>1402645.7601360986</v>
      </c>
      <c r="X750" s="4">
        <f t="shared" si="295"/>
        <v>24716.344774964964</v>
      </c>
      <c r="Y750" s="9">
        <f>SUM($X$6:X750)</f>
        <v>402645.7601360986</v>
      </c>
      <c r="Z750" s="16">
        <f t="shared" si="296"/>
        <v>0.4026457601360986</v>
      </c>
      <c r="AA750" s="16">
        <f t="shared" si="292"/>
        <v>0.57619062534258392</v>
      </c>
      <c r="AB750" s="16">
        <f t="shared" si="293"/>
        <v>1.793730832612148E-2</v>
      </c>
      <c r="AC750" s="16">
        <f t="shared" si="294"/>
        <v>2.0352403256384568E-2</v>
      </c>
    </row>
    <row r="751" spans="1:29" x14ac:dyDescent="0.15">
      <c r="A751" s="8">
        <v>41991</v>
      </c>
      <c r="B751" s="4">
        <v>2061.23</v>
      </c>
      <c r="C751" s="1">
        <v>14.7773</v>
      </c>
      <c r="D751" s="1">
        <v>1.94</v>
      </c>
      <c r="E751" s="1">
        <v>0.24709999999999999</v>
      </c>
      <c r="F751" s="4">
        <f t="shared" si="284"/>
        <v>0.14777300000000002</v>
      </c>
      <c r="G751" s="4">
        <f t="shared" si="285"/>
        <v>1.9400000000000001E-2</v>
      </c>
      <c r="H751" s="4">
        <f t="shared" si="286"/>
        <v>2.4709999999999997E-3</v>
      </c>
      <c r="I751" s="3">
        <f t="shared" si="287"/>
        <v>64.932599126888547</v>
      </c>
      <c r="J751" s="4">
        <f t="shared" si="297"/>
        <v>1474968.8519650626</v>
      </c>
      <c r="K751" s="1">
        <f t="shared" si="298"/>
        <v>2075.37</v>
      </c>
      <c r="L751" s="5">
        <f t="shared" si="299"/>
        <v>0.21369863013698639</v>
      </c>
      <c r="M751" s="5">
        <f t="shared" si="300"/>
        <v>-0.54505102054126975</v>
      </c>
      <c r="N751" s="5">
        <f t="shared" si="301"/>
        <v>67.667122546720051</v>
      </c>
      <c r="O751" s="1">
        <f t="shared" si="302"/>
        <v>0</v>
      </c>
      <c r="P751" s="1">
        <f t="shared" si="303"/>
        <v>2075.37</v>
      </c>
      <c r="Q751" s="5">
        <f t="shared" si="304"/>
        <v>0.21369863013698639</v>
      </c>
      <c r="R751" s="5">
        <f t="shared" si="305"/>
        <v>-0.54505102054126975</v>
      </c>
      <c r="S751" s="5">
        <f t="shared" si="288"/>
        <v>67.667122546720051</v>
      </c>
      <c r="T751" s="5">
        <f t="shared" si="289"/>
        <v>-692.25235789814622</v>
      </c>
      <c r="U751" s="4">
        <f t="shared" si="290"/>
        <v>1474992.6535172216</v>
      </c>
      <c r="V751" s="4">
        <f t="shared" si="306"/>
        <v>23.801936244428585</v>
      </c>
      <c r="W751" s="4">
        <f t="shared" si="291"/>
        <v>1428149.9283820719</v>
      </c>
      <c r="X751" s="4">
        <f t="shared" si="295"/>
        <v>25504.168245973298</v>
      </c>
      <c r="Y751" s="9">
        <f>SUM($X$6:X751)</f>
        <v>428149.9283820719</v>
      </c>
      <c r="Z751" s="16">
        <f t="shared" si="296"/>
        <v>0.42814992838207189</v>
      </c>
      <c r="AA751" s="16">
        <f t="shared" si="292"/>
        <v>0.61404319295882737</v>
      </c>
      <c r="AB751" s="16">
        <f t="shared" si="293"/>
        <v>1.8182900466257874E-2</v>
      </c>
      <c r="AC751" s="16">
        <f t="shared" si="294"/>
        <v>2.4015221894887407E-2</v>
      </c>
    </row>
    <row r="752" spans="1:29" x14ac:dyDescent="0.15">
      <c r="A752" s="8">
        <v>41992</v>
      </c>
      <c r="B752" s="4">
        <v>2070.65</v>
      </c>
      <c r="C752" s="1">
        <v>14.4504</v>
      </c>
      <c r="D752" s="1">
        <v>1.9300000000000002</v>
      </c>
      <c r="E752" s="1">
        <v>0.25209999999999999</v>
      </c>
      <c r="F752" s="4">
        <f t="shared" si="284"/>
        <v>0.14450399999999999</v>
      </c>
      <c r="G752" s="4">
        <f t="shared" si="285"/>
        <v>1.9300000000000001E-2</v>
      </c>
      <c r="H752" s="4">
        <f t="shared" si="286"/>
        <v>2.5209999999999998E-3</v>
      </c>
      <c r="I752" s="3">
        <f t="shared" si="287"/>
        <v>63.847789283356597</v>
      </c>
      <c r="J752" s="4">
        <f t="shared" si="297"/>
        <v>1474992.6535172216</v>
      </c>
      <c r="K752" s="1">
        <f t="shared" si="298"/>
        <v>2075.37</v>
      </c>
      <c r="L752" s="5">
        <f t="shared" si="299"/>
        <v>0.21095890410958915</v>
      </c>
      <c r="M752" s="5">
        <f t="shared" si="300"/>
        <v>-0.51959243555131074</v>
      </c>
      <c r="N752" s="5">
        <f t="shared" si="301"/>
        <v>60.978667230872325</v>
      </c>
      <c r="O752" s="1">
        <f t="shared" si="302"/>
        <v>0</v>
      </c>
      <c r="P752" s="1">
        <f t="shared" si="303"/>
        <v>2075.37</v>
      </c>
      <c r="Q752" s="5">
        <f t="shared" si="304"/>
        <v>0.21095890410958915</v>
      </c>
      <c r="R752" s="5">
        <f t="shared" si="305"/>
        <v>-0.51959243555131074</v>
      </c>
      <c r="S752" s="5">
        <f t="shared" si="288"/>
        <v>60.978667230872325</v>
      </c>
      <c r="T752" s="5">
        <f t="shared" si="289"/>
        <v>-692.25235789814622</v>
      </c>
      <c r="U752" s="4">
        <f t="shared" si="290"/>
        <v>1475016.4554534659</v>
      </c>
      <c r="V752" s="4">
        <f t="shared" si="306"/>
        <v>23.802320335947705</v>
      </c>
      <c r="W752" s="4">
        <f t="shared" si="291"/>
        <v>1432803.8292814081</v>
      </c>
      <c r="X752" s="4">
        <f t="shared" si="295"/>
        <v>4653.9008993362077</v>
      </c>
      <c r="Y752" s="9">
        <f>SUM($X$6:X752)</f>
        <v>432803.82928140811</v>
      </c>
      <c r="Z752" s="16">
        <f t="shared" si="296"/>
        <v>0.43280382928140809</v>
      </c>
      <c r="AA752" s="16">
        <f t="shared" si="292"/>
        <v>0.62141951043803756</v>
      </c>
      <c r="AB752" s="16">
        <f t="shared" si="293"/>
        <v>3.2586921070734761E-3</v>
      </c>
      <c r="AC752" s="16">
        <f t="shared" si="294"/>
        <v>4.5700867928373219E-3</v>
      </c>
    </row>
    <row r="753" spans="1:29" x14ac:dyDescent="0.15">
      <c r="A753" s="8">
        <v>41995</v>
      </c>
      <c r="B753" s="4">
        <v>2078.54</v>
      </c>
      <c r="C753" s="1">
        <v>13.945</v>
      </c>
      <c r="D753" s="1">
        <v>1.92</v>
      </c>
      <c r="E753" s="1">
        <v>0.25509999999999999</v>
      </c>
      <c r="F753" s="4">
        <f t="shared" si="284"/>
        <v>0.13944999999999999</v>
      </c>
      <c r="G753" s="4">
        <f t="shared" si="285"/>
        <v>1.9199999999999998E-2</v>
      </c>
      <c r="H753" s="4">
        <f t="shared" si="286"/>
        <v>2.5509999999999999E-3</v>
      </c>
      <c r="I753" s="3">
        <f t="shared" si="287"/>
        <v>61.974483138611063</v>
      </c>
      <c r="J753" s="4">
        <f t="shared" si="297"/>
        <v>1475016.4554534659</v>
      </c>
      <c r="K753" s="1">
        <f t="shared" si="298"/>
        <v>2075.37</v>
      </c>
      <c r="L753" s="5">
        <f t="shared" si="299"/>
        <v>0.20273972602739737</v>
      </c>
      <c r="M753" s="5">
        <f t="shared" si="300"/>
        <v>-0.49728453755419777</v>
      </c>
      <c r="N753" s="5">
        <f t="shared" si="301"/>
        <v>53.842012234366123</v>
      </c>
      <c r="O753" s="1">
        <f t="shared" si="302"/>
        <v>0</v>
      </c>
      <c r="P753" s="1">
        <f t="shared" si="303"/>
        <v>2075.37</v>
      </c>
      <c r="Q753" s="5">
        <f t="shared" si="304"/>
        <v>0.20273972602739737</v>
      </c>
      <c r="R753" s="5">
        <f t="shared" si="305"/>
        <v>-0.49728453755419777</v>
      </c>
      <c r="S753" s="5">
        <f t="shared" si="288"/>
        <v>53.842012234366123</v>
      </c>
      <c r="T753" s="5">
        <f t="shared" si="289"/>
        <v>-692.25235789814622</v>
      </c>
      <c r="U753" s="4">
        <f t="shared" si="290"/>
        <v>1475040.2577738019</v>
      </c>
      <c r="V753" s="4">
        <f t="shared" si="306"/>
        <v>71.408113300994728</v>
      </c>
      <c r="W753" s="4">
        <f t="shared" si="291"/>
        <v>1437767.9978505811</v>
      </c>
      <c r="X753" s="4">
        <f t="shared" si="295"/>
        <v>4964.1685691729654</v>
      </c>
      <c r="Y753" s="9">
        <f>SUM($X$6:X753)</f>
        <v>437767.99785058107</v>
      </c>
      <c r="Z753" s="16">
        <f t="shared" si="296"/>
        <v>0.43776799785058107</v>
      </c>
      <c r="AA753" s="16">
        <f t="shared" si="292"/>
        <v>0.62759776361329933</v>
      </c>
      <c r="AB753" s="16">
        <f t="shared" si="293"/>
        <v>3.4646533375491026E-3</v>
      </c>
      <c r="AC753" s="16">
        <f t="shared" si="294"/>
        <v>3.8103977012048742E-3</v>
      </c>
    </row>
    <row r="754" spans="1:29" x14ac:dyDescent="0.15">
      <c r="A754" s="8">
        <v>41996</v>
      </c>
      <c r="B754" s="4">
        <v>2082.17</v>
      </c>
      <c r="C754" s="1">
        <v>13.9034</v>
      </c>
      <c r="D754" s="1">
        <v>1.92</v>
      </c>
      <c r="E754" s="1">
        <v>0.25459999999999999</v>
      </c>
      <c r="F754" s="4">
        <f t="shared" si="284"/>
        <v>0.13903399999999999</v>
      </c>
      <c r="G754" s="4">
        <f t="shared" si="285"/>
        <v>1.9199999999999998E-2</v>
      </c>
      <c r="H754" s="4">
        <f t="shared" si="286"/>
        <v>2.5460000000000001E-3</v>
      </c>
      <c r="I754" s="3">
        <f t="shared" si="287"/>
        <v>61.912446868850232</v>
      </c>
      <c r="J754" s="4">
        <f t="shared" si="297"/>
        <v>1475040.2577738019</v>
      </c>
      <c r="K754" s="1">
        <f t="shared" si="298"/>
        <v>2075.37</v>
      </c>
      <c r="L754" s="5">
        <f t="shared" si="299"/>
        <v>0.20000000000000012</v>
      </c>
      <c r="M754" s="5">
        <f t="shared" si="300"/>
        <v>-0.48611147310178449</v>
      </c>
      <c r="N754" s="5">
        <f t="shared" si="301"/>
        <v>51.506205877572334</v>
      </c>
      <c r="O754" s="1">
        <f t="shared" si="302"/>
        <v>0</v>
      </c>
      <c r="P754" s="1">
        <f t="shared" si="303"/>
        <v>2075.37</v>
      </c>
      <c r="Q754" s="5">
        <f t="shared" si="304"/>
        <v>0.20000000000000012</v>
      </c>
      <c r="R754" s="5">
        <f t="shared" si="305"/>
        <v>-0.48611147310178449</v>
      </c>
      <c r="S754" s="5">
        <f t="shared" si="288"/>
        <v>51.506205877572334</v>
      </c>
      <c r="T754" s="5">
        <f t="shared" si="289"/>
        <v>-692.25235789814622</v>
      </c>
      <c r="U754" s="4">
        <f t="shared" si="290"/>
        <v>1475111.665887103</v>
      </c>
      <c r="V754" s="4">
        <f t="shared" si="306"/>
        <v>23.803856745411057</v>
      </c>
      <c r="W754" s="4">
        <f t="shared" si="291"/>
        <v>1439456.3734219661</v>
      </c>
      <c r="X754" s="4">
        <f t="shared" si="295"/>
        <v>1688.375571385026</v>
      </c>
      <c r="Y754" s="9">
        <f>SUM($X$6:X754)</f>
        <v>439456.3734219661</v>
      </c>
      <c r="Z754" s="16">
        <f t="shared" si="296"/>
        <v>0.43945637342196608</v>
      </c>
      <c r="AA754" s="16">
        <f t="shared" si="292"/>
        <v>0.6304402299030587</v>
      </c>
      <c r="AB754" s="16">
        <f t="shared" si="293"/>
        <v>1.1743032074083548E-3</v>
      </c>
      <c r="AC754" s="16">
        <f t="shared" si="294"/>
        <v>1.7464181589000496E-3</v>
      </c>
    </row>
    <row r="755" spans="1:29" x14ac:dyDescent="0.15">
      <c r="A755" s="8">
        <v>41997</v>
      </c>
      <c r="B755" s="4">
        <v>2081.88</v>
      </c>
      <c r="C755" s="1">
        <v>13.6881</v>
      </c>
      <c r="D755" s="1">
        <v>1.92</v>
      </c>
      <c r="E755" s="1">
        <v>0.25659999999999999</v>
      </c>
      <c r="F755" s="4">
        <f t="shared" si="284"/>
        <v>0.136881</v>
      </c>
      <c r="G755" s="4">
        <f t="shared" si="285"/>
        <v>1.9199999999999998E-2</v>
      </c>
      <c r="H755" s="4">
        <f t="shared" si="286"/>
        <v>2.5660000000000001E-3</v>
      </c>
      <c r="I755" s="3">
        <f t="shared" si="287"/>
        <v>61.009943542678215</v>
      </c>
      <c r="J755" s="4">
        <f t="shared" si="297"/>
        <v>1475111.665887103</v>
      </c>
      <c r="K755" s="1">
        <f t="shared" si="298"/>
        <v>2075.37</v>
      </c>
      <c r="L755" s="5">
        <f t="shared" si="299"/>
        <v>0.19726027397260287</v>
      </c>
      <c r="M755" s="5">
        <f t="shared" si="300"/>
        <v>-0.48700679102184419</v>
      </c>
      <c r="N755" s="5">
        <f t="shared" si="301"/>
        <v>50.452890395229112</v>
      </c>
      <c r="O755" s="1">
        <f t="shared" si="302"/>
        <v>0</v>
      </c>
      <c r="P755" s="1">
        <f t="shared" si="303"/>
        <v>2075.37</v>
      </c>
      <c r="Q755" s="5">
        <f t="shared" si="304"/>
        <v>0.19726027397260287</v>
      </c>
      <c r="R755" s="5">
        <f t="shared" si="305"/>
        <v>-0.48700679102184419</v>
      </c>
      <c r="S755" s="5">
        <f t="shared" si="288"/>
        <v>50.452890395229112</v>
      </c>
      <c r="T755" s="5">
        <f t="shared" si="289"/>
        <v>-692.25235789814622</v>
      </c>
      <c r="U755" s="4">
        <f t="shared" si="290"/>
        <v>1475135.4697438483</v>
      </c>
      <c r="V755" s="4">
        <f t="shared" si="306"/>
        <v>23.804240867921276</v>
      </c>
      <c r="W755" s="4">
        <f t="shared" si="291"/>
        <v>1440209.3374049743</v>
      </c>
      <c r="X755" s="4">
        <f t="shared" si="295"/>
        <v>752.96398300817236</v>
      </c>
      <c r="Y755" s="9">
        <f>SUM($X$6:X755)</f>
        <v>440209.33740497427</v>
      </c>
      <c r="Z755" s="16">
        <f t="shared" si="296"/>
        <v>0.44020933740497425</v>
      </c>
      <c r="AA755" s="16">
        <f t="shared" si="292"/>
        <v>0.63021314581930388</v>
      </c>
      <c r="AB755" s="16">
        <f t="shared" si="293"/>
        <v>5.2308913066825293E-4</v>
      </c>
      <c r="AC755" s="16">
        <f t="shared" si="294"/>
        <v>-1.3927777270826281E-4</v>
      </c>
    </row>
    <row r="756" spans="1:29" x14ac:dyDescent="0.15">
      <c r="A756" s="8">
        <v>41999</v>
      </c>
      <c r="B756" s="4">
        <v>2088.77</v>
      </c>
      <c r="C756" s="1">
        <v>13.566599999999999</v>
      </c>
      <c r="D756" s="1">
        <v>1.9100000000000001</v>
      </c>
      <c r="E756" s="1">
        <v>0.25659999999999999</v>
      </c>
      <c r="F756" s="4">
        <f t="shared" si="284"/>
        <v>0.13566599999999998</v>
      </c>
      <c r="G756" s="4">
        <f t="shared" si="285"/>
        <v>1.9100000000000002E-2</v>
      </c>
      <c r="H756" s="4">
        <f t="shared" si="286"/>
        <v>2.5660000000000001E-3</v>
      </c>
      <c r="I756" s="3">
        <f t="shared" si="287"/>
        <v>60.682442277155744</v>
      </c>
      <c r="J756" s="4">
        <f t="shared" si="297"/>
        <v>1475135.4697438483</v>
      </c>
      <c r="K756" s="1">
        <f t="shared" si="298"/>
        <v>2075.37</v>
      </c>
      <c r="L756" s="5">
        <f t="shared" si="299"/>
        <v>0.19178082191780835</v>
      </c>
      <c r="M756" s="5">
        <f t="shared" si="300"/>
        <v>-0.46456039643480018</v>
      </c>
      <c r="N756" s="5">
        <f t="shared" si="301"/>
        <v>45.921605585770799</v>
      </c>
      <c r="O756" s="1">
        <f t="shared" si="302"/>
        <v>0</v>
      </c>
      <c r="P756" s="1">
        <f t="shared" si="303"/>
        <v>2075.37</v>
      </c>
      <c r="Q756" s="5">
        <f t="shared" si="304"/>
        <v>0.19178082191780835</v>
      </c>
      <c r="R756" s="5">
        <f t="shared" si="305"/>
        <v>-0.46456039643480018</v>
      </c>
      <c r="S756" s="5">
        <f t="shared" si="288"/>
        <v>45.921605585770799</v>
      </c>
      <c r="T756" s="5">
        <f t="shared" si="289"/>
        <v>-692.25235789814622</v>
      </c>
      <c r="U756" s="4">
        <f t="shared" si="290"/>
        <v>1475159.2739847163</v>
      </c>
      <c r="V756" s="4">
        <f t="shared" si="306"/>
        <v>47.609249993260157</v>
      </c>
      <c r="W756" s="4">
        <f t="shared" si="291"/>
        <v>1443369.9342394979</v>
      </c>
      <c r="X756" s="4">
        <f t="shared" si="295"/>
        <v>3160.5968345236033</v>
      </c>
      <c r="Y756" s="9">
        <f>SUM($X$6:X756)</f>
        <v>443369.93423949787</v>
      </c>
      <c r="Z756" s="16">
        <f t="shared" si="296"/>
        <v>0.44336993423949789</v>
      </c>
      <c r="AA756" s="16">
        <f t="shared" si="292"/>
        <v>0.63560835042989372</v>
      </c>
      <c r="AB756" s="16">
        <f t="shared" si="293"/>
        <v>2.1945398855825297E-3</v>
      </c>
      <c r="AC756" s="16">
        <f t="shared" si="294"/>
        <v>3.3095087132783215E-3</v>
      </c>
    </row>
    <row r="757" spans="1:29" x14ac:dyDescent="0.15">
      <c r="A757" s="8">
        <v>42002</v>
      </c>
      <c r="B757" s="4">
        <v>2090.5700000000002</v>
      </c>
      <c r="C757" s="1">
        <v>13.6623</v>
      </c>
      <c r="D757" s="1">
        <v>1.9100000000000001</v>
      </c>
      <c r="E757" s="1">
        <v>0.25509999999999999</v>
      </c>
      <c r="F757" s="4">
        <f t="shared" si="284"/>
        <v>0.13662299999999999</v>
      </c>
      <c r="G757" s="4">
        <f t="shared" si="285"/>
        <v>1.9100000000000002E-2</v>
      </c>
      <c r="H757" s="4">
        <f t="shared" si="286"/>
        <v>2.5509999999999999E-3</v>
      </c>
      <c r="I757" s="3">
        <f t="shared" si="287"/>
        <v>61.135432223954965</v>
      </c>
      <c r="J757" s="4">
        <f t="shared" si="297"/>
        <v>1475159.2739847163</v>
      </c>
      <c r="K757" s="1">
        <f t="shared" si="298"/>
        <v>2075.37</v>
      </c>
      <c r="L757" s="5">
        <f t="shared" si="299"/>
        <v>0.18356164383561657</v>
      </c>
      <c r="M757" s="5">
        <f t="shared" si="300"/>
        <v>-0.45775602901813645</v>
      </c>
      <c r="N757" s="5">
        <f t="shared" si="301"/>
        <v>44.238898955287375</v>
      </c>
      <c r="O757" s="1">
        <f t="shared" si="302"/>
        <v>0</v>
      </c>
      <c r="P757" s="1">
        <f t="shared" si="303"/>
        <v>2075.37</v>
      </c>
      <c r="Q757" s="5">
        <f t="shared" si="304"/>
        <v>0.18356164383561657</v>
      </c>
      <c r="R757" s="5">
        <f t="shared" si="305"/>
        <v>-0.45775602901813645</v>
      </c>
      <c r="S757" s="5">
        <f t="shared" si="288"/>
        <v>44.238898955287375</v>
      </c>
      <c r="T757" s="5">
        <f t="shared" si="289"/>
        <v>-692.25235789814622</v>
      </c>
      <c r="U757" s="4">
        <f t="shared" si="290"/>
        <v>1475206.8832347095</v>
      </c>
      <c r="V757" s="4">
        <f t="shared" si="306"/>
        <v>71.416179799335112</v>
      </c>
      <c r="W757" s="4">
        <f t="shared" si="291"/>
        <v>1444582.4011220939</v>
      </c>
      <c r="X757" s="4">
        <f t="shared" si="295"/>
        <v>1212.4668825960252</v>
      </c>
      <c r="Y757" s="9">
        <f>SUM($X$6:X757)</f>
        <v>444582.4011220939</v>
      </c>
      <c r="Z757" s="16">
        <f t="shared" si="296"/>
        <v>0.44458240112209391</v>
      </c>
      <c r="AA757" s="16">
        <f t="shared" si="292"/>
        <v>0.63701783784630339</v>
      </c>
      <c r="AB757" s="16">
        <f t="shared" si="293"/>
        <v>8.4002503712595768E-4</v>
      </c>
      <c r="AC757" s="16">
        <f t="shared" si="294"/>
        <v>8.6175117413606181E-4</v>
      </c>
    </row>
    <row r="758" spans="1:29" x14ac:dyDescent="0.15">
      <c r="A758" s="8">
        <v>42003</v>
      </c>
      <c r="B758" s="4">
        <v>2080.35</v>
      </c>
      <c r="C758" s="1">
        <v>14.1317</v>
      </c>
      <c r="D758" s="1">
        <v>1.92</v>
      </c>
      <c r="E758" s="1">
        <v>0.25519999999999998</v>
      </c>
      <c r="F758" s="4">
        <f t="shared" si="284"/>
        <v>0.141317</v>
      </c>
      <c r="G758" s="4">
        <f t="shared" si="285"/>
        <v>1.9199999999999998E-2</v>
      </c>
      <c r="H758" s="4">
        <f t="shared" si="286"/>
        <v>2.552E-3</v>
      </c>
      <c r="I758" s="3">
        <f t="shared" si="287"/>
        <v>62.797939104328101</v>
      </c>
      <c r="J758" s="4">
        <f t="shared" si="297"/>
        <v>1475206.8832347095</v>
      </c>
      <c r="K758" s="1">
        <f t="shared" si="298"/>
        <v>2075.37</v>
      </c>
      <c r="L758" s="5">
        <f t="shared" si="299"/>
        <v>0.18082191780821932</v>
      </c>
      <c r="M758" s="5">
        <f t="shared" si="300"/>
        <v>-0.49038209270084621</v>
      </c>
      <c r="N758" s="5">
        <f t="shared" si="301"/>
        <v>50.346883760133309</v>
      </c>
      <c r="O758" s="1">
        <f t="shared" si="302"/>
        <v>0</v>
      </c>
      <c r="P758" s="1">
        <f t="shared" si="303"/>
        <v>2075.37</v>
      </c>
      <c r="Q758" s="5">
        <f t="shared" si="304"/>
        <v>0.18082191780821932</v>
      </c>
      <c r="R758" s="5">
        <f t="shared" si="305"/>
        <v>-0.49038209270084621</v>
      </c>
      <c r="S758" s="5">
        <f t="shared" si="288"/>
        <v>50.346883760133309</v>
      </c>
      <c r="T758" s="5">
        <f t="shared" si="289"/>
        <v>-692.25235789814622</v>
      </c>
      <c r="U758" s="4">
        <f t="shared" si="290"/>
        <v>1475278.2994145087</v>
      </c>
      <c r="V758" s="4">
        <f t="shared" si="306"/>
        <v>23.806545708360151</v>
      </c>
      <c r="W758" s="4">
        <f t="shared" si="291"/>
        <v>1440425.5504187327</v>
      </c>
      <c r="X758" s="4">
        <f t="shared" si="295"/>
        <v>-4156.8507033612113</v>
      </c>
      <c r="Y758" s="9">
        <f>SUM($X$6:X758)</f>
        <v>440425.55041873269</v>
      </c>
      <c r="Z758" s="16">
        <f t="shared" si="296"/>
        <v>0.44042555041873271</v>
      </c>
      <c r="AA758" s="16">
        <f t="shared" si="292"/>
        <v>0.62901508151535557</v>
      </c>
      <c r="AB758" s="16">
        <f t="shared" si="293"/>
        <v>-2.8775448878044863E-3</v>
      </c>
      <c r="AC758" s="16">
        <f t="shared" si="294"/>
        <v>-4.8886188934119659E-3</v>
      </c>
    </row>
    <row r="759" spans="1:29" x14ac:dyDescent="0.15">
      <c r="A759" s="8">
        <v>42004</v>
      </c>
      <c r="B759" s="4">
        <v>2058.9</v>
      </c>
      <c r="C759" s="1">
        <v>15.629799999999999</v>
      </c>
      <c r="D759" s="1">
        <v>1.94</v>
      </c>
      <c r="E759" s="1">
        <v>0.25559999999999999</v>
      </c>
      <c r="F759" s="4">
        <f t="shared" si="284"/>
        <v>0.15629799999999999</v>
      </c>
      <c r="G759" s="4">
        <f t="shared" si="285"/>
        <v>1.9400000000000001E-2</v>
      </c>
      <c r="H759" s="4">
        <f t="shared" si="286"/>
        <v>2.5560000000000001E-3</v>
      </c>
      <c r="I759" s="3">
        <f t="shared" si="287"/>
        <v>68.314708920828679</v>
      </c>
      <c r="J759" s="4">
        <f t="shared" si="297"/>
        <v>1475278.2994145087</v>
      </c>
      <c r="K759" s="1">
        <f t="shared" si="298"/>
        <v>2075.37</v>
      </c>
      <c r="L759" s="5">
        <f t="shared" si="299"/>
        <v>0.17808219178082207</v>
      </c>
      <c r="M759" s="5">
        <f t="shared" si="300"/>
        <v>-0.55111401595085141</v>
      </c>
      <c r="N759" s="5">
        <f t="shared" si="301"/>
        <v>66.338761712168392</v>
      </c>
      <c r="O759" s="1">
        <f t="shared" si="302"/>
        <v>0</v>
      </c>
      <c r="P759" s="1">
        <f t="shared" si="303"/>
        <v>2075.37</v>
      </c>
      <c r="Q759" s="5">
        <f t="shared" si="304"/>
        <v>0.17808219178082207</v>
      </c>
      <c r="R759" s="5">
        <f t="shared" si="305"/>
        <v>-0.55111401595085141</v>
      </c>
      <c r="S759" s="5">
        <f t="shared" si="288"/>
        <v>66.338761712168392</v>
      </c>
      <c r="T759" s="5">
        <f t="shared" si="289"/>
        <v>-692.25235789814622</v>
      </c>
      <c r="U759" s="4">
        <f t="shared" si="290"/>
        <v>1475302.1059602171</v>
      </c>
      <c r="V759" s="4">
        <f t="shared" si="306"/>
        <v>23.806929874262128</v>
      </c>
      <c r="W759" s="4">
        <f t="shared" si="291"/>
        <v>1429378.9417449252</v>
      </c>
      <c r="X759" s="4">
        <f t="shared" si="295"/>
        <v>-11046.608673807466</v>
      </c>
      <c r="Y759" s="9">
        <f>SUM($X$6:X759)</f>
        <v>429378.94174492522</v>
      </c>
      <c r="Z759" s="16">
        <f t="shared" si="296"/>
        <v>0.42937894174492525</v>
      </c>
      <c r="AA759" s="16">
        <f t="shared" si="292"/>
        <v>0.61221868980314176</v>
      </c>
      <c r="AB759" s="16">
        <f t="shared" si="293"/>
        <v>-7.6689896750277787E-3</v>
      </c>
      <c r="AC759" s="16">
        <f t="shared" si="294"/>
        <v>-1.0310765015502113E-2</v>
      </c>
    </row>
    <row r="760" spans="1:29" x14ac:dyDescent="0.15">
      <c r="A760" s="8">
        <v>42006</v>
      </c>
      <c r="B760" s="4">
        <v>2058.1999999999998</v>
      </c>
      <c r="C760" s="1">
        <v>15.218</v>
      </c>
      <c r="D760" s="1">
        <v>2.06</v>
      </c>
      <c r="E760" s="1">
        <v>0.25559999999999999</v>
      </c>
      <c r="F760" s="4">
        <f t="shared" si="284"/>
        <v>0.15218000000000001</v>
      </c>
      <c r="G760" s="4">
        <f t="shared" si="285"/>
        <v>2.06E-2</v>
      </c>
      <c r="H760" s="4">
        <f t="shared" si="286"/>
        <v>2.5560000000000001E-3</v>
      </c>
      <c r="I760" s="3">
        <f t="shared" si="287"/>
        <v>66.922567614704661</v>
      </c>
      <c r="J760" s="4">
        <f t="shared" si="297"/>
        <v>1475302.1059602171</v>
      </c>
      <c r="K760" s="1">
        <f t="shared" si="298"/>
        <v>2075.37</v>
      </c>
      <c r="L760" s="5">
        <f t="shared" si="299"/>
        <v>0.17260273972602755</v>
      </c>
      <c r="M760" s="5">
        <f t="shared" si="300"/>
        <v>-0.5572575095593949</v>
      </c>
      <c r="N760" s="5">
        <f t="shared" si="301"/>
        <v>64.643729147304114</v>
      </c>
      <c r="O760" s="1">
        <f t="shared" si="302"/>
        <v>0</v>
      </c>
      <c r="P760" s="1">
        <f t="shared" si="303"/>
        <v>2075.37</v>
      </c>
      <c r="Q760" s="5">
        <f t="shared" si="304"/>
        <v>0.17260273972602755</v>
      </c>
      <c r="R760" s="5">
        <f t="shared" si="305"/>
        <v>-0.5572575095593949</v>
      </c>
      <c r="S760" s="5">
        <f t="shared" si="288"/>
        <v>64.643729147304114</v>
      </c>
      <c r="T760" s="5">
        <f t="shared" si="289"/>
        <v>-692.25235789814622</v>
      </c>
      <c r="U760" s="4">
        <f t="shared" si="290"/>
        <v>1475325.9128900913</v>
      </c>
      <c r="V760" s="4">
        <f t="shared" si="306"/>
        <v>47.614628092726782</v>
      </c>
      <c r="W760" s="4">
        <f t="shared" si="291"/>
        <v>1430576.138964541</v>
      </c>
      <c r="X760" s="4">
        <f t="shared" si="295"/>
        <v>1197.1972196158022</v>
      </c>
      <c r="Y760" s="9">
        <f>SUM($X$6:X760)</f>
        <v>430576.13896454102</v>
      </c>
      <c r="Z760" s="16">
        <f t="shared" si="296"/>
        <v>0.430576138964541</v>
      </c>
      <c r="AA760" s="16">
        <f t="shared" si="292"/>
        <v>0.61167055580787111</v>
      </c>
      <c r="AB760" s="16">
        <f t="shared" si="293"/>
        <v>8.375646126102253E-4</v>
      </c>
      <c r="AC760" s="16">
        <f t="shared" si="294"/>
        <v>-3.3998737189774771E-4</v>
      </c>
    </row>
    <row r="761" spans="1:29" x14ac:dyDescent="0.15">
      <c r="A761" s="8">
        <v>42009</v>
      </c>
      <c r="B761" s="4">
        <v>2020.58</v>
      </c>
      <c r="C761" s="1">
        <v>16.514399999999998</v>
      </c>
      <c r="D761" s="1">
        <v>2.1</v>
      </c>
      <c r="E761" s="1">
        <v>0.25359999999999999</v>
      </c>
      <c r="F761" s="4">
        <f t="shared" si="284"/>
        <v>0.16514399999999999</v>
      </c>
      <c r="G761" s="4">
        <f t="shared" si="285"/>
        <v>2.1000000000000001E-2</v>
      </c>
      <c r="H761" s="4">
        <f t="shared" si="286"/>
        <v>2.5360000000000001E-3</v>
      </c>
      <c r="I761" s="3">
        <f t="shared" si="287"/>
        <v>70.996550505841995</v>
      </c>
      <c r="J761" s="4">
        <f t="shared" si="297"/>
        <v>1475325.9128900913</v>
      </c>
      <c r="K761" s="1">
        <f t="shared" si="298"/>
        <v>2075.37</v>
      </c>
      <c r="L761" s="5">
        <f t="shared" si="299"/>
        <v>0.16438356164383577</v>
      </c>
      <c r="M761" s="5">
        <f t="shared" si="300"/>
        <v>-0.65735144590149919</v>
      </c>
      <c r="N761" s="5">
        <f t="shared" si="301"/>
        <v>90.34750354579846</v>
      </c>
      <c r="O761" s="1">
        <f t="shared" si="302"/>
        <v>0</v>
      </c>
      <c r="P761" s="1">
        <f t="shared" si="303"/>
        <v>2075.37</v>
      </c>
      <c r="Q761" s="5">
        <f t="shared" si="304"/>
        <v>0.16438356164383577</v>
      </c>
      <c r="R761" s="5">
        <f t="shared" si="305"/>
        <v>-0.65735144590149919</v>
      </c>
      <c r="S761" s="5">
        <f t="shared" si="288"/>
        <v>90.34750354579846</v>
      </c>
      <c r="T761" s="5">
        <f t="shared" si="289"/>
        <v>-692.25235789814622</v>
      </c>
      <c r="U761" s="4">
        <f t="shared" si="290"/>
        <v>1475373.5275181839</v>
      </c>
      <c r="V761" s="4">
        <f t="shared" si="306"/>
        <v>71.424247208894002</v>
      </c>
      <c r="W761" s="4">
        <f t="shared" si="291"/>
        <v>1412830.2551583939</v>
      </c>
      <c r="X761" s="4">
        <f t="shared" si="295"/>
        <v>-17745.883806147147</v>
      </c>
      <c r="Y761" s="9">
        <f>SUM($X$6:X761)</f>
        <v>412830.25515839388</v>
      </c>
      <c r="Z761" s="16">
        <f t="shared" si="296"/>
        <v>0.41283025515839389</v>
      </c>
      <c r="AA761" s="16">
        <f t="shared" si="292"/>
        <v>0.58221226880491128</v>
      </c>
      <c r="AB761" s="16">
        <f t="shared" si="293"/>
        <v>-1.240471116692308E-2</v>
      </c>
      <c r="AC761" s="16">
        <f t="shared" si="294"/>
        <v>-1.8278107083859633E-2</v>
      </c>
    </row>
    <row r="762" spans="1:29" x14ac:dyDescent="0.15">
      <c r="A762" s="8">
        <v>42010</v>
      </c>
      <c r="B762" s="4">
        <v>2002.61</v>
      </c>
      <c r="C762" s="1">
        <v>17.601500000000001</v>
      </c>
      <c r="D762" s="1">
        <v>2.12</v>
      </c>
      <c r="E762" s="1">
        <v>0.25109999999999999</v>
      </c>
      <c r="F762" s="4">
        <f t="shared" si="284"/>
        <v>0.176015</v>
      </c>
      <c r="G762" s="4">
        <f t="shared" si="285"/>
        <v>2.12E-2</v>
      </c>
      <c r="H762" s="4">
        <f t="shared" si="286"/>
        <v>2.5109999999999998E-3</v>
      </c>
      <c r="I762" s="3">
        <f t="shared" si="287"/>
        <v>74.73554583393576</v>
      </c>
      <c r="J762" s="4">
        <f t="shared" si="297"/>
        <v>1475373.5275181839</v>
      </c>
      <c r="K762" s="1">
        <f t="shared" si="298"/>
        <v>2075.37</v>
      </c>
      <c r="L762" s="5">
        <f t="shared" si="299"/>
        <v>0.16164383561643852</v>
      </c>
      <c r="M762" s="5">
        <f t="shared" si="300"/>
        <v>-0.69315926886494827</v>
      </c>
      <c r="N762" s="5">
        <f t="shared" si="301"/>
        <v>105.20910986895062</v>
      </c>
      <c r="O762" s="1">
        <f t="shared" si="302"/>
        <v>0</v>
      </c>
      <c r="P762" s="1">
        <f t="shared" si="303"/>
        <v>2075.37</v>
      </c>
      <c r="Q762" s="5">
        <f t="shared" si="304"/>
        <v>0.16164383561643852</v>
      </c>
      <c r="R762" s="5">
        <f t="shared" si="305"/>
        <v>-0.69315926886494827</v>
      </c>
      <c r="S762" s="5">
        <f t="shared" si="288"/>
        <v>105.20910986895062</v>
      </c>
      <c r="T762" s="5">
        <f t="shared" si="289"/>
        <v>-692.25235789814622</v>
      </c>
      <c r="U762" s="4">
        <f t="shared" si="290"/>
        <v>1475444.9517653929</v>
      </c>
      <c r="V762" s="4">
        <f t="shared" si="306"/>
        <v>23.809234975063461</v>
      </c>
      <c r="W762" s="4">
        <f t="shared" si="291"/>
        <v>1402613.6973862466</v>
      </c>
      <c r="X762" s="4">
        <f t="shared" si="295"/>
        <v>-10216.557772147236</v>
      </c>
      <c r="Y762" s="9">
        <f>SUM($X$6:X762)</f>
        <v>402613.69738624664</v>
      </c>
      <c r="Z762" s="16">
        <f t="shared" si="296"/>
        <v>0.40261369738624664</v>
      </c>
      <c r="AA762" s="16">
        <f t="shared" si="292"/>
        <v>0.56814088609775582</v>
      </c>
      <c r="AB762" s="16">
        <f t="shared" si="293"/>
        <v>-7.2312705187657861E-3</v>
      </c>
      <c r="AC762" s="16">
        <f t="shared" si="294"/>
        <v>-8.8934860287640319E-3</v>
      </c>
    </row>
    <row r="763" spans="1:29" x14ac:dyDescent="0.15">
      <c r="A763" s="8">
        <v>42011</v>
      </c>
      <c r="B763" s="4">
        <v>2025.9</v>
      </c>
      <c r="C763" s="1">
        <v>16.432099999999998</v>
      </c>
      <c r="D763" s="1">
        <v>2.09</v>
      </c>
      <c r="E763" s="1">
        <v>0.25209999999999999</v>
      </c>
      <c r="F763" s="4">
        <f t="shared" si="284"/>
        <v>0.16432099999999999</v>
      </c>
      <c r="G763" s="4">
        <f t="shared" si="285"/>
        <v>2.0899999999999998E-2</v>
      </c>
      <c r="H763" s="4">
        <f t="shared" si="286"/>
        <v>2.5209999999999998E-3</v>
      </c>
      <c r="I763" s="3">
        <f t="shared" si="287"/>
        <v>70.831778889160844</v>
      </c>
      <c r="J763" s="4">
        <f t="shared" si="297"/>
        <v>1475444.9517653929</v>
      </c>
      <c r="K763" s="1">
        <f t="shared" si="298"/>
        <v>2075.37</v>
      </c>
      <c r="L763" s="5">
        <f t="shared" si="299"/>
        <v>0.15890410958904128</v>
      </c>
      <c r="M763" s="5">
        <f t="shared" si="300"/>
        <v>-0.64593223387733878</v>
      </c>
      <c r="N763" s="5">
        <f t="shared" si="301"/>
        <v>85.649672413555578</v>
      </c>
      <c r="O763" s="1">
        <f t="shared" si="302"/>
        <v>0</v>
      </c>
      <c r="P763" s="1">
        <f t="shared" si="303"/>
        <v>2075.37</v>
      </c>
      <c r="Q763" s="5">
        <f t="shared" si="304"/>
        <v>0.15890410958904128</v>
      </c>
      <c r="R763" s="5">
        <f t="shared" si="305"/>
        <v>-0.64593223387733878</v>
      </c>
      <c r="S763" s="5">
        <f t="shared" si="288"/>
        <v>85.649672413555578</v>
      </c>
      <c r="T763" s="5">
        <f t="shared" si="289"/>
        <v>-692.25235789814622</v>
      </c>
      <c r="U763" s="4">
        <f t="shared" si="290"/>
        <v>1475468.761000368</v>
      </c>
      <c r="V763" s="4">
        <f t="shared" si="306"/>
        <v>23.809619184362102</v>
      </c>
      <c r="W763" s="4">
        <f t="shared" si="291"/>
        <v>1416177.5733188803</v>
      </c>
      <c r="X763" s="4">
        <f t="shared" si="295"/>
        <v>13563.875932633644</v>
      </c>
      <c r="Y763" s="9">
        <f>SUM($X$6:X763)</f>
        <v>416177.57331888028</v>
      </c>
      <c r="Z763" s="16">
        <f t="shared" si="296"/>
        <v>0.41617757331888028</v>
      </c>
      <c r="AA763" s="16">
        <f t="shared" si="292"/>
        <v>0.58637808716896633</v>
      </c>
      <c r="AB763" s="16">
        <f t="shared" si="293"/>
        <v>9.6704288272029277E-3</v>
      </c>
      <c r="AC763" s="16">
        <f t="shared" si="294"/>
        <v>1.1629823080879549E-2</v>
      </c>
    </row>
    <row r="764" spans="1:29" x14ac:dyDescent="0.15">
      <c r="A764" s="8">
        <v>42012</v>
      </c>
      <c r="B764" s="4">
        <v>2062.14</v>
      </c>
      <c r="C764" s="1">
        <v>15.046099999999999</v>
      </c>
      <c r="D764" s="1">
        <v>2.06</v>
      </c>
      <c r="E764" s="1">
        <v>0.25209999999999999</v>
      </c>
      <c r="F764" s="4">
        <f t="shared" si="284"/>
        <v>0.15046099999999998</v>
      </c>
      <c r="G764" s="4">
        <f t="shared" si="285"/>
        <v>2.06E-2</v>
      </c>
      <c r="H764" s="4">
        <f t="shared" si="286"/>
        <v>2.5209999999999998E-3</v>
      </c>
      <c r="I764" s="3">
        <f t="shared" si="287"/>
        <v>66.358030812206934</v>
      </c>
      <c r="J764" s="4">
        <f t="shared" si="297"/>
        <v>1475468.761000368</v>
      </c>
      <c r="K764" s="1">
        <f t="shared" si="298"/>
        <v>2075.37</v>
      </c>
      <c r="L764" s="5">
        <f t="shared" si="299"/>
        <v>0.15616438356164403</v>
      </c>
      <c r="M764" s="5">
        <f t="shared" si="300"/>
        <v>-0.54809515851240997</v>
      </c>
      <c r="N764" s="5">
        <f t="shared" si="301"/>
        <v>59.082021119535639</v>
      </c>
      <c r="O764" s="1">
        <f t="shared" si="302"/>
        <v>0</v>
      </c>
      <c r="P764" s="1">
        <f t="shared" si="303"/>
        <v>2075.37</v>
      </c>
      <c r="Q764" s="5">
        <f t="shared" si="304"/>
        <v>0.15616438356164403</v>
      </c>
      <c r="R764" s="5">
        <f t="shared" si="305"/>
        <v>-0.54809515851240997</v>
      </c>
      <c r="S764" s="5">
        <f t="shared" si="288"/>
        <v>59.082021119535639</v>
      </c>
      <c r="T764" s="5">
        <f t="shared" si="289"/>
        <v>-692.25235789814622</v>
      </c>
      <c r="U764" s="4">
        <f t="shared" si="290"/>
        <v>1475492.5706195524</v>
      </c>
      <c r="V764" s="4">
        <f t="shared" si="306"/>
        <v>23.810003399860719</v>
      </c>
      <c r="W764" s="4">
        <f t="shared" si="291"/>
        <v>1434592.9021901658</v>
      </c>
      <c r="X764" s="4">
        <f t="shared" si="295"/>
        <v>18415.328871285543</v>
      </c>
      <c r="Y764" s="9">
        <f>SUM($X$6:X764)</f>
        <v>434592.90219016583</v>
      </c>
      <c r="Z764" s="16">
        <f t="shared" si="296"/>
        <v>0.43459290219016583</v>
      </c>
      <c r="AA764" s="16">
        <f t="shared" si="292"/>
        <v>0.61475576715267877</v>
      </c>
      <c r="AB764" s="16">
        <f t="shared" si="293"/>
        <v>1.3003545048470393E-2</v>
      </c>
      <c r="AC764" s="16">
        <f t="shared" si="294"/>
        <v>1.7888345920331596E-2</v>
      </c>
    </row>
    <row r="765" spans="1:29" x14ac:dyDescent="0.15">
      <c r="A765" s="8">
        <v>42013</v>
      </c>
      <c r="B765" s="4">
        <v>2044.81</v>
      </c>
      <c r="C765" s="1">
        <v>15.4663</v>
      </c>
      <c r="D765" s="1">
        <v>2.08</v>
      </c>
      <c r="E765" s="1">
        <v>0.25409999999999999</v>
      </c>
      <c r="F765" s="4">
        <f t="shared" si="284"/>
        <v>0.15466299999999999</v>
      </c>
      <c r="G765" s="4">
        <f t="shared" si="285"/>
        <v>2.0799999999999999E-2</v>
      </c>
      <c r="H765" s="4">
        <f t="shared" si="286"/>
        <v>2.5409999999999999E-3</v>
      </c>
      <c r="I765" s="3">
        <f t="shared" si="287"/>
        <v>67.548822293781086</v>
      </c>
      <c r="J765" s="4">
        <f t="shared" si="297"/>
        <v>1475492.5706195524</v>
      </c>
      <c r="K765" s="1">
        <f t="shared" si="298"/>
        <v>2075.37</v>
      </c>
      <c r="L765" s="5">
        <f t="shared" si="299"/>
        <v>0.15342465753424678</v>
      </c>
      <c r="M765" s="5">
        <f t="shared" si="300"/>
        <v>-0.60096536435946601</v>
      </c>
      <c r="N765" s="5">
        <f t="shared" si="301"/>
        <v>69.915826474881598</v>
      </c>
      <c r="O765" s="1">
        <f t="shared" si="302"/>
        <v>0</v>
      </c>
      <c r="P765" s="1">
        <f t="shared" si="303"/>
        <v>2075.37</v>
      </c>
      <c r="Q765" s="5">
        <f t="shared" si="304"/>
        <v>0.15342465753424678</v>
      </c>
      <c r="R765" s="5">
        <f t="shared" si="305"/>
        <v>-0.60096536435946601</v>
      </c>
      <c r="S765" s="5">
        <f t="shared" si="288"/>
        <v>69.915826474881598</v>
      </c>
      <c r="T765" s="5">
        <f t="shared" si="289"/>
        <v>-692.25235789814622</v>
      </c>
      <c r="U765" s="4">
        <f t="shared" si="290"/>
        <v>1475516.3806229522</v>
      </c>
      <c r="V765" s="4">
        <f t="shared" si="306"/>
        <v>23.810387621559418</v>
      </c>
      <c r="W765" s="4">
        <f t="shared" si="291"/>
        <v>1427116.9848913178</v>
      </c>
      <c r="X765" s="4">
        <f t="shared" si="295"/>
        <v>-7475.9172988480423</v>
      </c>
      <c r="Y765" s="9">
        <f>SUM($X$6:X765)</f>
        <v>427116.98489131778</v>
      </c>
      <c r="Z765" s="16">
        <f t="shared" si="296"/>
        <v>0.42711698489131777</v>
      </c>
      <c r="AA765" s="16">
        <f t="shared" si="292"/>
        <v>0.60118553552691345</v>
      </c>
      <c r="AB765" s="16">
        <f t="shared" si="293"/>
        <v>-5.2111768345115194E-3</v>
      </c>
      <c r="AC765" s="16">
        <f t="shared" si="294"/>
        <v>-8.4038911034168048E-3</v>
      </c>
    </row>
    <row r="766" spans="1:29" x14ac:dyDescent="0.15">
      <c r="A766" s="8">
        <v>42016</v>
      </c>
      <c r="B766" s="4">
        <v>2028.26</v>
      </c>
      <c r="C766" s="1">
        <v>16.712599999999998</v>
      </c>
      <c r="D766" s="1">
        <v>2.09</v>
      </c>
      <c r="E766" s="1">
        <v>0.25280000000000002</v>
      </c>
      <c r="F766" s="4">
        <f t="shared" si="284"/>
        <v>0.167126</v>
      </c>
      <c r="G766" s="4">
        <f t="shared" si="285"/>
        <v>2.0899999999999998E-2</v>
      </c>
      <c r="H766" s="4">
        <f t="shared" si="286"/>
        <v>2.5280000000000003E-3</v>
      </c>
      <c r="I766" s="3">
        <f t="shared" si="287"/>
        <v>72.039675836927714</v>
      </c>
      <c r="J766" s="4">
        <f t="shared" si="297"/>
        <v>1475516.3806229522</v>
      </c>
      <c r="K766" s="1">
        <f t="shared" si="298"/>
        <v>2075.37</v>
      </c>
      <c r="L766" s="5">
        <f t="shared" si="299"/>
        <v>0.145205479452055</v>
      </c>
      <c r="M766" s="5">
        <f t="shared" si="300"/>
        <v>-0.64257591693209259</v>
      </c>
      <c r="N766" s="5">
        <f t="shared" si="301"/>
        <v>82.435948135624287</v>
      </c>
      <c r="O766" s="1">
        <f t="shared" si="302"/>
        <v>0</v>
      </c>
      <c r="P766" s="1">
        <f t="shared" si="303"/>
        <v>2075.37</v>
      </c>
      <c r="Q766" s="5">
        <f t="shared" si="304"/>
        <v>0.145205479452055</v>
      </c>
      <c r="R766" s="5">
        <f t="shared" si="305"/>
        <v>-0.64257591693209259</v>
      </c>
      <c r="S766" s="5">
        <f t="shared" si="288"/>
        <v>82.435948135624287</v>
      </c>
      <c r="T766" s="5">
        <f t="shared" si="289"/>
        <v>-692.25235789814622</v>
      </c>
      <c r="U766" s="4">
        <f t="shared" si="290"/>
        <v>1475540.1910105739</v>
      </c>
      <c r="V766" s="4">
        <f t="shared" si="306"/>
        <v>71.432315548374902</v>
      </c>
      <c r="W766" s="4">
        <f t="shared" si="291"/>
        <v>1418473.7115381188</v>
      </c>
      <c r="X766" s="4">
        <f t="shared" si="295"/>
        <v>-8643.2733531990089</v>
      </c>
      <c r="Y766" s="9">
        <f>SUM($X$6:X766)</f>
        <v>418473.71153811878</v>
      </c>
      <c r="Z766" s="16">
        <f t="shared" si="296"/>
        <v>0.4184737115381188</v>
      </c>
      <c r="AA766" s="16">
        <f t="shared" si="292"/>
        <v>0.58822608178159219</v>
      </c>
      <c r="AB766" s="16">
        <f t="shared" si="293"/>
        <v>-6.0564574906641156E-3</v>
      </c>
      <c r="AC766" s="16">
        <f t="shared" si="294"/>
        <v>-8.0936615137836548E-3</v>
      </c>
    </row>
    <row r="767" spans="1:29" x14ac:dyDescent="0.15">
      <c r="A767" s="8">
        <v>42017</v>
      </c>
      <c r="B767" s="4">
        <v>2023.03</v>
      </c>
      <c r="C767" s="1">
        <v>16.982099999999999</v>
      </c>
      <c r="D767" s="1">
        <v>2.1</v>
      </c>
      <c r="E767" s="1">
        <v>0.25330000000000003</v>
      </c>
      <c r="F767" s="4">
        <f t="shared" si="284"/>
        <v>0.169821</v>
      </c>
      <c r="G767" s="4">
        <f t="shared" si="285"/>
        <v>2.1000000000000001E-2</v>
      </c>
      <c r="H767" s="4">
        <f t="shared" si="286"/>
        <v>2.5330000000000001E-3</v>
      </c>
      <c r="I767" s="3">
        <f t="shared" si="287"/>
        <v>72.958194090159907</v>
      </c>
      <c r="J767" s="4">
        <f t="shared" si="297"/>
        <v>1475540.1910105739</v>
      </c>
      <c r="K767" s="1">
        <f t="shared" si="298"/>
        <v>2075.37</v>
      </c>
      <c r="L767" s="5">
        <f t="shared" si="299"/>
        <v>0.14246575342465775</v>
      </c>
      <c r="M767" s="5">
        <f t="shared" si="300"/>
        <v>-0.65621122800986398</v>
      </c>
      <c r="N767" s="5">
        <f t="shared" si="301"/>
        <v>86.093429027615684</v>
      </c>
      <c r="O767" s="1">
        <f t="shared" si="302"/>
        <v>0</v>
      </c>
      <c r="P767" s="1">
        <f t="shared" si="303"/>
        <v>2075.37</v>
      </c>
      <c r="Q767" s="5">
        <f t="shared" si="304"/>
        <v>0.14246575342465775</v>
      </c>
      <c r="R767" s="5">
        <f t="shared" si="305"/>
        <v>-0.65621122800986398</v>
      </c>
      <c r="S767" s="5">
        <f t="shared" si="288"/>
        <v>86.093429027615684</v>
      </c>
      <c r="T767" s="5">
        <f t="shared" si="289"/>
        <v>-692.25235789814622</v>
      </c>
      <c r="U767" s="4">
        <f t="shared" si="290"/>
        <v>1475611.6233261223</v>
      </c>
      <c r="V767" s="4">
        <f t="shared" si="306"/>
        <v>23.81192455175578</v>
      </c>
      <c r="W767" s="4">
        <f t="shared" si="291"/>
        <v>1416013.2440822187</v>
      </c>
      <c r="X767" s="4">
        <f t="shared" si="295"/>
        <v>-2460.4674559000414</v>
      </c>
      <c r="Y767" s="9">
        <f>SUM($X$6:X767)</f>
        <v>416013.24408221873</v>
      </c>
      <c r="Z767" s="16">
        <f t="shared" si="296"/>
        <v>0.41601324408221874</v>
      </c>
      <c r="AA767" s="16">
        <f t="shared" si="292"/>
        <v>0.58413073778835767</v>
      </c>
      <c r="AB767" s="16">
        <f t="shared" si="293"/>
        <v>-1.7345879841735234E-3</v>
      </c>
      <c r="AC767" s="16">
        <f t="shared" si="294"/>
        <v>-2.5785648782700532E-3</v>
      </c>
    </row>
    <row r="768" spans="1:29" x14ac:dyDescent="0.15">
      <c r="A768" s="8">
        <v>42018</v>
      </c>
      <c r="B768" s="4">
        <v>2011.27</v>
      </c>
      <c r="C768" s="1">
        <v>17.085899999999999</v>
      </c>
      <c r="D768" s="1">
        <v>2.11</v>
      </c>
      <c r="E768" s="1">
        <v>0.25359999999999999</v>
      </c>
      <c r="F768" s="4">
        <f t="shared" si="284"/>
        <v>0.17085899999999998</v>
      </c>
      <c r="G768" s="4">
        <f t="shared" si="285"/>
        <v>2.1099999999999997E-2</v>
      </c>
      <c r="H768" s="4">
        <f t="shared" si="286"/>
        <v>2.5360000000000001E-3</v>
      </c>
      <c r="I768" s="3">
        <f t="shared" si="287"/>
        <v>72.972107800559385</v>
      </c>
      <c r="J768" s="4">
        <f t="shared" si="297"/>
        <v>1475611.6233261223</v>
      </c>
      <c r="K768" s="1">
        <f t="shared" si="298"/>
        <v>2075.37</v>
      </c>
      <c r="L768" s="5">
        <f t="shared" si="299"/>
        <v>0.1397260273972605</v>
      </c>
      <c r="M768" s="5">
        <f t="shared" si="300"/>
        <v>-0.6893937092447372</v>
      </c>
      <c r="N768" s="5">
        <f t="shared" si="301"/>
        <v>93.789427274493207</v>
      </c>
      <c r="O768" s="1">
        <f t="shared" si="302"/>
        <v>0</v>
      </c>
      <c r="P768" s="1">
        <f t="shared" si="303"/>
        <v>2075.37</v>
      </c>
      <c r="Q768" s="5">
        <f t="shared" si="304"/>
        <v>0.1397260273972605</v>
      </c>
      <c r="R768" s="5">
        <f t="shared" si="305"/>
        <v>-0.6893937092447372</v>
      </c>
      <c r="S768" s="5">
        <f t="shared" si="288"/>
        <v>93.789427274493207</v>
      </c>
      <c r="T768" s="5">
        <f t="shared" si="289"/>
        <v>-692.25235789814622</v>
      </c>
      <c r="U768" s="4">
        <f t="shared" si="290"/>
        <v>1475635.4352506741</v>
      </c>
      <c r="V768" s="4">
        <f t="shared" si="306"/>
        <v>23.812308804456084</v>
      </c>
      <c r="W768" s="4">
        <f t="shared" si="291"/>
        <v>1410709.4830739894</v>
      </c>
      <c r="X768" s="4">
        <f t="shared" si="295"/>
        <v>-5303.7610082293395</v>
      </c>
      <c r="Y768" s="9">
        <f>SUM($X$6:X768)</f>
        <v>410709.4830739894</v>
      </c>
      <c r="Z768" s="16">
        <f t="shared" si="296"/>
        <v>0.41070948307398941</v>
      </c>
      <c r="AA768" s="16">
        <f t="shared" si="292"/>
        <v>0.57492208666781519</v>
      </c>
      <c r="AB768" s="16">
        <f t="shared" si="293"/>
        <v>-3.7455588995334173E-3</v>
      </c>
      <c r="AC768" s="16">
        <f t="shared" si="294"/>
        <v>-5.8130625843413053E-3</v>
      </c>
    </row>
    <row r="769" spans="1:29" x14ac:dyDescent="0.15">
      <c r="A769" s="8">
        <v>42019</v>
      </c>
      <c r="B769" s="4">
        <v>1992.67</v>
      </c>
      <c r="C769" s="1">
        <v>17.825600000000001</v>
      </c>
      <c r="D769" s="1">
        <v>2.13</v>
      </c>
      <c r="E769" s="1">
        <v>0.25259999999999999</v>
      </c>
      <c r="F769" s="4">
        <f t="shared" si="284"/>
        <v>0.17825600000000003</v>
      </c>
      <c r="G769" s="4">
        <f t="shared" si="285"/>
        <v>2.1299999999999999E-2</v>
      </c>
      <c r="H769" s="4">
        <f t="shared" si="286"/>
        <v>2.526E-3</v>
      </c>
      <c r="I769" s="3">
        <f t="shared" si="287"/>
        <v>75.270259926119905</v>
      </c>
      <c r="J769" s="4">
        <f t="shared" si="297"/>
        <v>1475635.4352506741</v>
      </c>
      <c r="K769" s="1">
        <f t="shared" si="298"/>
        <v>2075.37</v>
      </c>
      <c r="L769" s="5">
        <f t="shared" si="299"/>
        <v>0.13698630136986326</v>
      </c>
      <c r="M769" s="5">
        <f t="shared" si="300"/>
        <v>-0.73100580501631485</v>
      </c>
      <c r="N769" s="5">
        <f t="shared" si="301"/>
        <v>108.41000388266937</v>
      </c>
      <c r="O769" s="1">
        <f t="shared" si="302"/>
        <v>0</v>
      </c>
      <c r="P769" s="1">
        <f t="shared" si="303"/>
        <v>2075.37</v>
      </c>
      <c r="Q769" s="5">
        <f t="shared" si="304"/>
        <v>0.13698630136986326</v>
      </c>
      <c r="R769" s="5">
        <f t="shared" si="305"/>
        <v>-0.73100580501631485</v>
      </c>
      <c r="S769" s="5">
        <f t="shared" si="288"/>
        <v>108.41000388266937</v>
      </c>
      <c r="T769" s="5">
        <f t="shared" si="289"/>
        <v>-692.25235789814622</v>
      </c>
      <c r="U769" s="4">
        <f t="shared" si="290"/>
        <v>1475659.2475594785</v>
      </c>
      <c r="V769" s="4">
        <f t="shared" si="306"/>
        <v>23.812693063357063</v>
      </c>
      <c r="W769" s="4">
        <f t="shared" si="291"/>
        <v>1400612.1667519535</v>
      </c>
      <c r="X769" s="4">
        <f t="shared" si="295"/>
        <v>-10097.316322035855</v>
      </c>
      <c r="Y769" s="9">
        <f>SUM($X$6:X769)</f>
        <v>400612.16675195354</v>
      </c>
      <c r="Z769" s="16">
        <f t="shared" si="296"/>
        <v>0.40061216675195355</v>
      </c>
      <c r="AA769" s="16">
        <f t="shared" si="292"/>
        <v>0.56035738336491636</v>
      </c>
      <c r="AB769" s="16">
        <f t="shared" si="293"/>
        <v>-7.1576156842962594E-3</v>
      </c>
      <c r="AC769" s="16">
        <f t="shared" si="294"/>
        <v>-9.2478881502731647E-3</v>
      </c>
    </row>
    <row r="770" spans="1:29" x14ac:dyDescent="0.15">
      <c r="A770" s="8">
        <v>42020</v>
      </c>
      <c r="B770" s="4">
        <v>2019.42</v>
      </c>
      <c r="C770" s="1">
        <v>17.016999999999999</v>
      </c>
      <c r="D770" s="1">
        <v>2.1</v>
      </c>
      <c r="E770" s="1">
        <v>0.25659999999999999</v>
      </c>
      <c r="F770" s="4">
        <f t="shared" si="284"/>
        <v>0.17016999999999999</v>
      </c>
      <c r="G770" s="4">
        <f t="shared" si="285"/>
        <v>2.1000000000000001E-2</v>
      </c>
      <c r="H770" s="4">
        <f t="shared" si="286"/>
        <v>2.5660000000000001E-3</v>
      </c>
      <c r="I770" s="3">
        <f t="shared" si="287"/>
        <v>72.958709896781286</v>
      </c>
      <c r="J770" s="4">
        <f t="shared" si="297"/>
        <v>1475659.2475594785</v>
      </c>
      <c r="K770" s="1">
        <f t="shared" si="298"/>
        <v>2075.37</v>
      </c>
      <c r="L770" s="5">
        <f t="shared" si="299"/>
        <v>0.13424657534246601</v>
      </c>
      <c r="M770" s="5">
        <f t="shared" si="300"/>
        <v>-0.6706097967484943</v>
      </c>
      <c r="N770" s="5">
        <f t="shared" si="301"/>
        <v>86.996810256490846</v>
      </c>
      <c r="O770" s="1">
        <f t="shared" si="302"/>
        <v>0</v>
      </c>
      <c r="P770" s="1">
        <f t="shared" si="303"/>
        <v>2075.37</v>
      </c>
      <c r="Q770" s="5">
        <f t="shared" si="304"/>
        <v>0.13424657534246601</v>
      </c>
      <c r="R770" s="5">
        <f t="shared" si="305"/>
        <v>-0.6706097967484943</v>
      </c>
      <c r="S770" s="5">
        <f t="shared" si="288"/>
        <v>86.996810256490846</v>
      </c>
      <c r="T770" s="5">
        <f t="shared" si="289"/>
        <v>-692.25235789814622</v>
      </c>
      <c r="U770" s="4">
        <f t="shared" si="290"/>
        <v>1475683.0602525419</v>
      </c>
      <c r="V770" s="4">
        <f t="shared" si="306"/>
        <v>23.813077328458824</v>
      </c>
      <c r="W770" s="4">
        <f t="shared" si="291"/>
        <v>1415459.3132228686</v>
      </c>
      <c r="X770" s="4">
        <f t="shared" si="295"/>
        <v>14847.14647091506</v>
      </c>
      <c r="Y770" s="9">
        <f>SUM($X$6:X770)</f>
        <v>415459.3132228686</v>
      </c>
      <c r="Z770" s="16">
        <f t="shared" si="296"/>
        <v>0.41545931322286861</v>
      </c>
      <c r="AA770" s="16">
        <f t="shared" si="292"/>
        <v>0.58130393246989187</v>
      </c>
      <c r="AB770" s="16">
        <f t="shared" si="293"/>
        <v>1.0600469439977719E-2</v>
      </c>
      <c r="AC770" s="16">
        <f t="shared" si="294"/>
        <v>1.3424199691870706E-2</v>
      </c>
    </row>
    <row r="771" spans="1:29" x14ac:dyDescent="0.15">
      <c r="A771" s="8">
        <v>42024</v>
      </c>
      <c r="B771" s="4">
        <v>2022.55</v>
      </c>
      <c r="C771" s="1">
        <v>16.859200000000001</v>
      </c>
      <c r="D771" s="1">
        <v>2.1</v>
      </c>
      <c r="E771" s="1">
        <v>0.25669999999999998</v>
      </c>
      <c r="F771" s="4">
        <f t="shared" si="284"/>
        <v>0.16859200000000002</v>
      </c>
      <c r="G771" s="4">
        <f t="shared" si="285"/>
        <v>2.1000000000000001E-2</v>
      </c>
      <c r="H771" s="4">
        <f t="shared" si="286"/>
        <v>2.5669999999999998E-3</v>
      </c>
      <c r="I771" s="3">
        <f t="shared" si="287"/>
        <v>72.439130535092048</v>
      </c>
      <c r="J771" s="4">
        <f t="shared" si="297"/>
        <v>1475683.0602525419</v>
      </c>
      <c r="K771" s="1">
        <f t="shared" si="298"/>
        <v>2075.37</v>
      </c>
      <c r="L771" s="5">
        <f t="shared" si="299"/>
        <v>0.12328767123287697</v>
      </c>
      <c r="M771" s="5">
        <f t="shared" si="300"/>
        <v>-0.66984911764380861</v>
      </c>
      <c r="N771" s="5">
        <f t="shared" si="301"/>
        <v>82.331767941770465</v>
      </c>
      <c r="O771" s="1">
        <f t="shared" si="302"/>
        <v>0</v>
      </c>
      <c r="P771" s="1">
        <f t="shared" si="303"/>
        <v>2075.37</v>
      </c>
      <c r="Q771" s="5">
        <f t="shared" si="304"/>
        <v>0.12328767123287697</v>
      </c>
      <c r="R771" s="5">
        <f t="shared" si="305"/>
        <v>-0.66984911764380861</v>
      </c>
      <c r="S771" s="5">
        <f t="shared" si="288"/>
        <v>82.331767941770465</v>
      </c>
      <c r="T771" s="5">
        <f t="shared" si="289"/>
        <v>-692.25235789814622</v>
      </c>
      <c r="U771" s="4">
        <f t="shared" si="290"/>
        <v>1475706.8733298704</v>
      </c>
      <c r="V771" s="4">
        <f t="shared" si="306"/>
        <v>95.253846399045884</v>
      </c>
      <c r="W771" s="4">
        <f t="shared" si="291"/>
        <v>1418712.5128422568</v>
      </c>
      <c r="X771" s="4">
        <f t="shared" si="295"/>
        <v>3253.1996193882078</v>
      </c>
      <c r="Y771" s="9">
        <f>SUM($X$6:X771)</f>
        <v>418712.51284225681</v>
      </c>
      <c r="Z771" s="16">
        <f t="shared" si="296"/>
        <v>0.4187125128422568</v>
      </c>
      <c r="AA771" s="16">
        <f t="shared" si="292"/>
        <v>0.58375487447731511</v>
      </c>
      <c r="AB771" s="16">
        <f t="shared" si="293"/>
        <v>2.2983349567151997E-3</v>
      </c>
      <c r="AC771" s="16">
        <f t="shared" si="294"/>
        <v>1.5499499856393825E-3</v>
      </c>
    </row>
    <row r="772" spans="1:29" x14ac:dyDescent="0.15">
      <c r="A772" s="8">
        <v>42025</v>
      </c>
      <c r="B772" s="4">
        <v>2032.12</v>
      </c>
      <c r="C772" s="1">
        <v>16.019200000000001</v>
      </c>
      <c r="D772" s="1">
        <v>2.09</v>
      </c>
      <c r="E772" s="1">
        <v>0.2571</v>
      </c>
      <c r="F772" s="4">
        <f t="shared" si="284"/>
        <v>0.160192</v>
      </c>
      <c r="G772" s="4">
        <f t="shared" si="285"/>
        <v>2.0899999999999998E-2</v>
      </c>
      <c r="H772" s="4">
        <f t="shared" si="286"/>
        <v>2.5709999999999999E-3</v>
      </c>
      <c r="I772" s="3">
        <f t="shared" si="287"/>
        <v>69.373119555488813</v>
      </c>
      <c r="J772" s="4">
        <f t="shared" si="297"/>
        <v>1475706.8733298704</v>
      </c>
      <c r="K772" s="1">
        <f t="shared" si="298"/>
        <v>2075.37</v>
      </c>
      <c r="L772" s="5">
        <f t="shared" si="299"/>
        <v>0.12054794520547971</v>
      </c>
      <c r="M772" s="5">
        <f t="shared" si="300"/>
        <v>-0.65029986697106379</v>
      </c>
      <c r="N772" s="5">
        <f t="shared" si="301"/>
        <v>73.28399684518476</v>
      </c>
      <c r="O772" s="1">
        <f t="shared" si="302"/>
        <v>0</v>
      </c>
      <c r="P772" s="1">
        <f t="shared" si="303"/>
        <v>2075.37</v>
      </c>
      <c r="Q772" s="5">
        <f t="shared" si="304"/>
        <v>0.12054794520547971</v>
      </c>
      <c r="R772" s="5">
        <f t="shared" si="305"/>
        <v>-0.65029986697106379</v>
      </c>
      <c r="S772" s="5">
        <f t="shared" si="288"/>
        <v>73.28399684518476</v>
      </c>
      <c r="T772" s="5">
        <f t="shared" si="289"/>
        <v>-692.25235789814622</v>
      </c>
      <c r="U772" s="4">
        <f t="shared" si="290"/>
        <v>1475802.1271762694</v>
      </c>
      <c r="V772" s="4">
        <f t="shared" si="306"/>
        <v>23.81499870977596</v>
      </c>
      <c r="W772" s="4">
        <f t="shared" si="291"/>
        <v>1425071.1075639899</v>
      </c>
      <c r="X772" s="4">
        <f t="shared" si="295"/>
        <v>6358.5947217331268</v>
      </c>
      <c r="Y772" s="9">
        <f>SUM($X$6:X772)</f>
        <v>425071.10756398994</v>
      </c>
      <c r="Z772" s="16">
        <f t="shared" si="296"/>
        <v>0.42507110756398991</v>
      </c>
      <c r="AA772" s="16">
        <f t="shared" si="292"/>
        <v>0.59124864924122589</v>
      </c>
      <c r="AB772" s="16">
        <f t="shared" si="293"/>
        <v>4.481947303752387E-3</v>
      </c>
      <c r="AC772" s="16">
        <f t="shared" si="294"/>
        <v>4.7316506390447386E-3</v>
      </c>
    </row>
    <row r="773" spans="1:29" x14ac:dyDescent="0.15">
      <c r="A773" s="8">
        <v>42026</v>
      </c>
      <c r="B773" s="4">
        <v>2063.15</v>
      </c>
      <c r="C773" s="1">
        <v>14.553699999999999</v>
      </c>
      <c r="D773" s="1">
        <v>2.06</v>
      </c>
      <c r="E773" s="1">
        <v>0.25609999999999999</v>
      </c>
      <c r="F773" s="4">
        <f t="shared" si="284"/>
        <v>0.145537</v>
      </c>
      <c r="G773" s="4">
        <f t="shared" si="285"/>
        <v>2.06E-2</v>
      </c>
      <c r="H773" s="4">
        <f t="shared" si="286"/>
        <v>2.5609999999999999E-3</v>
      </c>
      <c r="I773" s="3">
        <f t="shared" si="287"/>
        <v>64.366755845309456</v>
      </c>
      <c r="J773" s="4">
        <f t="shared" si="297"/>
        <v>1475802.1271762694</v>
      </c>
      <c r="K773" s="1">
        <f t="shared" si="298"/>
        <v>2075.37</v>
      </c>
      <c r="L773" s="5">
        <f t="shared" si="299"/>
        <v>0.11780821917808244</v>
      </c>
      <c r="M773" s="5">
        <f t="shared" si="300"/>
        <v>-0.55266263269678995</v>
      </c>
      <c r="N773" s="5">
        <f t="shared" si="301"/>
        <v>50.004845526518309</v>
      </c>
      <c r="O773" s="1">
        <f t="shared" si="302"/>
        <v>0</v>
      </c>
      <c r="P773" s="1">
        <f t="shared" si="303"/>
        <v>2075.37</v>
      </c>
      <c r="Q773" s="5">
        <f t="shared" si="304"/>
        <v>0.11780821917808244</v>
      </c>
      <c r="R773" s="5">
        <f t="shared" si="305"/>
        <v>-0.55266263269678995</v>
      </c>
      <c r="S773" s="5">
        <f t="shared" si="288"/>
        <v>50.004845526518309</v>
      </c>
      <c r="T773" s="5">
        <f t="shared" si="289"/>
        <v>-692.25235789814622</v>
      </c>
      <c r="U773" s="4">
        <f t="shared" si="290"/>
        <v>1475825.9421749793</v>
      </c>
      <c r="V773" s="4">
        <f t="shared" si="306"/>
        <v>23.81538301208391</v>
      </c>
      <c r="W773" s="4">
        <f t="shared" si="291"/>
        <v>1441209.9699529144</v>
      </c>
      <c r="X773" s="4">
        <f t="shared" si="295"/>
        <v>16138.862388924463</v>
      </c>
      <c r="Y773" s="9">
        <f>SUM($X$6:X773)</f>
        <v>441209.9699529144</v>
      </c>
      <c r="Z773" s="16">
        <f t="shared" si="296"/>
        <v>0.44120996995291439</v>
      </c>
      <c r="AA773" s="16">
        <f t="shared" si="292"/>
        <v>0.6155466462029977</v>
      </c>
      <c r="AB773" s="16">
        <f t="shared" si="293"/>
        <v>1.1324952350281076E-2</v>
      </c>
      <c r="AC773" s="16">
        <f t="shared" si="294"/>
        <v>1.526976753341348E-2</v>
      </c>
    </row>
    <row r="774" spans="1:29" x14ac:dyDescent="0.15">
      <c r="A774" s="8">
        <v>42027</v>
      </c>
      <c r="B774" s="4">
        <v>2051.8200000000002</v>
      </c>
      <c r="C774" s="1">
        <v>14.958600000000001</v>
      </c>
      <c r="D774" s="1">
        <v>2.06</v>
      </c>
      <c r="E774" s="1">
        <v>0.25609999999999999</v>
      </c>
      <c r="F774" s="4">
        <f t="shared" si="284"/>
        <v>0.149586</v>
      </c>
      <c r="G774" s="4">
        <f t="shared" si="285"/>
        <v>2.06E-2</v>
      </c>
      <c r="H774" s="4">
        <f t="shared" si="286"/>
        <v>2.5609999999999999E-3</v>
      </c>
      <c r="I774" s="3">
        <f t="shared" si="287"/>
        <v>65.659217436727928</v>
      </c>
      <c r="J774" s="4">
        <f t="shared" si="297"/>
        <v>1475825.9421749793</v>
      </c>
      <c r="K774" s="1">
        <f t="shared" si="298"/>
        <v>2075.37</v>
      </c>
      <c r="L774" s="5">
        <f t="shared" si="299"/>
        <v>0.11506849315068518</v>
      </c>
      <c r="M774" s="5">
        <f t="shared" si="300"/>
        <v>-0.59359768182149419</v>
      </c>
      <c r="N774" s="5">
        <f t="shared" si="301"/>
        <v>57.076866418281291</v>
      </c>
      <c r="O774" s="1">
        <f t="shared" si="302"/>
        <v>0</v>
      </c>
      <c r="P774" s="1">
        <f t="shared" si="303"/>
        <v>2075.37</v>
      </c>
      <c r="Q774" s="5">
        <f t="shared" si="304"/>
        <v>0.11506849315068518</v>
      </c>
      <c r="R774" s="5">
        <f t="shared" si="305"/>
        <v>-0.59359768182149419</v>
      </c>
      <c r="S774" s="5">
        <f t="shared" si="288"/>
        <v>57.076866418281291</v>
      </c>
      <c r="T774" s="5">
        <f t="shared" si="289"/>
        <v>-692.25235789814622</v>
      </c>
      <c r="U774" s="4">
        <f t="shared" si="290"/>
        <v>1475849.7575579914</v>
      </c>
      <c r="V774" s="4">
        <f t="shared" si="306"/>
        <v>23.815767320593341</v>
      </c>
      <c r="W774" s="4">
        <f t="shared" si="291"/>
        <v>1436338.1621984986</v>
      </c>
      <c r="X774" s="4">
        <f t="shared" si="295"/>
        <v>-4871.8077544157859</v>
      </c>
      <c r="Y774" s="9">
        <f>SUM($X$6:X774)</f>
        <v>436338.16219849861</v>
      </c>
      <c r="Z774" s="16">
        <f t="shared" si="296"/>
        <v>0.43633816219849864</v>
      </c>
      <c r="AA774" s="16">
        <f t="shared" si="292"/>
        <v>0.60667470596526418</v>
      </c>
      <c r="AB774" s="16">
        <f t="shared" si="293"/>
        <v>-3.380359459055749E-3</v>
      </c>
      <c r="AC774" s="16">
        <f t="shared" si="294"/>
        <v>-5.491602646438663E-3</v>
      </c>
    </row>
    <row r="775" spans="1:29" x14ac:dyDescent="0.15">
      <c r="A775" s="8">
        <v>42030</v>
      </c>
      <c r="B775" s="4">
        <v>2057.09</v>
      </c>
      <c r="C775" s="1">
        <v>14.3147</v>
      </c>
      <c r="D775" s="1">
        <v>2.06</v>
      </c>
      <c r="E775" s="1">
        <v>0.25609999999999999</v>
      </c>
      <c r="F775" s="4">
        <f t="shared" ref="F775:F838" si="307">C775/100</f>
        <v>0.143147</v>
      </c>
      <c r="G775" s="4">
        <f t="shared" ref="G775:G838" si="308">D775/100</f>
        <v>2.06E-2</v>
      </c>
      <c r="H775" s="4">
        <f t="shared" ref="H775:H838" si="309">E775/100</f>
        <v>2.5609999999999999E-3</v>
      </c>
      <c r="I775" s="3">
        <f t="shared" ref="I775:I838" si="310">BSM_Put(B775,B775,F775,H775,G775,$B$3,$F$3)</f>
        <v>63.203705257670322</v>
      </c>
      <c r="J775" s="4">
        <f t="shared" si="297"/>
        <v>1475849.7575579914</v>
      </c>
      <c r="K775" s="1">
        <f t="shared" si="298"/>
        <v>2075.37</v>
      </c>
      <c r="L775" s="5">
        <f t="shared" si="299"/>
        <v>0.10684931506849341</v>
      </c>
      <c r="M775" s="5">
        <f t="shared" si="300"/>
        <v>-0.58066506423513176</v>
      </c>
      <c r="N775" s="5">
        <f t="shared" si="301"/>
        <v>50.653653832595452</v>
      </c>
      <c r="O775" s="1">
        <f t="shared" si="302"/>
        <v>0</v>
      </c>
      <c r="P775" s="1">
        <f t="shared" si="303"/>
        <v>2075.37</v>
      </c>
      <c r="Q775" s="5">
        <f t="shared" si="304"/>
        <v>0.10684931506849341</v>
      </c>
      <c r="R775" s="5">
        <f t="shared" si="305"/>
        <v>-0.58066506423513176</v>
      </c>
      <c r="S775" s="5">
        <f t="shared" ref="S775:S838" si="311">BSM_Put(B775,P775,F775,H775,G775,Q775,$F$3)</f>
        <v>50.653653832595452</v>
      </c>
      <c r="T775" s="5">
        <f t="shared" si="289"/>
        <v>-692.25235789814622</v>
      </c>
      <c r="U775" s="4">
        <f t="shared" si="290"/>
        <v>1475873.573325312</v>
      </c>
      <c r="V775" s="4">
        <f t="shared" si="306"/>
        <v>71.448454905913053</v>
      </c>
      <c r="W775" s="4">
        <f t="shared" si="291"/>
        <v>1440808.4620235413</v>
      </c>
      <c r="X775" s="4">
        <f t="shared" si="295"/>
        <v>4470.299825042719</v>
      </c>
      <c r="Y775" s="9">
        <f>SUM($X$6:X775)</f>
        <v>440808.46202354133</v>
      </c>
      <c r="Z775" s="16">
        <f t="shared" si="296"/>
        <v>0.44080846202354135</v>
      </c>
      <c r="AA775" s="16">
        <f t="shared" si="292"/>
        <v>0.61080137190108552</v>
      </c>
      <c r="AB775" s="16">
        <f t="shared" si="293"/>
        <v>3.1122892524141775E-3</v>
      </c>
      <c r="AC775" s="16">
        <f t="shared" si="294"/>
        <v>2.5684514236141479E-3</v>
      </c>
    </row>
    <row r="776" spans="1:29" x14ac:dyDescent="0.15">
      <c r="A776" s="8">
        <v>42031</v>
      </c>
      <c r="B776" s="4">
        <v>2029.55</v>
      </c>
      <c r="C776" s="1">
        <v>15.3499</v>
      </c>
      <c r="D776" s="1">
        <v>2.08</v>
      </c>
      <c r="E776" s="1">
        <v>0.25259999999999999</v>
      </c>
      <c r="F776" s="4">
        <f t="shared" si="307"/>
        <v>0.153499</v>
      </c>
      <c r="G776" s="4">
        <f t="shared" si="308"/>
        <v>2.0799999999999999E-2</v>
      </c>
      <c r="H776" s="4">
        <f t="shared" si="309"/>
        <v>2.526E-3</v>
      </c>
      <c r="I776" s="3">
        <f t="shared" si="310"/>
        <v>66.580757533612896</v>
      </c>
      <c r="J776" s="4">
        <f t="shared" si="297"/>
        <v>1475873.573325312</v>
      </c>
      <c r="K776" s="1">
        <f t="shared" si="298"/>
        <v>2075.37</v>
      </c>
      <c r="L776" s="5">
        <f t="shared" si="299"/>
        <v>0.10410958904109614</v>
      </c>
      <c r="M776" s="5">
        <f t="shared" si="300"/>
        <v>-0.67735487999454558</v>
      </c>
      <c r="N776" s="5">
        <f t="shared" si="301"/>
        <v>70.083711926203293</v>
      </c>
      <c r="O776" s="1">
        <f t="shared" si="302"/>
        <v>0</v>
      </c>
      <c r="P776" s="1">
        <f t="shared" si="303"/>
        <v>2075.37</v>
      </c>
      <c r="Q776" s="5">
        <f t="shared" si="304"/>
        <v>0.10410958904109614</v>
      </c>
      <c r="R776" s="5">
        <f t="shared" si="305"/>
        <v>-0.67735487999454558</v>
      </c>
      <c r="S776" s="5">
        <f t="shared" si="311"/>
        <v>70.083711926203293</v>
      </c>
      <c r="T776" s="5">
        <f t="shared" ref="T776:T839" si="312">IF(O776,-(J776+IF(L776&lt;=0.00001, MAX(K776-B776,0),N776)*T775)/P776,T775)</f>
        <v>-692.25235789814622</v>
      </c>
      <c r="U776" s="4">
        <f t="shared" ref="U776:U839" si="313">IF(O776,(J776+IF(L776&lt;=0.00001, MAX(K776-B776,0),N776)*T775)-(S776*T776),U775)+V775</f>
        <v>1475945.021780218</v>
      </c>
      <c r="V776" s="4">
        <f t="shared" si="306"/>
        <v>23.817304598042416</v>
      </c>
      <c r="W776" s="4">
        <f t="shared" ref="W776:W839" si="314">S776*T776+U776</f>
        <v>1427429.4069490493</v>
      </c>
      <c r="X776" s="4">
        <f t="shared" si="295"/>
        <v>-13379.055074492004</v>
      </c>
      <c r="Y776" s="9">
        <f>SUM($X$6:X776)</f>
        <v>427429.40694904933</v>
      </c>
      <c r="Z776" s="16">
        <f t="shared" si="296"/>
        <v>0.42742940694904935</v>
      </c>
      <c r="AA776" s="16">
        <f t="shared" ref="AA776:AA839" si="315">(B776-$B$6)/$B$6</f>
        <v>0.58923621443001895</v>
      </c>
      <c r="AB776" s="16">
        <f t="shared" ref="AB776:AB839" si="316">X776/W775</f>
        <v>-9.2857971251097526E-3</v>
      </c>
      <c r="AC776" s="16">
        <f t="shared" ref="AC776:AC839" si="317">(B776-B775)/B775</f>
        <v>-1.3387843993213806E-2</v>
      </c>
    </row>
    <row r="777" spans="1:29" x14ac:dyDescent="0.15">
      <c r="A777" s="8">
        <v>42032</v>
      </c>
      <c r="B777" s="4">
        <v>2002.16</v>
      </c>
      <c r="C777" s="1">
        <v>17.332999999999998</v>
      </c>
      <c r="D777" s="1">
        <v>2.11</v>
      </c>
      <c r="E777" s="1">
        <v>0.25459999999999999</v>
      </c>
      <c r="F777" s="4">
        <f t="shared" si="307"/>
        <v>0.17332999999999998</v>
      </c>
      <c r="G777" s="4">
        <f t="shared" si="308"/>
        <v>2.1099999999999997E-2</v>
      </c>
      <c r="H777" s="4">
        <f t="shared" si="309"/>
        <v>2.5460000000000001E-3</v>
      </c>
      <c r="I777" s="3">
        <f t="shared" si="310"/>
        <v>73.619165186649909</v>
      </c>
      <c r="J777" s="4">
        <f t="shared" si="297"/>
        <v>1475945.021780218</v>
      </c>
      <c r="K777" s="1">
        <f t="shared" si="298"/>
        <v>2075.37</v>
      </c>
      <c r="L777" s="5">
        <f t="shared" si="299"/>
        <v>0.10136986301369888</v>
      </c>
      <c r="M777" s="5">
        <f t="shared" si="300"/>
        <v>-0.74289917120026294</v>
      </c>
      <c r="N777" s="5">
        <f t="shared" si="301"/>
        <v>93.418563561281601</v>
      </c>
      <c r="O777" s="1">
        <f t="shared" si="302"/>
        <v>0</v>
      </c>
      <c r="P777" s="1">
        <f t="shared" si="303"/>
        <v>2075.37</v>
      </c>
      <c r="Q777" s="5">
        <f t="shared" si="304"/>
        <v>0.10136986301369888</v>
      </c>
      <c r="R777" s="5">
        <f t="shared" si="305"/>
        <v>-0.74289917120026294</v>
      </c>
      <c r="S777" s="5">
        <f t="shared" si="311"/>
        <v>93.418563561281601</v>
      </c>
      <c r="T777" s="5">
        <f t="shared" si="312"/>
        <v>-692.25235789814622</v>
      </c>
      <c r="U777" s="4">
        <f t="shared" si="313"/>
        <v>1475968.8390848159</v>
      </c>
      <c r="V777" s="4">
        <f t="shared" si="306"/>
        <v>23.817688937560451</v>
      </c>
      <c r="W777" s="4">
        <f t="shared" si="314"/>
        <v>1411299.6181880608</v>
      </c>
      <c r="X777" s="4">
        <f t="shared" ref="X777:X840" si="318">W777-W776</f>
        <v>-16129.788760988507</v>
      </c>
      <c r="Y777" s="9">
        <f>SUM($X$6:X777)</f>
        <v>411299.61818806082</v>
      </c>
      <c r="Z777" s="16">
        <f t="shared" si="296"/>
        <v>0.41129961818806082</v>
      </c>
      <c r="AA777" s="16">
        <f t="shared" si="315"/>
        <v>0.56778851424365351</v>
      </c>
      <c r="AB777" s="16">
        <f t="shared" si="316"/>
        <v>-1.1299885432137691E-2</v>
      </c>
      <c r="AC777" s="16">
        <f t="shared" si="317"/>
        <v>-1.3495602473454644E-2</v>
      </c>
    </row>
    <row r="778" spans="1:29" x14ac:dyDescent="0.15">
      <c r="A778" s="8">
        <v>42033</v>
      </c>
      <c r="B778" s="4">
        <v>2021.25</v>
      </c>
      <c r="C778" s="1">
        <v>16.456</v>
      </c>
      <c r="D778" s="1">
        <v>2.09</v>
      </c>
      <c r="E778" s="1">
        <v>0.25190000000000001</v>
      </c>
      <c r="F778" s="4">
        <f t="shared" si="307"/>
        <v>0.16455999999999998</v>
      </c>
      <c r="G778" s="4">
        <f t="shared" si="308"/>
        <v>2.0899999999999998E-2</v>
      </c>
      <c r="H778" s="4">
        <f t="shared" si="309"/>
        <v>2.519E-3</v>
      </c>
      <c r="I778" s="3">
        <f t="shared" si="310"/>
        <v>70.765460513665545</v>
      </c>
      <c r="J778" s="4">
        <f t="shared" si="297"/>
        <v>1475968.8390848159</v>
      </c>
      <c r="K778" s="1">
        <f t="shared" si="298"/>
        <v>2075.37</v>
      </c>
      <c r="L778" s="5">
        <f t="shared" si="299"/>
        <v>9.8630136986301617E-2</v>
      </c>
      <c r="M778" s="5">
        <f t="shared" si="300"/>
        <v>-0.6972100804110446</v>
      </c>
      <c r="N778" s="5">
        <f t="shared" si="301"/>
        <v>77.203137362073136</v>
      </c>
      <c r="O778" s="1">
        <f t="shared" si="302"/>
        <v>0</v>
      </c>
      <c r="P778" s="1">
        <f t="shared" si="303"/>
        <v>2075.37</v>
      </c>
      <c r="Q778" s="5">
        <f t="shared" si="304"/>
        <v>9.8630136986301617E-2</v>
      </c>
      <c r="R778" s="5">
        <f t="shared" si="305"/>
        <v>-0.6972100804110446</v>
      </c>
      <c r="S778" s="5">
        <f t="shared" si="311"/>
        <v>77.203137362073136</v>
      </c>
      <c r="T778" s="5">
        <f t="shared" si="312"/>
        <v>-692.25235789814622</v>
      </c>
      <c r="U778" s="4">
        <f t="shared" si="313"/>
        <v>1475992.6567737535</v>
      </c>
      <c r="V778" s="4">
        <f t="shared" si="306"/>
        <v>23.818073283280569</v>
      </c>
      <c r="W778" s="4">
        <f t="shared" si="314"/>
        <v>1422548.6028977239</v>
      </c>
      <c r="X778" s="4">
        <f t="shared" si="318"/>
        <v>11248.984709663084</v>
      </c>
      <c r="Y778" s="9">
        <f>SUM($X$6:X778)</f>
        <v>422548.6028977239</v>
      </c>
      <c r="Z778" s="16">
        <f t="shared" si="296"/>
        <v>0.42254860289772389</v>
      </c>
      <c r="AA778" s="16">
        <f t="shared" si="315"/>
        <v>0.58273691134324157</v>
      </c>
      <c r="AB778" s="16">
        <f t="shared" si="316"/>
        <v>7.9706566661623766E-3</v>
      </c>
      <c r="AC778" s="16">
        <f t="shared" si="317"/>
        <v>9.534702521276979E-3</v>
      </c>
    </row>
    <row r="779" spans="1:29" x14ac:dyDescent="0.15">
      <c r="A779" s="8">
        <v>42034</v>
      </c>
      <c r="B779" s="4">
        <v>1994.99</v>
      </c>
      <c r="C779" s="1">
        <v>17.9938</v>
      </c>
      <c r="D779" s="1">
        <v>2.13</v>
      </c>
      <c r="E779" s="1">
        <v>0.25030000000000002</v>
      </c>
      <c r="F779" s="4">
        <f t="shared" si="307"/>
        <v>0.17993800000000001</v>
      </c>
      <c r="G779" s="4">
        <f t="shared" si="308"/>
        <v>2.1299999999999999E-2</v>
      </c>
      <c r="H779" s="4">
        <f t="shared" si="309"/>
        <v>2.503E-3</v>
      </c>
      <c r="I779" s="3">
        <f t="shared" si="310"/>
        <v>76.02891577383653</v>
      </c>
      <c r="J779" s="4">
        <f t="shared" si="297"/>
        <v>1475992.6567737535</v>
      </c>
      <c r="K779" s="1">
        <f t="shared" si="298"/>
        <v>2075.37</v>
      </c>
      <c r="L779" s="5">
        <f t="shared" si="299"/>
        <v>9.5890410958904354E-2</v>
      </c>
      <c r="M779" s="5">
        <f t="shared" si="300"/>
        <v>-0.76064524064307215</v>
      </c>
      <c r="N779" s="5">
        <f t="shared" si="301"/>
        <v>99.029246837402169</v>
      </c>
      <c r="O779" s="1">
        <f t="shared" si="302"/>
        <v>0</v>
      </c>
      <c r="P779" s="1">
        <f t="shared" si="303"/>
        <v>2075.37</v>
      </c>
      <c r="Q779" s="5">
        <f t="shared" si="304"/>
        <v>9.5890410958904354E-2</v>
      </c>
      <c r="R779" s="5">
        <f t="shared" si="305"/>
        <v>-0.76064524064307215</v>
      </c>
      <c r="S779" s="5">
        <f t="shared" si="311"/>
        <v>99.029246837402169</v>
      </c>
      <c r="T779" s="5">
        <f t="shared" si="312"/>
        <v>-692.25235789814622</v>
      </c>
      <c r="U779" s="4">
        <f t="shared" si="313"/>
        <v>1476016.4748470366</v>
      </c>
      <c r="V779" s="4">
        <f t="shared" si="306"/>
        <v>23.818457635202861</v>
      </c>
      <c r="W779" s="4">
        <f t="shared" si="314"/>
        <v>1407463.2452229674</v>
      </c>
      <c r="X779" s="4">
        <f t="shared" si="318"/>
        <v>-15085.357674756553</v>
      </c>
      <c r="Y779" s="9">
        <f>SUM($X$6:X779)</f>
        <v>407463.24522296735</v>
      </c>
      <c r="Z779" s="16">
        <f t="shared" si="296"/>
        <v>0.40746324522296734</v>
      </c>
      <c r="AA779" s="16">
        <f t="shared" si="315"/>
        <v>0.56217405603495541</v>
      </c>
      <c r="AB779" s="16">
        <f t="shared" si="316"/>
        <v>-1.0604458535917691E-2</v>
      </c>
      <c r="AC779" s="16">
        <f t="shared" si="317"/>
        <v>-1.2991960420531844E-2</v>
      </c>
    </row>
    <row r="780" spans="1:29" x14ac:dyDescent="0.15">
      <c r="A780" s="8">
        <v>42037</v>
      </c>
      <c r="B780" s="4">
        <v>2020.85</v>
      </c>
      <c r="C780" s="1">
        <v>16.861999999999998</v>
      </c>
      <c r="D780" s="1">
        <v>2.11</v>
      </c>
      <c r="E780" s="1">
        <v>0.24929999999999999</v>
      </c>
      <c r="F780" s="4">
        <f t="shared" si="307"/>
        <v>0.16861999999999999</v>
      </c>
      <c r="G780" s="4">
        <f t="shared" si="308"/>
        <v>2.1099999999999997E-2</v>
      </c>
      <c r="H780" s="4">
        <f t="shared" si="309"/>
        <v>2.493E-3</v>
      </c>
      <c r="I780" s="3">
        <f t="shared" si="310"/>
        <v>72.434838342744484</v>
      </c>
      <c r="J780" s="4">
        <f t="shared" si="297"/>
        <v>1476016.4748470366</v>
      </c>
      <c r="K780" s="1">
        <f t="shared" si="298"/>
        <v>2075.37</v>
      </c>
      <c r="L780" s="5">
        <f t="shared" si="299"/>
        <v>8.7671232876712579E-2</v>
      </c>
      <c r="M780" s="5">
        <f t="shared" si="300"/>
        <v>-0.70441106604290693</v>
      </c>
      <c r="N780" s="5">
        <f t="shared" si="301"/>
        <v>76.002728269762741</v>
      </c>
      <c r="O780" s="1">
        <f t="shared" si="302"/>
        <v>0</v>
      </c>
      <c r="P780" s="1">
        <f t="shared" si="303"/>
        <v>2075.37</v>
      </c>
      <c r="Q780" s="5">
        <f t="shared" si="304"/>
        <v>8.7671232876712579E-2</v>
      </c>
      <c r="R780" s="5">
        <f t="shared" si="305"/>
        <v>-0.70441106604290693</v>
      </c>
      <c r="S780" s="5">
        <f t="shared" si="311"/>
        <v>76.002728269762741</v>
      </c>
      <c r="T780" s="5">
        <f t="shared" si="312"/>
        <v>-692.25235789814622</v>
      </c>
      <c r="U780" s="4">
        <f t="shared" si="313"/>
        <v>1476040.2933046718</v>
      </c>
      <c r="V780" s="4">
        <f t="shared" si="306"/>
        <v>71.456525979982331</v>
      </c>
      <c r="W780" s="4">
        <f t="shared" si="314"/>
        <v>1423427.2254532364</v>
      </c>
      <c r="X780" s="4">
        <f t="shared" si="318"/>
        <v>15963.980230269022</v>
      </c>
      <c r="Y780" s="9">
        <f>SUM($X$6:X780)</f>
        <v>423427.22545323637</v>
      </c>
      <c r="Z780" s="16">
        <f t="shared" si="296"/>
        <v>0.42342722545323636</v>
      </c>
      <c r="AA780" s="16">
        <f t="shared" si="315"/>
        <v>0.58242369191737275</v>
      </c>
      <c r="AB780" s="16">
        <f t="shared" si="316"/>
        <v>1.1342378058149605E-2</v>
      </c>
      <c r="AC780" s="16">
        <f t="shared" si="317"/>
        <v>1.2962470989829472E-2</v>
      </c>
    </row>
    <row r="781" spans="1:29" x14ac:dyDescent="0.15">
      <c r="A781" s="8">
        <v>42038</v>
      </c>
      <c r="B781" s="4">
        <v>2050.0300000000002</v>
      </c>
      <c r="C781" s="1">
        <v>15.4498</v>
      </c>
      <c r="D781" s="1">
        <v>2.08</v>
      </c>
      <c r="E781" s="1">
        <v>0.25230000000000002</v>
      </c>
      <c r="F781" s="4">
        <f t="shared" si="307"/>
        <v>0.154498</v>
      </c>
      <c r="G781" s="4">
        <f t="shared" si="308"/>
        <v>2.0799999999999999E-2</v>
      </c>
      <c r="H781" s="4">
        <f t="shared" si="309"/>
        <v>2.5230000000000001E-3</v>
      </c>
      <c r="I781" s="3">
        <f t="shared" si="310"/>
        <v>67.659198540893016</v>
      </c>
      <c r="J781" s="4">
        <f t="shared" si="297"/>
        <v>1476040.2933046718</v>
      </c>
      <c r="K781" s="1">
        <f t="shared" si="298"/>
        <v>2075.37</v>
      </c>
      <c r="L781" s="5">
        <f t="shared" si="299"/>
        <v>8.4931506849315316E-2</v>
      </c>
      <c r="M781" s="5">
        <f t="shared" si="300"/>
        <v>-0.6110247683870309</v>
      </c>
      <c r="N781" s="5">
        <f t="shared" si="301"/>
        <v>53.002383669538808</v>
      </c>
      <c r="O781" s="1">
        <f t="shared" si="302"/>
        <v>0</v>
      </c>
      <c r="P781" s="1">
        <f t="shared" si="303"/>
        <v>2075.37</v>
      </c>
      <c r="Q781" s="5">
        <f t="shared" si="304"/>
        <v>8.4931506849315316E-2</v>
      </c>
      <c r="R781" s="5">
        <f t="shared" si="305"/>
        <v>-0.6110247683870309</v>
      </c>
      <c r="S781" s="5">
        <f t="shared" si="311"/>
        <v>53.002383669538808</v>
      </c>
      <c r="T781" s="5">
        <f t="shared" si="312"/>
        <v>-692.25235789814622</v>
      </c>
      <c r="U781" s="4">
        <f t="shared" si="313"/>
        <v>1476111.7498306518</v>
      </c>
      <c r="V781" s="4">
        <f t="shared" si="306"/>
        <v>23.819995086308325</v>
      </c>
      <c r="W781" s="4">
        <f t="shared" si="314"/>
        <v>1439420.7247611913</v>
      </c>
      <c r="X781" s="4">
        <f t="shared" si="318"/>
        <v>15993.499307954917</v>
      </c>
      <c r="Y781" s="9">
        <f>SUM($X$6:X781)</f>
        <v>439420.72476119129</v>
      </c>
      <c r="Z781" s="16">
        <f t="shared" si="296"/>
        <v>0.43942072476119132</v>
      </c>
      <c r="AA781" s="16">
        <f t="shared" si="315"/>
        <v>0.6052730490345013</v>
      </c>
      <c r="AB781" s="16">
        <f t="shared" si="316"/>
        <v>1.1235909375600425E-2</v>
      </c>
      <c r="AC781" s="16">
        <f t="shared" si="317"/>
        <v>1.4439468540465791E-2</v>
      </c>
    </row>
    <row r="782" spans="1:29" x14ac:dyDescent="0.15">
      <c r="A782" s="8">
        <v>42039</v>
      </c>
      <c r="B782" s="4">
        <v>2041.51</v>
      </c>
      <c r="C782" s="1">
        <v>16.0366</v>
      </c>
      <c r="D782" s="1">
        <v>2.1</v>
      </c>
      <c r="E782" s="1">
        <v>0.25230000000000002</v>
      </c>
      <c r="F782" s="4">
        <f t="shared" si="307"/>
        <v>0.16036600000000001</v>
      </c>
      <c r="G782" s="4">
        <f t="shared" si="308"/>
        <v>2.1000000000000001E-2</v>
      </c>
      <c r="H782" s="4">
        <f t="shared" si="309"/>
        <v>2.5230000000000001E-3</v>
      </c>
      <c r="I782" s="3">
        <f t="shared" si="310"/>
        <v>69.80287912438844</v>
      </c>
      <c r="J782" s="4">
        <f t="shared" si="297"/>
        <v>1476111.7498306518</v>
      </c>
      <c r="K782" s="1">
        <f t="shared" si="298"/>
        <v>2075.37</v>
      </c>
      <c r="L782" s="5">
        <f t="shared" si="299"/>
        <v>8.2191780821918053E-2</v>
      </c>
      <c r="M782" s="5">
        <f t="shared" si="300"/>
        <v>-0.6423929774967434</v>
      </c>
      <c r="N782" s="5">
        <f t="shared" si="301"/>
        <v>59.034341729601586</v>
      </c>
      <c r="O782" s="1">
        <f t="shared" si="302"/>
        <v>0</v>
      </c>
      <c r="P782" s="1">
        <f t="shared" si="303"/>
        <v>2075.37</v>
      </c>
      <c r="Q782" s="5">
        <f t="shared" si="304"/>
        <v>8.2191780821918053E-2</v>
      </c>
      <c r="R782" s="5">
        <f t="shared" si="305"/>
        <v>-0.6423929774967434</v>
      </c>
      <c r="S782" s="5">
        <f t="shared" si="311"/>
        <v>59.034341729601586</v>
      </c>
      <c r="T782" s="5">
        <f t="shared" si="312"/>
        <v>-692.25235789814622</v>
      </c>
      <c r="U782" s="4">
        <f t="shared" si="313"/>
        <v>1476135.5698257382</v>
      </c>
      <c r="V782" s="4">
        <f t="shared" si="306"/>
        <v>23.820379469242731</v>
      </c>
      <c r="W782" s="4">
        <f t="shared" si="314"/>
        <v>1435268.9075664566</v>
      </c>
      <c r="X782" s="4">
        <f t="shared" si="318"/>
        <v>-4151.8171947347</v>
      </c>
      <c r="Y782" s="9">
        <f>SUM($X$6:X782)</f>
        <v>435268.90756645659</v>
      </c>
      <c r="Z782" s="16">
        <f t="shared" si="296"/>
        <v>0.43526890756645659</v>
      </c>
      <c r="AA782" s="16">
        <f t="shared" si="315"/>
        <v>0.59860147526349594</v>
      </c>
      <c r="AB782" s="16">
        <f t="shared" si="316"/>
        <v>-2.8843666923188925E-3</v>
      </c>
      <c r="AC782" s="16">
        <f t="shared" si="317"/>
        <v>-4.1560367409258442E-3</v>
      </c>
    </row>
    <row r="783" spans="1:29" x14ac:dyDescent="0.15">
      <c r="A783" s="8">
        <v>42040</v>
      </c>
      <c r="B783" s="4">
        <v>2062.52</v>
      </c>
      <c r="C783" s="1">
        <v>15.344799999999999</v>
      </c>
      <c r="D783" s="1">
        <v>2.08</v>
      </c>
      <c r="E783" s="1">
        <v>0.25330000000000003</v>
      </c>
      <c r="F783" s="4">
        <f t="shared" si="307"/>
        <v>0.153448</v>
      </c>
      <c r="G783" s="4">
        <f t="shared" si="308"/>
        <v>2.0799999999999999E-2</v>
      </c>
      <c r="H783" s="4">
        <f t="shared" si="309"/>
        <v>2.5330000000000001E-3</v>
      </c>
      <c r="I783" s="3">
        <f t="shared" si="310"/>
        <v>67.639581658320395</v>
      </c>
      <c r="J783" s="4">
        <f t="shared" si="297"/>
        <v>1476135.5698257382</v>
      </c>
      <c r="K783" s="1">
        <f t="shared" si="298"/>
        <v>2075.37</v>
      </c>
      <c r="L783" s="5">
        <f t="shared" si="299"/>
        <v>7.9452054794520791E-2</v>
      </c>
      <c r="M783" s="5">
        <f t="shared" si="300"/>
        <v>-0.56086843520210639</v>
      </c>
      <c r="N783" s="5">
        <f t="shared" si="301"/>
        <v>44.141723471220537</v>
      </c>
      <c r="O783" s="1">
        <f t="shared" si="302"/>
        <v>0</v>
      </c>
      <c r="P783" s="1">
        <f t="shared" si="303"/>
        <v>2075.37</v>
      </c>
      <c r="Q783" s="5">
        <f t="shared" si="304"/>
        <v>7.9452054794520791E-2</v>
      </c>
      <c r="R783" s="5">
        <f t="shared" si="305"/>
        <v>-0.56086843520210639</v>
      </c>
      <c r="S783" s="5">
        <f t="shared" si="311"/>
        <v>44.141723471220537</v>
      </c>
      <c r="T783" s="5">
        <f t="shared" si="312"/>
        <v>-692.25235789814622</v>
      </c>
      <c r="U783" s="4">
        <f t="shared" si="313"/>
        <v>1476159.3902052075</v>
      </c>
      <c r="V783" s="4">
        <f t="shared" si="306"/>
        <v>23.820763858379923</v>
      </c>
      <c r="W783" s="4">
        <f t="shared" si="314"/>
        <v>1445602.1780505672</v>
      </c>
      <c r="X783" s="4">
        <f t="shared" si="318"/>
        <v>10333.270484110573</v>
      </c>
      <c r="Y783" s="9">
        <f>SUM($X$6:X783)</f>
        <v>445602.17805056716</v>
      </c>
      <c r="Z783" s="16">
        <f t="shared" si="296"/>
        <v>0.44560217805056718</v>
      </c>
      <c r="AA783" s="16">
        <f t="shared" si="315"/>
        <v>0.61505332560725423</v>
      </c>
      <c r="AB783" s="16">
        <f t="shared" si="316"/>
        <v>7.199536219056649E-3</v>
      </c>
      <c r="AC783" s="16">
        <f t="shared" si="317"/>
        <v>1.0291401952476348E-2</v>
      </c>
    </row>
    <row r="784" spans="1:29" x14ac:dyDescent="0.15">
      <c r="A784" s="8">
        <v>42041</v>
      </c>
      <c r="B784" s="4">
        <v>2055.4699999999998</v>
      </c>
      <c r="C784" s="1">
        <v>15.7615</v>
      </c>
      <c r="D784" s="1">
        <v>2.09</v>
      </c>
      <c r="E784" s="1">
        <v>0.25280000000000002</v>
      </c>
      <c r="F784" s="4">
        <f t="shared" si="307"/>
        <v>0.15761500000000001</v>
      </c>
      <c r="G784" s="4">
        <f t="shared" si="308"/>
        <v>2.0899999999999998E-2</v>
      </c>
      <c r="H784" s="4">
        <f t="shared" si="309"/>
        <v>2.5280000000000003E-3</v>
      </c>
      <c r="I784" s="3">
        <f t="shared" si="310"/>
        <v>69.132627672192996</v>
      </c>
      <c r="J784" s="4">
        <f t="shared" si="297"/>
        <v>1476159.3902052075</v>
      </c>
      <c r="K784" s="1">
        <f t="shared" si="298"/>
        <v>2075.37</v>
      </c>
      <c r="L784" s="5">
        <f t="shared" si="299"/>
        <v>7.6712328767123528E-2</v>
      </c>
      <c r="M784" s="5">
        <f t="shared" si="300"/>
        <v>-0.59045922646861104</v>
      </c>
      <c r="N784" s="5">
        <f t="shared" si="301"/>
        <v>48.474599951156172</v>
      </c>
      <c r="O784" s="1">
        <f t="shared" si="302"/>
        <v>0</v>
      </c>
      <c r="P784" s="1">
        <f t="shared" si="303"/>
        <v>2075.37</v>
      </c>
      <c r="Q784" s="5">
        <f t="shared" si="304"/>
        <v>7.6712328767123528E-2</v>
      </c>
      <c r="R784" s="5">
        <f t="shared" si="305"/>
        <v>-0.59045922646861104</v>
      </c>
      <c r="S784" s="5">
        <f t="shared" si="311"/>
        <v>48.474599951156172</v>
      </c>
      <c r="T784" s="5">
        <f t="shared" si="312"/>
        <v>-692.25235789814622</v>
      </c>
      <c r="U784" s="4">
        <f t="shared" si="313"/>
        <v>1476183.2109690658</v>
      </c>
      <c r="V784" s="4">
        <f t="shared" si="306"/>
        <v>23.82114825371999</v>
      </c>
      <c r="W784" s="4">
        <f t="shared" si="314"/>
        <v>1442626.5548547085</v>
      </c>
      <c r="X784" s="4">
        <f t="shared" si="318"/>
        <v>-2975.6231958586723</v>
      </c>
      <c r="Y784" s="9">
        <f>SUM($X$6:X784)</f>
        <v>442626.55485470849</v>
      </c>
      <c r="Z784" s="16">
        <f t="shared" si="296"/>
        <v>0.44262655485470848</v>
      </c>
      <c r="AA784" s="16">
        <f t="shared" si="315"/>
        <v>0.60953283322631657</v>
      </c>
      <c r="AB784" s="16">
        <f t="shared" si="316"/>
        <v>-2.0583970064789047E-3</v>
      </c>
      <c r="AC784" s="16">
        <f t="shared" si="317"/>
        <v>-3.4181486724978094E-3</v>
      </c>
    </row>
    <row r="785" spans="1:29" x14ac:dyDescent="0.15">
      <c r="A785" s="8">
        <v>42044</v>
      </c>
      <c r="B785" s="4">
        <v>2046.74</v>
      </c>
      <c r="C785" s="1">
        <v>16.454799999999999</v>
      </c>
      <c r="D785" s="1">
        <v>2.1</v>
      </c>
      <c r="E785" s="1">
        <v>0.2555</v>
      </c>
      <c r="F785" s="4">
        <f t="shared" si="307"/>
        <v>0.164548</v>
      </c>
      <c r="G785" s="4">
        <f t="shared" si="308"/>
        <v>2.1000000000000001E-2</v>
      </c>
      <c r="H785" s="4">
        <f t="shared" si="309"/>
        <v>2.555E-3</v>
      </c>
      <c r="I785" s="3">
        <f t="shared" si="310"/>
        <v>71.668810319939951</v>
      </c>
      <c r="J785" s="4">
        <f t="shared" si="297"/>
        <v>1476183.2109690658</v>
      </c>
      <c r="K785" s="1">
        <f t="shared" si="298"/>
        <v>2075.37</v>
      </c>
      <c r="L785" s="5">
        <f t="shared" si="299"/>
        <v>6.8493150684931753E-2</v>
      </c>
      <c r="M785" s="5">
        <f t="shared" si="300"/>
        <v>-0.62853639276963158</v>
      </c>
      <c r="N785" s="5">
        <f t="shared" si="301"/>
        <v>53.150235146540837</v>
      </c>
      <c r="O785" s="1">
        <f t="shared" si="302"/>
        <v>0</v>
      </c>
      <c r="P785" s="1">
        <f t="shared" si="303"/>
        <v>2075.37</v>
      </c>
      <c r="Q785" s="5">
        <f t="shared" si="304"/>
        <v>6.8493150684931753E-2</v>
      </c>
      <c r="R785" s="5">
        <f t="shared" si="305"/>
        <v>-0.62853639276963158</v>
      </c>
      <c r="S785" s="5">
        <f t="shared" si="311"/>
        <v>53.150235146540837</v>
      </c>
      <c r="T785" s="5">
        <f t="shared" si="312"/>
        <v>-692.25235789814622</v>
      </c>
      <c r="U785" s="4">
        <f t="shared" si="313"/>
        <v>1476207.0321173195</v>
      </c>
      <c r="V785" s="4">
        <f t="shared" si="306"/>
        <v>71.464597965789125</v>
      </c>
      <c r="W785" s="4">
        <f t="shared" si="314"/>
        <v>1439413.6565142856</v>
      </c>
      <c r="X785" s="4">
        <f t="shared" si="318"/>
        <v>-3212.8983404228929</v>
      </c>
      <c r="Y785" s="9">
        <f>SUM($X$6:X785)</f>
        <v>439413.6565142856</v>
      </c>
      <c r="Z785" s="16">
        <f t="shared" si="296"/>
        <v>0.4394136565142856</v>
      </c>
      <c r="AA785" s="16">
        <f t="shared" si="315"/>
        <v>0.60269681925673035</v>
      </c>
      <c r="AB785" s="16">
        <f t="shared" si="316"/>
        <v>-2.2271171493487962E-3</v>
      </c>
      <c r="AC785" s="16">
        <f t="shared" si="317"/>
        <v>-4.2472038025365448E-3</v>
      </c>
    </row>
    <row r="786" spans="1:29" x14ac:dyDescent="0.15">
      <c r="A786" s="8">
        <v>42045</v>
      </c>
      <c r="B786" s="4">
        <v>2068.59</v>
      </c>
      <c r="C786" s="1">
        <v>15.4163</v>
      </c>
      <c r="D786" s="1">
        <v>2.0699999999999998</v>
      </c>
      <c r="E786" s="1">
        <v>0.25519999999999998</v>
      </c>
      <c r="F786" s="4">
        <f t="shared" si="307"/>
        <v>0.15416299999999999</v>
      </c>
      <c r="G786" s="4">
        <f t="shared" si="308"/>
        <v>2.07E-2</v>
      </c>
      <c r="H786" s="4">
        <f t="shared" si="309"/>
        <v>2.552E-3</v>
      </c>
      <c r="I786" s="3">
        <f t="shared" si="310"/>
        <v>68.100329692932419</v>
      </c>
      <c r="J786" s="4">
        <f t="shared" si="297"/>
        <v>1476207.0321173195</v>
      </c>
      <c r="K786" s="1">
        <f t="shared" si="298"/>
        <v>2075.37</v>
      </c>
      <c r="L786" s="5">
        <f t="shared" si="299"/>
        <v>6.575342465753449E-2</v>
      </c>
      <c r="M786" s="5">
        <f t="shared" si="300"/>
        <v>-0.53639577969592311</v>
      </c>
      <c r="N786" s="5">
        <f t="shared" si="301"/>
        <v>37.480166743616977</v>
      </c>
      <c r="O786" s="1">
        <f t="shared" si="302"/>
        <v>0</v>
      </c>
      <c r="P786" s="1">
        <f t="shared" si="303"/>
        <v>2075.37</v>
      </c>
      <c r="Q786" s="5">
        <f t="shared" si="304"/>
        <v>6.575342465753449E-2</v>
      </c>
      <c r="R786" s="5">
        <f t="shared" si="305"/>
        <v>-0.53639577969592311</v>
      </c>
      <c r="S786" s="5">
        <f t="shared" si="311"/>
        <v>37.480166743616977</v>
      </c>
      <c r="T786" s="5">
        <f t="shared" si="312"/>
        <v>-692.25235789814622</v>
      </c>
      <c r="U786" s="4">
        <f t="shared" si="313"/>
        <v>1476278.4967152853</v>
      </c>
      <c r="V786" s="4">
        <f t="shared" si="306"/>
        <v>23.822685878501449</v>
      </c>
      <c r="W786" s="4">
        <f t="shared" si="314"/>
        <v>1450332.7629126008</v>
      </c>
      <c r="X786" s="4">
        <f t="shared" si="318"/>
        <v>10919.106398315169</v>
      </c>
      <c r="Y786" s="9">
        <f>SUM($X$6:X786)</f>
        <v>450332.76291260077</v>
      </c>
      <c r="Z786" s="16">
        <f t="shared" ref="Z786:Z849" si="319">Y786/$H$3</f>
        <v>0.45033276291260077</v>
      </c>
      <c r="AA786" s="16">
        <f t="shared" si="315"/>
        <v>0.61980643039481331</v>
      </c>
      <c r="AB786" s="16">
        <f t="shared" si="316"/>
        <v>7.5858015858742836E-3</v>
      </c>
      <c r="AC786" s="16">
        <f t="shared" si="317"/>
        <v>1.0675513255225449E-2</v>
      </c>
    </row>
    <row r="787" spans="1:29" x14ac:dyDescent="0.15">
      <c r="A787" s="8">
        <v>42046</v>
      </c>
      <c r="B787" s="4">
        <v>2068.5300000000002</v>
      </c>
      <c r="C787" s="1">
        <v>15.5099</v>
      </c>
      <c r="D787" s="1">
        <v>2.0699999999999998</v>
      </c>
      <c r="E787" s="1">
        <v>0.25519999999999998</v>
      </c>
      <c r="F787" s="4">
        <f t="shared" si="307"/>
        <v>0.15509899999999999</v>
      </c>
      <c r="G787" s="4">
        <f t="shared" si="308"/>
        <v>2.07E-2</v>
      </c>
      <c r="H787" s="4">
        <f t="shared" si="309"/>
        <v>2.552E-3</v>
      </c>
      <c r="I787" s="3">
        <f t="shared" si="310"/>
        <v>68.481967896418851</v>
      </c>
      <c r="J787" s="4">
        <f t="shared" si="297"/>
        <v>1476278.4967152853</v>
      </c>
      <c r="K787" s="1">
        <f t="shared" si="298"/>
        <v>2075.37</v>
      </c>
      <c r="L787" s="5">
        <f t="shared" si="299"/>
        <v>6.3013698630137227E-2</v>
      </c>
      <c r="M787" s="5">
        <f t="shared" si="300"/>
        <v>-0.53702113580505539</v>
      </c>
      <c r="N787" s="5">
        <f t="shared" si="301"/>
        <v>36.967283719569586</v>
      </c>
      <c r="O787" s="1">
        <f t="shared" si="302"/>
        <v>0</v>
      </c>
      <c r="P787" s="1">
        <f t="shared" si="303"/>
        <v>2075.37</v>
      </c>
      <c r="Q787" s="5">
        <f t="shared" si="304"/>
        <v>6.3013698630137227E-2</v>
      </c>
      <c r="R787" s="5">
        <f t="shared" si="305"/>
        <v>-0.53702113580505539</v>
      </c>
      <c r="S787" s="5">
        <f t="shared" si="311"/>
        <v>36.967283719569586</v>
      </c>
      <c r="T787" s="5">
        <f t="shared" si="312"/>
        <v>-692.25235789814622</v>
      </c>
      <c r="U787" s="4">
        <f t="shared" si="313"/>
        <v>1476302.3194011638</v>
      </c>
      <c r="V787" s="4">
        <f t="shared" si="306"/>
        <v>23.823070304857133</v>
      </c>
      <c r="W787" s="4">
        <f t="shared" si="314"/>
        <v>1450711.6300812021</v>
      </c>
      <c r="X787" s="4">
        <f t="shared" si="318"/>
        <v>378.86716860136949</v>
      </c>
      <c r="Y787" s="9">
        <f>SUM($X$6:X787)</f>
        <v>450711.63008120214</v>
      </c>
      <c r="Z787" s="16">
        <f t="shared" si="319"/>
        <v>0.45071163008120213</v>
      </c>
      <c r="AA787" s="16">
        <f t="shared" si="315"/>
        <v>0.61975944748093303</v>
      </c>
      <c r="AB787" s="16">
        <f t="shared" si="316"/>
        <v>2.6122775289204482E-4</v>
      </c>
      <c r="AC787" s="16">
        <f t="shared" si="317"/>
        <v>-2.9005264455472292E-5</v>
      </c>
    </row>
    <row r="788" spans="1:29" x14ac:dyDescent="0.15">
      <c r="A788" s="8">
        <v>42047</v>
      </c>
      <c r="B788" s="4">
        <v>2088.48</v>
      </c>
      <c r="C788" s="1">
        <v>14.2842</v>
      </c>
      <c r="D788" s="1">
        <v>2.06</v>
      </c>
      <c r="E788" s="1">
        <v>0.25530000000000003</v>
      </c>
      <c r="F788" s="4">
        <f t="shared" si="307"/>
        <v>0.142842</v>
      </c>
      <c r="G788" s="4">
        <f t="shared" si="308"/>
        <v>2.06E-2</v>
      </c>
      <c r="H788" s="4">
        <f t="shared" si="309"/>
        <v>2.5530000000000001E-3</v>
      </c>
      <c r="I788" s="3">
        <f t="shared" si="310"/>
        <v>64.044213038311398</v>
      </c>
      <c r="J788" s="4">
        <f t="shared" si="297"/>
        <v>1476302.3194011638</v>
      </c>
      <c r="K788" s="1">
        <f t="shared" si="298"/>
        <v>2075.37</v>
      </c>
      <c r="L788" s="5">
        <f t="shared" si="299"/>
        <v>6.0273972602739964E-2</v>
      </c>
      <c r="M788" s="5">
        <f t="shared" si="300"/>
        <v>-0.43350842071381213</v>
      </c>
      <c r="N788" s="5">
        <f t="shared" si="301"/>
        <v>24.006755772240606</v>
      </c>
      <c r="O788" s="1">
        <f t="shared" si="302"/>
        <v>0</v>
      </c>
      <c r="P788" s="1">
        <f t="shared" si="303"/>
        <v>2075.37</v>
      </c>
      <c r="Q788" s="5">
        <f t="shared" si="304"/>
        <v>6.0273972602739964E-2</v>
      </c>
      <c r="R788" s="5">
        <f t="shared" si="305"/>
        <v>-0.43350842071381213</v>
      </c>
      <c r="S788" s="5">
        <f t="shared" si="311"/>
        <v>24.006755772240606</v>
      </c>
      <c r="T788" s="5">
        <f t="shared" si="312"/>
        <v>-692.25235789814622</v>
      </c>
      <c r="U788" s="4">
        <f t="shared" si="313"/>
        <v>1476326.1424714688</v>
      </c>
      <c r="V788" s="4">
        <f t="shared" si="306"/>
        <v>23.823454737416299</v>
      </c>
      <c r="W788" s="4">
        <f t="shared" si="314"/>
        <v>1459707.4091826503</v>
      </c>
      <c r="X788" s="4">
        <f t="shared" si="318"/>
        <v>8995.7791014481336</v>
      </c>
      <c r="Y788" s="9">
        <f>SUM($X$6:X788)</f>
        <v>459707.40918265027</v>
      </c>
      <c r="Z788" s="16">
        <f t="shared" si="319"/>
        <v>0.4597074091826503</v>
      </c>
      <c r="AA788" s="16">
        <f t="shared" si="315"/>
        <v>0.6353812663461389</v>
      </c>
      <c r="AB788" s="16">
        <f t="shared" si="316"/>
        <v>6.2009422926764595E-3</v>
      </c>
      <c r="AC788" s="16">
        <f t="shared" si="317"/>
        <v>9.6445301736014545E-3</v>
      </c>
    </row>
    <row r="789" spans="1:29" x14ac:dyDescent="0.15">
      <c r="A789" s="8">
        <v>42048</v>
      </c>
      <c r="B789" s="4">
        <v>2096.9899999999998</v>
      </c>
      <c r="C789" s="1">
        <v>14.0639</v>
      </c>
      <c r="D789" s="1">
        <v>2.0499999999999998</v>
      </c>
      <c r="E789" s="1">
        <v>0.25430000000000003</v>
      </c>
      <c r="F789" s="4">
        <f t="shared" si="307"/>
        <v>0.14063900000000001</v>
      </c>
      <c r="G789" s="4">
        <f t="shared" si="308"/>
        <v>2.0499999999999997E-2</v>
      </c>
      <c r="H789" s="4">
        <f t="shared" si="309"/>
        <v>2.5430000000000001E-3</v>
      </c>
      <c r="I789" s="3">
        <f t="shared" si="310"/>
        <v>63.366240475783876</v>
      </c>
      <c r="J789" s="4">
        <f t="shared" si="297"/>
        <v>1476326.1424714688</v>
      </c>
      <c r="K789" s="1">
        <f t="shared" si="298"/>
        <v>2075.37</v>
      </c>
      <c r="L789" s="5">
        <f t="shared" si="299"/>
        <v>5.7534246575342701E-2</v>
      </c>
      <c r="M789" s="5">
        <f t="shared" si="300"/>
        <v>-0.38413446024299869</v>
      </c>
      <c r="N789" s="5">
        <f t="shared" si="301"/>
        <v>19.396048520159503</v>
      </c>
      <c r="O789" s="1">
        <f t="shared" si="302"/>
        <v>0</v>
      </c>
      <c r="P789" s="1">
        <f t="shared" si="303"/>
        <v>2075.37</v>
      </c>
      <c r="Q789" s="5">
        <f t="shared" si="304"/>
        <v>5.7534246575342701E-2</v>
      </c>
      <c r="R789" s="5">
        <f t="shared" si="305"/>
        <v>-0.38413446024299869</v>
      </c>
      <c r="S789" s="5">
        <f t="shared" si="311"/>
        <v>19.396048520159503</v>
      </c>
      <c r="T789" s="5">
        <f t="shared" si="312"/>
        <v>-692.25235789814622</v>
      </c>
      <c r="U789" s="4">
        <f t="shared" si="313"/>
        <v>1476349.9659262062</v>
      </c>
      <c r="V789" s="4">
        <f t="shared" si="306"/>
        <v>23.823839176179053</v>
      </c>
      <c r="W789" s="4">
        <f t="shared" si="314"/>
        <v>1462923.0056042189</v>
      </c>
      <c r="X789" s="4">
        <f t="shared" si="318"/>
        <v>3215.5964215686545</v>
      </c>
      <c r="Y789" s="9">
        <f>SUM($X$6:X789)</f>
        <v>462923.00560421892</v>
      </c>
      <c r="Z789" s="16">
        <f t="shared" si="319"/>
        <v>0.46292300560421895</v>
      </c>
      <c r="AA789" s="16">
        <f t="shared" si="315"/>
        <v>0.64204500963149724</v>
      </c>
      <c r="AB789" s="16">
        <f t="shared" si="316"/>
        <v>2.2029047748474456E-3</v>
      </c>
      <c r="AC789" s="16">
        <f t="shared" si="317"/>
        <v>4.0747337776755165E-3</v>
      </c>
    </row>
    <row r="790" spans="1:29" x14ac:dyDescent="0.15">
      <c r="A790" s="8">
        <v>42052</v>
      </c>
      <c r="B790" s="4">
        <v>2100.34</v>
      </c>
      <c r="C790" s="1">
        <v>14.249000000000001</v>
      </c>
      <c r="D790" s="1">
        <v>2.04</v>
      </c>
      <c r="E790" s="1">
        <v>0.25380000000000003</v>
      </c>
      <c r="F790" s="4">
        <f t="shared" si="307"/>
        <v>0.14249000000000001</v>
      </c>
      <c r="G790" s="4">
        <f t="shared" si="308"/>
        <v>2.0400000000000001E-2</v>
      </c>
      <c r="H790" s="4">
        <f t="shared" si="309"/>
        <v>2.5380000000000003E-3</v>
      </c>
      <c r="I790" s="3">
        <f t="shared" si="310"/>
        <v>64.212443347381566</v>
      </c>
      <c r="J790" s="4">
        <f t="shared" si="297"/>
        <v>1476349.9659262062</v>
      </c>
      <c r="K790" s="1">
        <f t="shared" si="298"/>
        <v>2075.37</v>
      </c>
      <c r="L790" s="5">
        <f t="shared" si="299"/>
        <v>4.6575342465753664E-2</v>
      </c>
      <c r="M790" s="5">
        <f t="shared" si="300"/>
        <v>-0.35266138331076025</v>
      </c>
      <c r="N790" s="5">
        <f t="shared" si="301"/>
        <v>15.646516569696713</v>
      </c>
      <c r="O790" s="1">
        <f t="shared" si="302"/>
        <v>0</v>
      </c>
      <c r="P790" s="1">
        <f t="shared" si="303"/>
        <v>2075.37</v>
      </c>
      <c r="Q790" s="5">
        <f t="shared" si="304"/>
        <v>4.6575342465753664E-2</v>
      </c>
      <c r="R790" s="5">
        <f t="shared" si="305"/>
        <v>-0.35266138331076025</v>
      </c>
      <c r="S790" s="5">
        <f t="shared" si="311"/>
        <v>15.646516569696713</v>
      </c>
      <c r="T790" s="5">
        <f t="shared" si="312"/>
        <v>-692.25235789814622</v>
      </c>
      <c r="U790" s="4">
        <f t="shared" si="313"/>
        <v>1476373.7897653824</v>
      </c>
      <c r="V790" s="4">
        <f t="shared" si="306"/>
        <v>95.296894484581941</v>
      </c>
      <c r="W790" s="4">
        <f t="shared" si="314"/>
        <v>1465542.4517771176</v>
      </c>
      <c r="X790" s="4">
        <f t="shared" si="318"/>
        <v>2619.4461728986353</v>
      </c>
      <c r="Y790" s="9">
        <f>SUM($X$6:X790)</f>
        <v>465542.45177711756</v>
      </c>
      <c r="Z790" s="16">
        <f t="shared" si="319"/>
        <v>0.46554245177711756</v>
      </c>
      <c r="AA790" s="16">
        <f t="shared" si="315"/>
        <v>0.64466822232314869</v>
      </c>
      <c r="AB790" s="16">
        <f t="shared" si="316"/>
        <v>1.7905564153847915E-3</v>
      </c>
      <c r="AC790" s="16">
        <f t="shared" si="317"/>
        <v>1.5975278852070655E-3</v>
      </c>
    </row>
    <row r="791" spans="1:29" x14ac:dyDescent="0.15">
      <c r="A791" s="8">
        <v>42053</v>
      </c>
      <c r="B791" s="4">
        <v>2099.6799999999998</v>
      </c>
      <c r="C791" s="1">
        <v>14.126200000000001</v>
      </c>
      <c r="D791" s="1">
        <v>2.04</v>
      </c>
      <c r="E791" s="1">
        <v>0.25769999999999998</v>
      </c>
      <c r="F791" s="4">
        <f t="shared" si="307"/>
        <v>0.141262</v>
      </c>
      <c r="G791" s="4">
        <f t="shared" si="308"/>
        <v>2.0400000000000001E-2</v>
      </c>
      <c r="H791" s="4">
        <f t="shared" si="309"/>
        <v>2.5769999999999999E-3</v>
      </c>
      <c r="I791" s="3">
        <f t="shared" si="310"/>
        <v>63.670450320017714</v>
      </c>
      <c r="J791" s="4">
        <f t="shared" si="297"/>
        <v>1476373.7897653824</v>
      </c>
      <c r="K791" s="1">
        <f t="shared" si="298"/>
        <v>2075.37</v>
      </c>
      <c r="L791" s="5">
        <f t="shared" si="299"/>
        <v>4.3835616438356401E-2</v>
      </c>
      <c r="M791" s="5">
        <f t="shared" si="300"/>
        <v>-0.3508720169144483</v>
      </c>
      <c r="N791" s="5">
        <f t="shared" si="301"/>
        <v>14.926049120356353</v>
      </c>
      <c r="O791" s="1">
        <f t="shared" si="302"/>
        <v>0</v>
      </c>
      <c r="P791" s="1">
        <f t="shared" si="303"/>
        <v>2075.37</v>
      </c>
      <c r="Q791" s="5">
        <f t="shared" si="304"/>
        <v>4.3835616438356401E-2</v>
      </c>
      <c r="R791" s="5">
        <f t="shared" si="305"/>
        <v>-0.3508720169144483</v>
      </c>
      <c r="S791" s="5">
        <f t="shared" si="311"/>
        <v>14.926049120356353</v>
      </c>
      <c r="T791" s="5">
        <f t="shared" si="312"/>
        <v>-692.25235789814622</v>
      </c>
      <c r="U791" s="4">
        <f t="shared" si="313"/>
        <v>1476469.0866598671</v>
      </c>
      <c r="V791" s="4">
        <f t="shared" si="306"/>
        <v>23.825761425826347</v>
      </c>
      <c r="W791" s="4">
        <f t="shared" si="314"/>
        <v>1466136.4939621969</v>
      </c>
      <c r="X791" s="4">
        <f t="shared" si="318"/>
        <v>594.04218507930636</v>
      </c>
      <c r="Y791" s="9">
        <f>SUM($X$6:X791)</f>
        <v>466136.49396219687</v>
      </c>
      <c r="Z791" s="16">
        <f t="shared" si="319"/>
        <v>0.46613649396219686</v>
      </c>
      <c r="AA791" s="16">
        <f t="shared" si="315"/>
        <v>0.64415141027046496</v>
      </c>
      <c r="AB791" s="16">
        <f t="shared" si="316"/>
        <v>4.0533945936466767E-4</v>
      </c>
      <c r="AC791" s="16">
        <f t="shared" si="317"/>
        <v>-3.1423483816920552E-4</v>
      </c>
    </row>
    <row r="792" spans="1:29" x14ac:dyDescent="0.15">
      <c r="A792" s="8">
        <v>42054</v>
      </c>
      <c r="B792" s="4">
        <v>2097.4499999999998</v>
      </c>
      <c r="C792" s="1">
        <v>14.232200000000001</v>
      </c>
      <c r="D792" s="1">
        <v>2.0499999999999998</v>
      </c>
      <c r="E792" s="1">
        <v>0.25869999999999999</v>
      </c>
      <c r="F792" s="4">
        <f t="shared" si="307"/>
        <v>0.142322</v>
      </c>
      <c r="G792" s="4">
        <f t="shared" si="308"/>
        <v>2.0499999999999997E-2</v>
      </c>
      <c r="H792" s="4">
        <f t="shared" si="309"/>
        <v>2.5869999999999999E-3</v>
      </c>
      <c r="I792" s="3">
        <f t="shared" si="310"/>
        <v>64.067051512216125</v>
      </c>
      <c r="J792" s="4">
        <f t="shared" si="297"/>
        <v>1476469.0866598671</v>
      </c>
      <c r="K792" s="1">
        <f t="shared" si="298"/>
        <v>2075.37</v>
      </c>
      <c r="L792" s="5">
        <f t="shared" si="299"/>
        <v>4.1095890410959138E-2</v>
      </c>
      <c r="M792" s="5">
        <f t="shared" si="300"/>
        <v>-0.36072361561851879</v>
      </c>
      <c r="N792" s="5">
        <f t="shared" si="301"/>
        <v>15.119826832241893</v>
      </c>
      <c r="O792" s="1">
        <f t="shared" si="302"/>
        <v>0</v>
      </c>
      <c r="P792" s="1">
        <f t="shared" si="303"/>
        <v>2075.37</v>
      </c>
      <c r="Q792" s="5">
        <f t="shared" si="304"/>
        <v>4.1095890410959138E-2</v>
      </c>
      <c r="R792" s="5">
        <f t="shared" si="305"/>
        <v>-0.36072361561851879</v>
      </c>
      <c r="S792" s="5">
        <f t="shared" si="311"/>
        <v>15.119826832241893</v>
      </c>
      <c r="T792" s="5">
        <f t="shared" si="312"/>
        <v>-692.25235789814622</v>
      </c>
      <c r="U792" s="4">
        <f t="shared" si="313"/>
        <v>1476492.9124212929</v>
      </c>
      <c r="V792" s="4">
        <f t="shared" si="306"/>
        <v>23.826145901812094</v>
      </c>
      <c r="W792" s="4">
        <f t="shared" si="314"/>
        <v>1466026.1766456617</v>
      </c>
      <c r="X792" s="4">
        <f t="shared" si="318"/>
        <v>-110.31731653516181</v>
      </c>
      <c r="Y792" s="9">
        <f>SUM($X$6:X792)</f>
        <v>466026.1766456617</v>
      </c>
      <c r="Z792" s="16">
        <f t="shared" si="319"/>
        <v>0.4660261766456617</v>
      </c>
      <c r="AA792" s="16">
        <f t="shared" si="315"/>
        <v>0.64240521197124634</v>
      </c>
      <c r="AB792" s="16">
        <f t="shared" si="316"/>
        <v>-7.5243551326542617E-5</v>
      </c>
      <c r="AC792" s="16">
        <f t="shared" si="317"/>
        <v>-1.0620666006248658E-3</v>
      </c>
    </row>
    <row r="793" spans="1:29" x14ac:dyDescent="0.15">
      <c r="A793" s="8">
        <v>42055</v>
      </c>
      <c r="B793" s="4">
        <v>2110.3000000000002</v>
      </c>
      <c r="C793" s="1">
        <v>13.4924</v>
      </c>
      <c r="D793" s="1">
        <v>2.0299999999999998</v>
      </c>
      <c r="E793" s="1">
        <v>0.25969999999999999</v>
      </c>
      <c r="F793" s="4">
        <f t="shared" si="307"/>
        <v>0.13492399999999999</v>
      </c>
      <c r="G793" s="4">
        <f t="shared" si="308"/>
        <v>2.0299999999999999E-2</v>
      </c>
      <c r="H793" s="4">
        <f t="shared" si="309"/>
        <v>2.5969999999999999E-3</v>
      </c>
      <c r="I793" s="3">
        <f t="shared" si="310"/>
        <v>61.31039702351481</v>
      </c>
      <c r="J793" s="4">
        <f t="shared" si="297"/>
        <v>1476492.9124212929</v>
      </c>
      <c r="K793" s="1">
        <f t="shared" si="298"/>
        <v>2075.37</v>
      </c>
      <c r="L793" s="5">
        <f t="shared" si="299"/>
        <v>3.8356164383561875E-2</v>
      </c>
      <c r="M793" s="5">
        <f t="shared" si="300"/>
        <v>-0.26769969695944451</v>
      </c>
      <c r="N793" s="5">
        <f t="shared" si="301"/>
        <v>9.2333895822741514</v>
      </c>
      <c r="O793" s="1">
        <f t="shared" si="302"/>
        <v>0</v>
      </c>
      <c r="P793" s="1">
        <f t="shared" si="303"/>
        <v>2075.37</v>
      </c>
      <c r="Q793" s="5">
        <f t="shared" si="304"/>
        <v>3.8356164383561875E-2</v>
      </c>
      <c r="R793" s="5">
        <f t="shared" si="305"/>
        <v>-0.26769969695944451</v>
      </c>
      <c r="S793" s="5">
        <f t="shared" si="311"/>
        <v>9.2333895822741514</v>
      </c>
      <c r="T793" s="5">
        <f t="shared" si="312"/>
        <v>-692.25235789814622</v>
      </c>
      <c r="U793" s="4">
        <f t="shared" si="313"/>
        <v>1476516.7385671947</v>
      </c>
      <c r="V793" s="4">
        <f t="shared" si="306"/>
        <v>23.826530384002126</v>
      </c>
      <c r="W793" s="4">
        <f t="shared" si="314"/>
        <v>1470124.9028574731</v>
      </c>
      <c r="X793" s="4">
        <f t="shared" si="318"/>
        <v>4098.7262118114159</v>
      </c>
      <c r="Y793" s="9">
        <f>SUM($X$6:X793)</f>
        <v>470124.90285747312</v>
      </c>
      <c r="Z793" s="16">
        <f t="shared" si="319"/>
        <v>0.4701249028574731</v>
      </c>
      <c r="AA793" s="16">
        <f t="shared" si="315"/>
        <v>0.6524673860272816</v>
      </c>
      <c r="AB793" s="16">
        <f t="shared" si="316"/>
        <v>2.7958069761001799E-3</v>
      </c>
      <c r="AC793" s="16">
        <f t="shared" si="317"/>
        <v>6.1264869245990913E-3</v>
      </c>
    </row>
    <row r="794" spans="1:29" x14ac:dyDescent="0.15">
      <c r="A794" s="8">
        <v>42058</v>
      </c>
      <c r="B794" s="4">
        <v>2109.66</v>
      </c>
      <c r="C794" s="1">
        <v>13.4034</v>
      </c>
      <c r="D794" s="1">
        <v>2.0299999999999998</v>
      </c>
      <c r="E794" s="1">
        <v>0.25869999999999999</v>
      </c>
      <c r="F794" s="4">
        <f t="shared" si="307"/>
        <v>0.13403399999999999</v>
      </c>
      <c r="G794" s="4">
        <f t="shared" si="308"/>
        <v>2.0299999999999999E-2</v>
      </c>
      <c r="H794" s="4">
        <f t="shared" si="309"/>
        <v>2.5869999999999999E-3</v>
      </c>
      <c r="I794" s="3">
        <f t="shared" si="310"/>
        <v>60.922706858676854</v>
      </c>
      <c r="J794" s="4">
        <f t="shared" si="297"/>
        <v>1476516.7385671947</v>
      </c>
      <c r="K794" s="1">
        <f t="shared" si="298"/>
        <v>2075.37</v>
      </c>
      <c r="L794" s="5">
        <f t="shared" si="299"/>
        <v>3.0136986301370093E-2</v>
      </c>
      <c r="M794" s="5">
        <f t="shared" si="300"/>
        <v>-0.24401493787315434</v>
      </c>
      <c r="N794" s="5">
        <f t="shared" si="301"/>
        <v>7.1762530240012614</v>
      </c>
      <c r="O794" s="1">
        <f t="shared" si="302"/>
        <v>0</v>
      </c>
      <c r="P794" s="1">
        <f t="shared" si="303"/>
        <v>2075.37</v>
      </c>
      <c r="Q794" s="5">
        <f t="shared" si="304"/>
        <v>3.0136986301370093E-2</v>
      </c>
      <c r="R794" s="5">
        <f t="shared" si="305"/>
        <v>-0.24401493787315434</v>
      </c>
      <c r="S794" s="5">
        <f t="shared" si="311"/>
        <v>7.1762530240012614</v>
      </c>
      <c r="T794" s="5">
        <f t="shared" si="312"/>
        <v>-692.25235789814622</v>
      </c>
      <c r="U794" s="4">
        <f t="shared" si="313"/>
        <v>1476540.5650975786</v>
      </c>
      <c r="V794" s="4">
        <f t="shared" si="306"/>
        <v>71.480744617189615</v>
      </c>
      <c r="W794" s="4">
        <f t="shared" si="314"/>
        <v>1471572.78702084</v>
      </c>
      <c r="X794" s="4">
        <f t="shared" si="318"/>
        <v>1447.8841633668635</v>
      </c>
      <c r="Y794" s="9">
        <f>SUM($X$6:X794)</f>
        <v>471572.78702083998</v>
      </c>
      <c r="Z794" s="16">
        <f t="shared" si="319"/>
        <v>0.47157278702083999</v>
      </c>
      <c r="AA794" s="16">
        <f t="shared" si="315"/>
        <v>0.65196623494589134</v>
      </c>
      <c r="AB794" s="16">
        <f t="shared" si="316"/>
        <v>9.8487153067920935E-4</v>
      </c>
      <c r="AC794" s="16">
        <f t="shared" si="317"/>
        <v>-3.0327441595997124E-4</v>
      </c>
    </row>
    <row r="795" spans="1:29" x14ac:dyDescent="0.15">
      <c r="A795" s="8">
        <v>42059</v>
      </c>
      <c r="B795" s="4">
        <v>2115.48</v>
      </c>
      <c r="C795" s="1">
        <v>12.871</v>
      </c>
      <c r="D795" s="1">
        <v>2.0299999999999998</v>
      </c>
      <c r="E795" s="1">
        <v>0.25819999999999999</v>
      </c>
      <c r="F795" s="4">
        <f t="shared" si="307"/>
        <v>0.12870999999999999</v>
      </c>
      <c r="G795" s="4">
        <f t="shared" si="308"/>
        <v>2.0299999999999999E-2</v>
      </c>
      <c r="H795" s="4">
        <f t="shared" si="309"/>
        <v>2.5819999999999997E-3</v>
      </c>
      <c r="I795" s="3">
        <f t="shared" si="310"/>
        <v>58.861331462680916</v>
      </c>
      <c r="J795" s="4">
        <f t="shared" si="297"/>
        <v>1476540.5650975786</v>
      </c>
      <c r="K795" s="1">
        <f t="shared" si="298"/>
        <v>2075.37</v>
      </c>
      <c r="L795" s="5">
        <f t="shared" si="299"/>
        <v>2.7397260273972834E-2</v>
      </c>
      <c r="M795" s="5">
        <f t="shared" si="300"/>
        <v>-0.18760010354209733</v>
      </c>
      <c r="N795" s="5">
        <f t="shared" si="301"/>
        <v>4.6844439541737737</v>
      </c>
      <c r="O795" s="1">
        <f t="shared" si="302"/>
        <v>0</v>
      </c>
      <c r="P795" s="1">
        <f t="shared" si="303"/>
        <v>2075.37</v>
      </c>
      <c r="Q795" s="5">
        <f t="shared" si="304"/>
        <v>2.7397260273972834E-2</v>
      </c>
      <c r="R795" s="5">
        <f t="shared" si="305"/>
        <v>-0.18760010354209733</v>
      </c>
      <c r="S795" s="5">
        <f t="shared" si="311"/>
        <v>4.6844439541737737</v>
      </c>
      <c r="T795" s="5">
        <f t="shared" si="312"/>
        <v>-692.25235789814622</v>
      </c>
      <c r="U795" s="4">
        <f t="shared" si="313"/>
        <v>1476612.0458421959</v>
      </c>
      <c r="V795" s="4">
        <f t="shared" si="306"/>
        <v>23.828068356193238</v>
      </c>
      <c r="W795" s="4">
        <f t="shared" si="314"/>
        <v>1473369.2284694773</v>
      </c>
      <c r="X795" s="4">
        <f t="shared" si="318"/>
        <v>1796.4414486372843</v>
      </c>
      <c r="Y795" s="9">
        <f>SUM($X$6:X795)</f>
        <v>473369.22846947727</v>
      </c>
      <c r="Z795" s="16">
        <f t="shared" si="319"/>
        <v>0.47336922846947727</v>
      </c>
      <c r="AA795" s="16">
        <f t="shared" si="315"/>
        <v>0.6565235775922823</v>
      </c>
      <c r="AB795" s="16">
        <f t="shared" si="316"/>
        <v>1.2207628902095508E-3</v>
      </c>
      <c r="AC795" s="16">
        <f t="shared" si="317"/>
        <v>2.7587383749040906E-3</v>
      </c>
    </row>
    <row r="796" spans="1:29" x14ac:dyDescent="0.15">
      <c r="A796" s="8">
        <v>42060</v>
      </c>
      <c r="B796" s="4">
        <v>2113.86</v>
      </c>
      <c r="C796" s="1">
        <v>12.858700000000001</v>
      </c>
      <c r="D796" s="1">
        <v>2.0299999999999998</v>
      </c>
      <c r="E796" s="1">
        <v>0.25800000000000001</v>
      </c>
      <c r="F796" s="4">
        <f t="shared" si="307"/>
        <v>0.12858700000000001</v>
      </c>
      <c r="G796" s="4">
        <f t="shared" si="308"/>
        <v>2.0299999999999999E-2</v>
      </c>
      <c r="H796" s="4">
        <f t="shared" si="309"/>
        <v>2.5800000000000003E-3</v>
      </c>
      <c r="I796" s="3">
        <f t="shared" si="310"/>
        <v>58.765329132547294</v>
      </c>
      <c r="J796" s="4">
        <f t="shared" ref="J796:J859" si="320">U795</f>
        <v>1476612.0458421959</v>
      </c>
      <c r="K796" s="1">
        <f t="shared" ref="K796:K859" si="321">P795</f>
        <v>2075.37</v>
      </c>
      <c r="L796" s="5">
        <f t="shared" ref="L796:L859" si="322">Q795-(A796-A795)/365</f>
        <v>2.4657534246575574E-2</v>
      </c>
      <c r="M796" s="5">
        <f t="shared" ref="M796:M859" si="323">BSM_Put(B796,K796,F796,H796,G796,L796,$G$3)</f>
        <v>-0.18435497243843432</v>
      </c>
      <c r="N796" s="5">
        <f t="shared" ref="N796:N859" si="324">BSM_Put(B796,K796,F796,H796,G796,L796,$F$3)</f>
        <v>4.3367309873010473</v>
      </c>
      <c r="O796" s="1">
        <f t="shared" ref="O796:O859" si="325">IF(OR(M796&gt;-0.05,L796&lt;=0.00001),1,0)</f>
        <v>0</v>
      </c>
      <c r="P796" s="1">
        <f t="shared" ref="P796:P859" si="326">IF(O796,B796,K796)</f>
        <v>2075.37</v>
      </c>
      <c r="Q796" s="5">
        <f t="shared" ref="Q796:Q859" si="327">IF(O796,$B$3,L796)</f>
        <v>2.4657534246575574E-2</v>
      </c>
      <c r="R796" s="5">
        <f t="shared" ref="R796:R859" si="328">IF(O796,BSM_Put(B796,P796,F796,H796,G796,Q796,$G$3),M796)</f>
        <v>-0.18435497243843432</v>
      </c>
      <c r="S796" s="5">
        <f t="shared" si="311"/>
        <v>4.3367309873010473</v>
      </c>
      <c r="T796" s="5">
        <f t="shared" si="312"/>
        <v>-692.25235789814622</v>
      </c>
      <c r="U796" s="4">
        <f t="shared" si="313"/>
        <v>1476635.8739105521</v>
      </c>
      <c r="V796" s="4">
        <f t="shared" ref="V796:V859" si="329">U796*$H$6*(A796-A795)/365</f>
        <v>23.82845286940589</v>
      </c>
      <c r="W796" s="4">
        <f t="shared" si="314"/>
        <v>1473633.7616590231</v>
      </c>
      <c r="X796" s="4">
        <f t="shared" si="318"/>
        <v>264.5331895458512</v>
      </c>
      <c r="Y796" s="9">
        <f>SUM($X$6:X796)</f>
        <v>473633.76165902312</v>
      </c>
      <c r="Z796" s="16">
        <f t="shared" si="319"/>
        <v>0.4736337616590231</v>
      </c>
      <c r="AA796" s="16">
        <f t="shared" si="315"/>
        <v>0.6552550389175138</v>
      </c>
      <c r="AB796" s="16">
        <f t="shared" si="316"/>
        <v>1.7954303947330697E-4</v>
      </c>
      <c r="AC796" s="16">
        <f t="shared" si="317"/>
        <v>-7.6578365193709743E-4</v>
      </c>
    </row>
    <row r="797" spans="1:29" x14ac:dyDescent="0.15">
      <c r="A797" s="8">
        <v>42061</v>
      </c>
      <c r="B797" s="4">
        <v>2110.7399999999998</v>
      </c>
      <c r="C797" s="1">
        <v>13.027100000000001</v>
      </c>
      <c r="D797" s="1">
        <v>2.0299999999999998</v>
      </c>
      <c r="E797" s="1">
        <v>0.26740000000000003</v>
      </c>
      <c r="F797" s="4">
        <f t="shared" si="307"/>
        <v>0.130271</v>
      </c>
      <c r="G797" s="4">
        <f t="shared" si="308"/>
        <v>2.0299999999999999E-2</v>
      </c>
      <c r="H797" s="4">
        <f t="shared" si="309"/>
        <v>2.6740000000000002E-3</v>
      </c>
      <c r="I797" s="3">
        <f t="shared" si="310"/>
        <v>59.355915472956667</v>
      </c>
      <c r="J797" s="4">
        <f t="shared" si="320"/>
        <v>1476635.8739105521</v>
      </c>
      <c r="K797" s="1">
        <f t="shared" si="321"/>
        <v>2075.37</v>
      </c>
      <c r="L797" s="5">
        <f t="shared" si="322"/>
        <v>2.1917808219178315E-2</v>
      </c>
      <c r="M797" s="5">
        <f t="shared" si="323"/>
        <v>-0.1932022436375252</v>
      </c>
      <c r="N797" s="5">
        <f t="shared" si="324"/>
        <v>4.3885971298275939</v>
      </c>
      <c r="O797" s="1">
        <f t="shared" si="325"/>
        <v>0</v>
      </c>
      <c r="P797" s="1">
        <f t="shared" si="326"/>
        <v>2075.37</v>
      </c>
      <c r="Q797" s="5">
        <f t="shared" si="327"/>
        <v>2.1917808219178315E-2</v>
      </c>
      <c r="R797" s="5">
        <f t="shared" si="328"/>
        <v>-0.1932022436375252</v>
      </c>
      <c r="S797" s="5">
        <f t="shared" si="311"/>
        <v>4.3885971298275939</v>
      </c>
      <c r="T797" s="5">
        <f t="shared" si="312"/>
        <v>-692.25235789814622</v>
      </c>
      <c r="U797" s="4">
        <f t="shared" si="313"/>
        <v>1476659.7023634214</v>
      </c>
      <c r="V797" s="4">
        <f t="shared" si="329"/>
        <v>23.828837388823427</v>
      </c>
      <c r="W797" s="4">
        <f t="shared" si="314"/>
        <v>1473621.6856524332</v>
      </c>
      <c r="X797" s="4">
        <f t="shared" si="318"/>
        <v>-12.076006589923054</v>
      </c>
      <c r="Y797" s="9">
        <f>SUM($X$6:X797)</f>
        <v>473621.6856524332</v>
      </c>
      <c r="Z797" s="16">
        <f t="shared" si="319"/>
        <v>0.47362168565243318</v>
      </c>
      <c r="AA797" s="16">
        <f t="shared" si="315"/>
        <v>0.65281192739573701</v>
      </c>
      <c r="AB797" s="16">
        <f t="shared" si="316"/>
        <v>-8.1947135741025875E-6</v>
      </c>
      <c r="AC797" s="16">
        <f t="shared" si="317"/>
        <v>-1.4759728648067259E-3</v>
      </c>
    </row>
    <row r="798" spans="1:29" x14ac:dyDescent="0.15">
      <c r="A798" s="8">
        <v>42062</v>
      </c>
      <c r="B798" s="4">
        <v>2104.5</v>
      </c>
      <c r="C798" s="1">
        <v>13.0374</v>
      </c>
      <c r="D798" s="1">
        <v>2.04</v>
      </c>
      <c r="E798" s="1">
        <v>0.26769999999999999</v>
      </c>
      <c r="F798" s="4">
        <f t="shared" si="307"/>
        <v>0.13037399999999999</v>
      </c>
      <c r="G798" s="4">
        <f t="shared" si="308"/>
        <v>2.0400000000000001E-2</v>
      </c>
      <c r="H798" s="4">
        <f t="shared" si="309"/>
        <v>2.6770000000000001E-3</v>
      </c>
      <c r="I798" s="3">
        <f t="shared" si="310"/>
        <v>59.24935937941089</v>
      </c>
      <c r="J798" s="4">
        <f t="shared" si="320"/>
        <v>1476659.7023634214</v>
      </c>
      <c r="K798" s="1">
        <f t="shared" si="321"/>
        <v>2075.37</v>
      </c>
      <c r="L798" s="5">
        <f t="shared" si="322"/>
        <v>1.9178082191781055E-2</v>
      </c>
      <c r="M798" s="5">
        <f t="shared" si="323"/>
        <v>-0.22288051892943692</v>
      </c>
      <c r="N798" s="5">
        <f t="shared" si="324"/>
        <v>4.9209070702155966</v>
      </c>
      <c r="O798" s="1">
        <f t="shared" si="325"/>
        <v>0</v>
      </c>
      <c r="P798" s="1">
        <f t="shared" si="326"/>
        <v>2075.37</v>
      </c>
      <c r="Q798" s="5">
        <f t="shared" si="327"/>
        <v>1.9178082191781055E-2</v>
      </c>
      <c r="R798" s="5">
        <f t="shared" si="328"/>
        <v>-0.22288051892943692</v>
      </c>
      <c r="S798" s="5">
        <f t="shared" si="311"/>
        <v>4.9209070702155966</v>
      </c>
      <c r="T798" s="5">
        <f t="shared" si="312"/>
        <v>-692.25235789814622</v>
      </c>
      <c r="U798" s="4">
        <f t="shared" si="313"/>
        <v>1476683.5312008103</v>
      </c>
      <c r="V798" s="4">
        <f t="shared" si="329"/>
        <v>23.829221914445952</v>
      </c>
      <c r="W798" s="4">
        <f t="shared" si="314"/>
        <v>1473277.0216784559</v>
      </c>
      <c r="X798" s="4">
        <f t="shared" si="318"/>
        <v>-344.66397397732362</v>
      </c>
      <c r="Y798" s="9">
        <f>SUM($X$6:X798)</f>
        <v>473277.02167845587</v>
      </c>
      <c r="Z798" s="16">
        <f t="shared" si="319"/>
        <v>0.47327702167845587</v>
      </c>
      <c r="AA798" s="16">
        <f t="shared" si="315"/>
        <v>0.647925704352184</v>
      </c>
      <c r="AB798" s="16">
        <f t="shared" si="316"/>
        <v>-2.3388904854825522E-4</v>
      </c>
      <c r="AC798" s="16">
        <f t="shared" si="317"/>
        <v>-2.9563091617156932E-3</v>
      </c>
    </row>
    <row r="799" spans="1:29" x14ac:dyDescent="0.15">
      <c r="A799" s="8">
        <v>42065</v>
      </c>
      <c r="B799" s="4">
        <v>2117.39</v>
      </c>
      <c r="C799" s="1">
        <v>12.5943</v>
      </c>
      <c r="D799" s="1">
        <v>2.02</v>
      </c>
      <c r="E799" s="1">
        <v>0.26669999999999999</v>
      </c>
      <c r="F799" s="4">
        <f t="shared" si="307"/>
        <v>0.125943</v>
      </c>
      <c r="G799" s="4">
        <f t="shared" si="308"/>
        <v>2.0199999999999999E-2</v>
      </c>
      <c r="H799" s="4">
        <f t="shared" si="309"/>
        <v>2.6670000000000001E-3</v>
      </c>
      <c r="I799" s="3">
        <f t="shared" si="310"/>
        <v>57.70283149198557</v>
      </c>
      <c r="J799" s="4">
        <f t="shared" si="320"/>
        <v>1476683.5312008103</v>
      </c>
      <c r="K799" s="1">
        <f t="shared" si="321"/>
        <v>2075.37</v>
      </c>
      <c r="L799" s="5">
        <f t="shared" si="322"/>
        <v>1.0958904109589275E-2</v>
      </c>
      <c r="M799" s="5">
        <f t="shared" si="323"/>
        <v>-6.5205888342363891E-2</v>
      </c>
      <c r="N799" s="5">
        <f t="shared" si="324"/>
        <v>0.7992645680768623</v>
      </c>
      <c r="O799" s="1">
        <f t="shared" si="325"/>
        <v>0</v>
      </c>
      <c r="P799" s="1">
        <f t="shared" si="326"/>
        <v>2075.37</v>
      </c>
      <c r="Q799" s="5">
        <f t="shared" si="327"/>
        <v>1.0958904109589275E-2</v>
      </c>
      <c r="R799" s="5">
        <f t="shared" si="328"/>
        <v>-6.5205888342363891E-2</v>
      </c>
      <c r="S799" s="5">
        <f t="shared" si="311"/>
        <v>0.7992645680768623</v>
      </c>
      <c r="T799" s="5">
        <f t="shared" si="312"/>
        <v>-692.25235789814622</v>
      </c>
      <c r="U799" s="4">
        <f t="shared" si="313"/>
        <v>1476707.3604227249</v>
      </c>
      <c r="V799" s="4">
        <f t="shared" si="329"/>
        <v>71.488819338820676</v>
      </c>
      <c r="W799" s="4">
        <f t="shared" si="314"/>
        <v>1476154.0676408892</v>
      </c>
      <c r="X799" s="4">
        <f t="shared" si="318"/>
        <v>2877.0459624333307</v>
      </c>
      <c r="Y799" s="9">
        <f>SUM($X$6:X799)</f>
        <v>476154.0676408892</v>
      </c>
      <c r="Z799" s="16">
        <f t="shared" si="319"/>
        <v>0.47615406764088919</v>
      </c>
      <c r="AA799" s="16">
        <f t="shared" si="315"/>
        <v>0.65801920035080574</v>
      </c>
      <c r="AB799" s="16">
        <f t="shared" si="316"/>
        <v>1.9528207662911944E-3</v>
      </c>
      <c r="AC799" s="16">
        <f t="shared" si="317"/>
        <v>6.1249703017343185E-3</v>
      </c>
    </row>
    <row r="800" spans="1:29" x14ac:dyDescent="0.15">
      <c r="A800" s="8">
        <v>42066</v>
      </c>
      <c r="B800" s="4">
        <v>2107.7800000000002</v>
      </c>
      <c r="C800" s="1">
        <v>13.0451</v>
      </c>
      <c r="D800" s="1">
        <v>2.0299999999999998</v>
      </c>
      <c r="E800" s="1">
        <v>0.27100000000000002</v>
      </c>
      <c r="F800" s="4">
        <f t="shared" si="307"/>
        <v>0.13045099999999998</v>
      </c>
      <c r="G800" s="4">
        <f t="shared" si="308"/>
        <v>2.0299999999999999E-2</v>
      </c>
      <c r="H800" s="4">
        <f t="shared" si="309"/>
        <v>2.7100000000000002E-3</v>
      </c>
      <c r="I800" s="3">
        <f t="shared" si="310"/>
        <v>59.337620434462686</v>
      </c>
      <c r="J800" s="4">
        <f t="shared" si="320"/>
        <v>1476707.3604227249</v>
      </c>
      <c r="K800" s="1">
        <f t="shared" si="321"/>
        <v>2075.37</v>
      </c>
      <c r="L800" s="5">
        <f t="shared" si="322"/>
        <v>8.2191780821920142E-3</v>
      </c>
      <c r="M800" s="5">
        <f t="shared" si="323"/>
        <v>-9.6111960765001572E-2</v>
      </c>
      <c r="N800" s="5">
        <f t="shared" si="324"/>
        <v>1.1307867348475473</v>
      </c>
      <c r="O800" s="1">
        <f t="shared" si="325"/>
        <v>0</v>
      </c>
      <c r="P800" s="1">
        <f t="shared" si="326"/>
        <v>2075.37</v>
      </c>
      <c r="Q800" s="5">
        <f t="shared" si="327"/>
        <v>8.2191780821920142E-3</v>
      </c>
      <c r="R800" s="5">
        <f t="shared" si="328"/>
        <v>-9.6111960765001572E-2</v>
      </c>
      <c r="S800" s="5">
        <f t="shared" si="311"/>
        <v>1.1307867348475473</v>
      </c>
      <c r="T800" s="5">
        <f t="shared" si="312"/>
        <v>-692.25235789814622</v>
      </c>
      <c r="U800" s="4">
        <f t="shared" si="313"/>
        <v>1476778.8492420637</v>
      </c>
      <c r="V800" s="4">
        <f t="shared" si="329"/>
        <v>23.830760060371929</v>
      </c>
      <c r="W800" s="4">
        <f t="shared" si="314"/>
        <v>1475996.0594585855</v>
      </c>
      <c r="X800" s="4">
        <f t="shared" si="318"/>
        <v>-158.00818230374716</v>
      </c>
      <c r="Y800" s="9">
        <f>SUM($X$6:X800)</f>
        <v>475996.05945858546</v>
      </c>
      <c r="Z800" s="16">
        <f t="shared" si="319"/>
        <v>0.47599605945858547</v>
      </c>
      <c r="AA800" s="16">
        <f t="shared" si="315"/>
        <v>0.65049410364430826</v>
      </c>
      <c r="AB800" s="16">
        <f t="shared" si="316"/>
        <v>-1.0704044094548167E-4</v>
      </c>
      <c r="AC800" s="16">
        <f t="shared" si="317"/>
        <v>-4.5386064919545636E-3</v>
      </c>
    </row>
    <row r="801" spans="1:29" x14ac:dyDescent="0.15">
      <c r="A801" s="8">
        <v>42067</v>
      </c>
      <c r="B801" s="4">
        <v>2098.5300000000002</v>
      </c>
      <c r="C801" s="1">
        <v>13.0997</v>
      </c>
      <c r="D801" s="1">
        <v>2.04</v>
      </c>
      <c r="E801" s="1">
        <v>0.26929999999999998</v>
      </c>
      <c r="F801" s="4">
        <f t="shared" si="307"/>
        <v>0.130997</v>
      </c>
      <c r="G801" s="4">
        <f t="shared" si="308"/>
        <v>2.0400000000000001E-2</v>
      </c>
      <c r="H801" s="4">
        <f t="shared" si="309"/>
        <v>2.6929999999999996E-3</v>
      </c>
      <c r="I801" s="3">
        <f t="shared" si="310"/>
        <v>59.335712673149501</v>
      </c>
      <c r="J801" s="4">
        <f t="shared" si="320"/>
        <v>1476778.8492420637</v>
      </c>
      <c r="K801" s="1">
        <f t="shared" si="321"/>
        <v>2075.37</v>
      </c>
      <c r="L801" s="5">
        <f t="shared" si="322"/>
        <v>5.4794520547947539E-3</v>
      </c>
      <c r="M801" s="5">
        <f t="shared" si="323"/>
        <v>-0.12727401437714225</v>
      </c>
      <c r="N801" s="5">
        <f t="shared" si="324"/>
        <v>1.2965161825191092</v>
      </c>
      <c r="O801" s="1">
        <f t="shared" si="325"/>
        <v>0</v>
      </c>
      <c r="P801" s="1">
        <f t="shared" si="326"/>
        <v>2075.37</v>
      </c>
      <c r="Q801" s="5">
        <f t="shared" si="327"/>
        <v>5.4794520547947539E-3</v>
      </c>
      <c r="R801" s="5">
        <f t="shared" si="328"/>
        <v>-0.12727401437714225</v>
      </c>
      <c r="S801" s="5">
        <f t="shared" si="311"/>
        <v>1.2965161825191092</v>
      </c>
      <c r="T801" s="5">
        <f t="shared" si="312"/>
        <v>-692.25235789814622</v>
      </c>
      <c r="U801" s="4">
        <f t="shared" si="313"/>
        <v>1476802.680002124</v>
      </c>
      <c r="V801" s="4">
        <f t="shared" si="329"/>
        <v>23.831144617020573</v>
      </c>
      <c r="W801" s="4">
        <f t="shared" si="314"/>
        <v>1475905.163617722</v>
      </c>
      <c r="X801" s="4">
        <f t="shared" si="318"/>
        <v>-90.8958408634644</v>
      </c>
      <c r="Y801" s="9">
        <f>SUM($X$6:X801)</f>
        <v>475905.16361772199</v>
      </c>
      <c r="Z801" s="16">
        <f t="shared" si="319"/>
        <v>0.475905163617722</v>
      </c>
      <c r="AA801" s="16">
        <f t="shared" si="315"/>
        <v>0.64325090442109245</v>
      </c>
      <c r="AB801" s="16">
        <f t="shared" si="316"/>
        <v>-6.1582712420523786E-5</v>
      </c>
      <c r="AC801" s="16">
        <f t="shared" si="317"/>
        <v>-4.3885035440131316E-3</v>
      </c>
    </row>
    <row r="802" spans="1:29" x14ac:dyDescent="0.15">
      <c r="A802" s="8">
        <v>42068</v>
      </c>
      <c r="B802" s="4">
        <v>2101.04</v>
      </c>
      <c r="C802" s="1">
        <v>12.982200000000001</v>
      </c>
      <c r="D802" s="1">
        <v>2.04</v>
      </c>
      <c r="E802" s="1">
        <v>0.26950000000000002</v>
      </c>
      <c r="F802" s="4">
        <f t="shared" si="307"/>
        <v>0.12982199999999999</v>
      </c>
      <c r="G802" s="4">
        <f t="shared" si="308"/>
        <v>2.0400000000000001E-2</v>
      </c>
      <c r="H802" s="4">
        <f t="shared" si="309"/>
        <v>2.6950000000000003E-3</v>
      </c>
      <c r="I802" s="3">
        <f t="shared" si="310"/>
        <v>58.917152014427451</v>
      </c>
      <c r="J802" s="4">
        <f t="shared" si="320"/>
        <v>1476802.680002124</v>
      </c>
      <c r="K802" s="1">
        <f t="shared" si="321"/>
        <v>2075.37</v>
      </c>
      <c r="L802" s="5">
        <f t="shared" si="322"/>
        <v>2.7397260273974936E-3</v>
      </c>
      <c r="M802" s="5">
        <f t="shared" si="323"/>
        <v>-3.5509290986193175E-2</v>
      </c>
      <c r="N802" s="5">
        <f t="shared" si="324"/>
        <v>0.20157123381288836</v>
      </c>
      <c r="O802" s="1">
        <f t="shared" si="325"/>
        <v>1</v>
      </c>
      <c r="P802" s="1">
        <f t="shared" si="326"/>
        <v>2101.04</v>
      </c>
      <c r="Q802" s="5">
        <f t="shared" si="327"/>
        <v>0.24931506849315069</v>
      </c>
      <c r="R802" s="5">
        <f t="shared" si="328"/>
        <v>-0.51162448440551478</v>
      </c>
      <c r="S802" s="5">
        <f t="shared" si="311"/>
        <v>58.917152014427451</v>
      </c>
      <c r="T802" s="5">
        <f t="shared" si="312"/>
        <v>-702.82485904134739</v>
      </c>
      <c r="U802" s="4">
        <f t="shared" si="313"/>
        <v>1518095.412044507</v>
      </c>
      <c r="V802" s="4">
        <f t="shared" si="329"/>
        <v>24.497484868334645</v>
      </c>
      <c r="W802" s="4">
        <f t="shared" si="314"/>
        <v>1476686.9729848495</v>
      </c>
      <c r="X802" s="4">
        <f t="shared" si="318"/>
        <v>781.80936712748371</v>
      </c>
      <c r="Y802" s="9">
        <f>SUM($X$6:X802)</f>
        <v>476686.97298484948</v>
      </c>
      <c r="Z802" s="16">
        <f t="shared" si="319"/>
        <v>0.47668697298484947</v>
      </c>
      <c r="AA802" s="16">
        <f t="shared" si="315"/>
        <v>0.64521635631841889</v>
      </c>
      <c r="AB802" s="16">
        <f t="shared" si="316"/>
        <v>5.2971517845436722E-4</v>
      </c>
      <c r="AC802" s="16">
        <f t="shared" si="317"/>
        <v>1.1960753479815696E-3</v>
      </c>
    </row>
    <row r="803" spans="1:29" x14ac:dyDescent="0.15">
      <c r="A803" s="8">
        <v>42069</v>
      </c>
      <c r="B803" s="4">
        <v>2071.2600000000002</v>
      </c>
      <c r="C803" s="1">
        <v>14.0298</v>
      </c>
      <c r="D803" s="1">
        <v>2.0699999999999998</v>
      </c>
      <c r="E803" s="1">
        <v>0.27050000000000002</v>
      </c>
      <c r="F803" s="4">
        <f t="shared" si="307"/>
        <v>0.14029800000000001</v>
      </c>
      <c r="G803" s="4">
        <f t="shared" si="308"/>
        <v>2.07E-2</v>
      </c>
      <c r="H803" s="4">
        <f t="shared" si="309"/>
        <v>2.7050000000000004E-3</v>
      </c>
      <c r="I803" s="3">
        <f t="shared" si="310"/>
        <v>62.456284902361489</v>
      </c>
      <c r="J803" s="4">
        <f t="shared" si="320"/>
        <v>1518095.412044507</v>
      </c>
      <c r="K803" s="1">
        <f t="shared" si="321"/>
        <v>2101.04</v>
      </c>
      <c r="L803" s="5">
        <f t="shared" si="322"/>
        <v>0.24657534246575344</v>
      </c>
      <c r="M803" s="5">
        <f t="shared" si="323"/>
        <v>-0.58940053038738327</v>
      </c>
      <c r="N803" s="5">
        <f t="shared" si="324"/>
        <v>79.336596405477067</v>
      </c>
      <c r="O803" s="1">
        <f t="shared" si="325"/>
        <v>0</v>
      </c>
      <c r="P803" s="1">
        <f t="shared" si="326"/>
        <v>2101.04</v>
      </c>
      <c r="Q803" s="5">
        <f t="shared" si="327"/>
        <v>0.24657534246575344</v>
      </c>
      <c r="R803" s="5">
        <f t="shared" si="328"/>
        <v>-0.58940053038738327</v>
      </c>
      <c r="S803" s="5">
        <f t="shared" si="311"/>
        <v>79.336596405477067</v>
      </c>
      <c r="T803" s="5">
        <f t="shared" si="312"/>
        <v>-702.82485904134739</v>
      </c>
      <c r="U803" s="4">
        <f t="shared" si="313"/>
        <v>1518119.9095293754</v>
      </c>
      <c r="V803" s="4">
        <f t="shared" si="329"/>
        <v>24.497880183912386</v>
      </c>
      <c r="W803" s="4">
        <f t="shared" si="314"/>
        <v>1462360.1773438756</v>
      </c>
      <c r="X803" s="4">
        <f t="shared" si="318"/>
        <v>-14326.79564097384</v>
      </c>
      <c r="Y803" s="9">
        <f>SUM($X$6:X803)</f>
        <v>462360.17734387564</v>
      </c>
      <c r="Z803" s="16">
        <f t="shared" si="319"/>
        <v>0.46236017734387563</v>
      </c>
      <c r="AA803" s="16">
        <f t="shared" si="315"/>
        <v>0.62189717006248757</v>
      </c>
      <c r="AB803" s="16">
        <f t="shared" si="316"/>
        <v>-9.7019855277891923E-3</v>
      </c>
      <c r="AC803" s="16">
        <f t="shared" si="317"/>
        <v>-1.4173932909416168E-2</v>
      </c>
    </row>
    <row r="804" spans="1:29" x14ac:dyDescent="0.15">
      <c r="A804" s="8">
        <v>42072</v>
      </c>
      <c r="B804" s="4">
        <v>2079.4299999999998</v>
      </c>
      <c r="C804" s="1">
        <v>13.9702</v>
      </c>
      <c r="D804" s="1">
        <v>2.06</v>
      </c>
      <c r="E804" s="1">
        <v>0.27250000000000002</v>
      </c>
      <c r="F804" s="4">
        <f t="shared" si="307"/>
        <v>0.13970199999999999</v>
      </c>
      <c r="G804" s="4">
        <f t="shared" si="308"/>
        <v>2.06E-2</v>
      </c>
      <c r="H804" s="4">
        <f t="shared" si="309"/>
        <v>2.725E-3</v>
      </c>
      <c r="I804" s="3">
        <f t="shared" si="310"/>
        <v>62.425163979266046</v>
      </c>
      <c r="J804" s="4">
        <f t="shared" si="320"/>
        <v>1518119.9095293754</v>
      </c>
      <c r="K804" s="1">
        <f t="shared" si="321"/>
        <v>2101.04</v>
      </c>
      <c r="L804" s="5">
        <f t="shared" si="322"/>
        <v>0.23835616438356166</v>
      </c>
      <c r="M804" s="5">
        <f t="shared" si="323"/>
        <v>-0.5686042836704317</v>
      </c>
      <c r="N804" s="5">
        <f t="shared" si="324"/>
        <v>73.215952637183136</v>
      </c>
      <c r="O804" s="1">
        <f t="shared" si="325"/>
        <v>0</v>
      </c>
      <c r="P804" s="1">
        <f t="shared" si="326"/>
        <v>2101.04</v>
      </c>
      <c r="Q804" s="5">
        <f t="shared" si="327"/>
        <v>0.23835616438356166</v>
      </c>
      <c r="R804" s="5">
        <f t="shared" si="328"/>
        <v>-0.5686042836704317</v>
      </c>
      <c r="S804" s="5">
        <f t="shared" si="311"/>
        <v>73.215952637183136</v>
      </c>
      <c r="T804" s="5">
        <f t="shared" si="312"/>
        <v>-702.82485904134739</v>
      </c>
      <c r="U804" s="4">
        <f t="shared" si="313"/>
        <v>1518144.4074095592</v>
      </c>
      <c r="V804" s="4">
        <f t="shared" si="329"/>
        <v>73.494826517607962</v>
      </c>
      <c r="W804" s="4">
        <f t="shared" si="314"/>
        <v>1466686.4158177529</v>
      </c>
      <c r="X804" s="4">
        <f t="shared" si="318"/>
        <v>4326.2384738773108</v>
      </c>
      <c r="Y804" s="9">
        <f>SUM($X$6:X804)</f>
        <v>466686.41581775295</v>
      </c>
      <c r="Z804" s="16">
        <f t="shared" si="319"/>
        <v>0.46668641581775294</v>
      </c>
      <c r="AA804" s="16">
        <f t="shared" si="315"/>
        <v>0.62829467683585727</v>
      </c>
      <c r="AB804" s="16">
        <f t="shared" si="316"/>
        <v>2.9583946150223911E-3</v>
      </c>
      <c r="AC804" s="16">
        <f t="shared" si="317"/>
        <v>3.9444589283815735E-3</v>
      </c>
    </row>
    <row r="805" spans="1:29" x14ac:dyDescent="0.15">
      <c r="A805" s="8">
        <v>42073</v>
      </c>
      <c r="B805" s="4">
        <v>2044.16</v>
      </c>
      <c r="C805" s="1">
        <v>14.9717</v>
      </c>
      <c r="D805" s="1">
        <v>2.1</v>
      </c>
      <c r="E805" s="1">
        <v>0.27360000000000001</v>
      </c>
      <c r="F805" s="4">
        <f t="shared" si="307"/>
        <v>0.14971699999999999</v>
      </c>
      <c r="G805" s="4">
        <f t="shared" si="308"/>
        <v>2.1000000000000001E-2</v>
      </c>
      <c r="H805" s="4">
        <f t="shared" si="309"/>
        <v>2.7360000000000002E-3</v>
      </c>
      <c r="I805" s="3">
        <f t="shared" si="310"/>
        <v>65.522383079878423</v>
      </c>
      <c r="J805" s="4">
        <f t="shared" si="320"/>
        <v>1518144.4074095592</v>
      </c>
      <c r="K805" s="1">
        <f t="shared" si="321"/>
        <v>2101.04</v>
      </c>
      <c r="L805" s="5">
        <f t="shared" si="322"/>
        <v>0.23561643835616441</v>
      </c>
      <c r="M805" s="5">
        <f t="shared" si="323"/>
        <v>-0.65238271186753305</v>
      </c>
      <c r="N805" s="5">
        <f t="shared" si="324"/>
        <v>98.343132895250719</v>
      </c>
      <c r="O805" s="1">
        <f t="shared" si="325"/>
        <v>0</v>
      </c>
      <c r="P805" s="1">
        <f t="shared" si="326"/>
        <v>2101.04</v>
      </c>
      <c r="Q805" s="5">
        <f t="shared" si="327"/>
        <v>0.23561643835616441</v>
      </c>
      <c r="R805" s="5">
        <f t="shared" si="328"/>
        <v>-0.65238271186753305</v>
      </c>
      <c r="S805" s="5">
        <f t="shared" si="311"/>
        <v>98.343132895250719</v>
      </c>
      <c r="T805" s="5">
        <f t="shared" si="312"/>
        <v>-702.82485904134739</v>
      </c>
      <c r="U805" s="4">
        <f t="shared" si="313"/>
        <v>1518217.9022360768</v>
      </c>
      <c r="V805" s="4">
        <f t="shared" si="329"/>
        <v>24.499461490878058</v>
      </c>
      <c r="W805" s="4">
        <f t="shared" si="314"/>
        <v>1449099.9037212876</v>
      </c>
      <c r="X805" s="4">
        <f t="shared" si="318"/>
        <v>-17586.512096465332</v>
      </c>
      <c r="Y805" s="9">
        <f>SUM($X$6:X805)</f>
        <v>449099.90372128761</v>
      </c>
      <c r="Z805" s="16">
        <f t="shared" si="319"/>
        <v>0.44909990372128761</v>
      </c>
      <c r="AA805" s="16">
        <f t="shared" si="315"/>
        <v>0.60067655395987674</v>
      </c>
      <c r="AB805" s="16">
        <f t="shared" si="316"/>
        <v>-1.1990642244177294E-2</v>
      </c>
      <c r="AC805" s="16">
        <f t="shared" si="317"/>
        <v>-1.696137883939337E-2</v>
      </c>
    </row>
    <row r="806" spans="1:29" x14ac:dyDescent="0.15">
      <c r="A806" s="8">
        <v>42074</v>
      </c>
      <c r="B806" s="4">
        <v>2040.24</v>
      </c>
      <c r="C806" s="1">
        <v>15.4384</v>
      </c>
      <c r="D806" s="1">
        <v>2.1</v>
      </c>
      <c r="E806" s="1">
        <v>0.27579999999999999</v>
      </c>
      <c r="F806" s="4">
        <f t="shared" si="307"/>
        <v>0.15438399999999999</v>
      </c>
      <c r="G806" s="4">
        <f t="shared" si="308"/>
        <v>2.1000000000000001E-2</v>
      </c>
      <c r="H806" s="4">
        <f t="shared" si="309"/>
        <v>2.758E-3</v>
      </c>
      <c r="I806" s="3">
        <f t="shared" si="310"/>
        <v>67.277065494547173</v>
      </c>
      <c r="J806" s="4">
        <f t="shared" si="320"/>
        <v>1518217.9022360768</v>
      </c>
      <c r="K806" s="1">
        <f t="shared" si="321"/>
        <v>2101.04</v>
      </c>
      <c r="L806" s="5">
        <f t="shared" si="322"/>
        <v>0.23287671232876717</v>
      </c>
      <c r="M806" s="5">
        <f t="shared" si="323"/>
        <v>-0.65731236320639586</v>
      </c>
      <c r="N806" s="5">
        <f t="shared" si="324"/>
        <v>102.20103273751708</v>
      </c>
      <c r="O806" s="1">
        <f t="shared" si="325"/>
        <v>0</v>
      </c>
      <c r="P806" s="1">
        <f t="shared" si="326"/>
        <v>2101.04</v>
      </c>
      <c r="Q806" s="5">
        <f t="shared" si="327"/>
        <v>0.23287671232876717</v>
      </c>
      <c r="R806" s="5">
        <f t="shared" si="328"/>
        <v>-0.65731236320639586</v>
      </c>
      <c r="S806" s="5">
        <f t="shared" si="311"/>
        <v>102.20103273751708</v>
      </c>
      <c r="T806" s="5">
        <f t="shared" si="312"/>
        <v>-702.82485904134739</v>
      </c>
      <c r="U806" s="4">
        <f t="shared" si="313"/>
        <v>1518242.4016975677</v>
      </c>
      <c r="V806" s="4">
        <f t="shared" si="329"/>
        <v>24.499856838352525</v>
      </c>
      <c r="W806" s="4">
        <f t="shared" si="314"/>
        <v>1446412.9752699421</v>
      </c>
      <c r="X806" s="4">
        <f t="shared" si="318"/>
        <v>-2686.928451345535</v>
      </c>
      <c r="Y806" s="9">
        <f>SUM($X$6:X806)</f>
        <v>446412.97526994208</v>
      </c>
      <c r="Z806" s="16">
        <f t="shared" si="319"/>
        <v>0.44641297526994206</v>
      </c>
      <c r="AA806" s="16">
        <f t="shared" si="315"/>
        <v>0.59760700358636254</v>
      </c>
      <c r="AB806" s="16">
        <f t="shared" si="316"/>
        <v>-1.8542051134262756E-3</v>
      </c>
      <c r="AC806" s="16">
        <f t="shared" si="317"/>
        <v>-1.9176581089543248E-3</v>
      </c>
    </row>
    <row r="807" spans="1:29" x14ac:dyDescent="0.15">
      <c r="A807" s="8">
        <v>42075</v>
      </c>
      <c r="B807" s="4">
        <v>2065.9499999999998</v>
      </c>
      <c r="C807" s="1">
        <v>14.553699999999999</v>
      </c>
      <c r="D807" s="1">
        <v>2.0699999999999998</v>
      </c>
      <c r="E807" s="1">
        <v>0.27660000000000001</v>
      </c>
      <c r="F807" s="4">
        <f t="shared" si="307"/>
        <v>0.145537</v>
      </c>
      <c r="G807" s="4">
        <f t="shared" si="308"/>
        <v>2.07E-2</v>
      </c>
      <c r="H807" s="4">
        <f t="shared" si="309"/>
        <v>2.7660000000000002E-3</v>
      </c>
      <c r="I807" s="3">
        <f t="shared" si="310"/>
        <v>64.423370575056452</v>
      </c>
      <c r="J807" s="4">
        <f t="shared" si="320"/>
        <v>1518242.4016975677</v>
      </c>
      <c r="K807" s="1">
        <f t="shared" si="321"/>
        <v>2101.04</v>
      </c>
      <c r="L807" s="5">
        <f t="shared" si="322"/>
        <v>0.23013698630136992</v>
      </c>
      <c r="M807" s="5">
        <f t="shared" si="323"/>
        <v>-0.60179020316461251</v>
      </c>
      <c r="N807" s="5">
        <f t="shared" si="324"/>
        <v>82.240157395830451</v>
      </c>
      <c r="O807" s="1">
        <f t="shared" si="325"/>
        <v>0</v>
      </c>
      <c r="P807" s="1">
        <f t="shared" si="326"/>
        <v>2101.04</v>
      </c>
      <c r="Q807" s="5">
        <f t="shared" si="327"/>
        <v>0.23013698630136992</v>
      </c>
      <c r="R807" s="5">
        <f t="shared" si="328"/>
        <v>-0.60179020316461251</v>
      </c>
      <c r="S807" s="5">
        <f t="shared" si="311"/>
        <v>82.240157395830451</v>
      </c>
      <c r="T807" s="5">
        <f t="shared" si="312"/>
        <v>-702.82485904134739</v>
      </c>
      <c r="U807" s="4">
        <f t="shared" si="313"/>
        <v>1518266.9015544059</v>
      </c>
      <c r="V807" s="4">
        <f t="shared" si="329"/>
        <v>24.500252192206712</v>
      </c>
      <c r="W807" s="4">
        <f t="shared" si="314"/>
        <v>1460466.4745251432</v>
      </c>
      <c r="X807" s="4">
        <f t="shared" si="318"/>
        <v>14053.499255201081</v>
      </c>
      <c r="Y807" s="9">
        <f>SUM($X$6:X807)</f>
        <v>460466.47452514316</v>
      </c>
      <c r="Z807" s="16">
        <f t="shared" si="319"/>
        <v>0.46046647452514317</v>
      </c>
      <c r="AA807" s="16">
        <f t="shared" si="315"/>
        <v>0.61773918218407897</v>
      </c>
      <c r="AB807" s="16">
        <f t="shared" si="316"/>
        <v>9.7161042492572326E-3</v>
      </c>
      <c r="AC807" s="16">
        <f t="shared" si="317"/>
        <v>1.2601458651923209E-2</v>
      </c>
    </row>
    <row r="808" spans="1:29" x14ac:dyDescent="0.15">
      <c r="A808" s="8">
        <v>42076</v>
      </c>
      <c r="B808" s="4">
        <v>2053.4</v>
      </c>
      <c r="C808" s="1">
        <v>15.132999999999999</v>
      </c>
      <c r="D808" s="1">
        <v>2.08</v>
      </c>
      <c r="E808" s="1">
        <v>0.2767</v>
      </c>
      <c r="F808" s="4">
        <f t="shared" si="307"/>
        <v>0.15132999999999999</v>
      </c>
      <c r="G808" s="4">
        <f t="shared" si="308"/>
        <v>2.0799999999999999E-2</v>
      </c>
      <c r="H808" s="4">
        <f t="shared" si="309"/>
        <v>2.7669999999999999E-3</v>
      </c>
      <c r="I808" s="3">
        <f t="shared" si="310"/>
        <v>66.414334649329774</v>
      </c>
      <c r="J808" s="4">
        <f t="shared" si="320"/>
        <v>1518266.9015544059</v>
      </c>
      <c r="K808" s="1">
        <f t="shared" si="321"/>
        <v>2101.04</v>
      </c>
      <c r="L808" s="5">
        <f t="shared" si="322"/>
        <v>0.22739726027397267</v>
      </c>
      <c r="M808" s="5">
        <f t="shared" si="323"/>
        <v>-0.62954828945040608</v>
      </c>
      <c r="N808" s="5">
        <f t="shared" si="324"/>
        <v>91.768249608669223</v>
      </c>
      <c r="O808" s="1">
        <f t="shared" si="325"/>
        <v>0</v>
      </c>
      <c r="P808" s="1">
        <f t="shared" si="326"/>
        <v>2101.04</v>
      </c>
      <c r="Q808" s="5">
        <f t="shared" si="327"/>
        <v>0.22739726027397267</v>
      </c>
      <c r="R808" s="5">
        <f t="shared" si="328"/>
        <v>-0.62954828945040608</v>
      </c>
      <c r="S808" s="5">
        <f t="shared" si="311"/>
        <v>91.768249608669223</v>
      </c>
      <c r="T808" s="5">
        <f t="shared" si="312"/>
        <v>-702.82485904134739</v>
      </c>
      <c r="U808" s="4">
        <f t="shared" si="313"/>
        <v>1518291.4018065981</v>
      </c>
      <c r="V808" s="4">
        <f t="shared" si="329"/>
        <v>24.500647552440718</v>
      </c>
      <c r="W808" s="4">
        <f t="shared" si="314"/>
        <v>1453794.394710914</v>
      </c>
      <c r="X808" s="4">
        <f t="shared" si="318"/>
        <v>-6672.0798142291605</v>
      </c>
      <c r="Y808" s="9">
        <f>SUM($X$6:X808)</f>
        <v>453794.394710914</v>
      </c>
      <c r="Z808" s="16">
        <f t="shared" si="319"/>
        <v>0.45379439471091398</v>
      </c>
      <c r="AA808" s="16">
        <f t="shared" si="315"/>
        <v>0.60791192269744587</v>
      </c>
      <c r="AB808" s="16">
        <f t="shared" si="316"/>
        <v>-4.5684580444741284E-3</v>
      </c>
      <c r="AC808" s="16">
        <f t="shared" si="317"/>
        <v>-6.0746871899124994E-3</v>
      </c>
    </row>
    <row r="809" spans="1:29" x14ac:dyDescent="0.15">
      <c r="A809" s="8">
        <v>42079</v>
      </c>
      <c r="B809" s="4">
        <v>2081.19</v>
      </c>
      <c r="C809" s="1">
        <v>14.53</v>
      </c>
      <c r="D809" s="1">
        <v>2.06</v>
      </c>
      <c r="E809" s="1">
        <v>0.2762</v>
      </c>
      <c r="F809" s="4">
        <f t="shared" si="307"/>
        <v>0.14529999999999998</v>
      </c>
      <c r="G809" s="4">
        <f t="shared" si="308"/>
        <v>2.06E-2</v>
      </c>
      <c r="H809" s="4">
        <f t="shared" si="309"/>
        <v>2.7620000000000001E-3</v>
      </c>
      <c r="I809" s="3">
        <f t="shared" si="310"/>
        <v>64.775678787322178</v>
      </c>
      <c r="J809" s="4">
        <f t="shared" si="320"/>
        <v>1518291.4018065981</v>
      </c>
      <c r="K809" s="1">
        <f t="shared" si="321"/>
        <v>2101.04</v>
      </c>
      <c r="L809" s="5">
        <f t="shared" si="322"/>
        <v>0.21917808219178089</v>
      </c>
      <c r="M809" s="5">
        <f t="shared" si="323"/>
        <v>-0.56220069894359126</v>
      </c>
      <c r="N809" s="5">
        <f t="shared" si="324"/>
        <v>71.664258115074404</v>
      </c>
      <c r="O809" s="1">
        <f t="shared" si="325"/>
        <v>0</v>
      </c>
      <c r="P809" s="1">
        <f t="shared" si="326"/>
        <v>2101.04</v>
      </c>
      <c r="Q809" s="5">
        <f t="shared" si="327"/>
        <v>0.21917808219178089</v>
      </c>
      <c r="R809" s="5">
        <f t="shared" si="328"/>
        <v>-0.56220069894359126</v>
      </c>
      <c r="S809" s="5">
        <f t="shared" si="311"/>
        <v>71.664258115074404</v>
      </c>
      <c r="T809" s="5">
        <f t="shared" si="312"/>
        <v>-702.82485904134739</v>
      </c>
      <c r="U809" s="4">
        <f t="shared" si="313"/>
        <v>1518315.9024541506</v>
      </c>
      <c r="V809" s="4">
        <f t="shared" si="329"/>
        <v>73.503128757163935</v>
      </c>
      <c r="W809" s="4">
        <f t="shared" si="314"/>
        <v>1467948.4803461207</v>
      </c>
      <c r="X809" s="4">
        <f t="shared" si="318"/>
        <v>14154.085635206662</v>
      </c>
      <c r="Y809" s="9">
        <f>SUM($X$6:X809)</f>
        <v>467948.48034612066</v>
      </c>
      <c r="Z809" s="16">
        <f t="shared" si="319"/>
        <v>0.46794848034612069</v>
      </c>
      <c r="AA809" s="16">
        <f t="shared" si="315"/>
        <v>0.62967284230968013</v>
      </c>
      <c r="AB809" s="16">
        <f t="shared" si="316"/>
        <v>9.7359610731070339E-3</v>
      </c>
      <c r="AC809" s="16">
        <f t="shared" si="317"/>
        <v>1.3533651504821253E-2</v>
      </c>
    </row>
    <row r="810" spans="1:29" x14ac:dyDescent="0.15">
      <c r="A810" s="8">
        <v>42080</v>
      </c>
      <c r="B810" s="4">
        <v>2074.2800000000002</v>
      </c>
      <c r="C810" s="1">
        <v>14.630700000000001</v>
      </c>
      <c r="D810" s="1">
        <v>2.06</v>
      </c>
      <c r="E810" s="1">
        <v>0.27529999999999999</v>
      </c>
      <c r="F810" s="4">
        <f t="shared" si="307"/>
        <v>0.14630700000000002</v>
      </c>
      <c r="G810" s="4">
        <f t="shared" si="308"/>
        <v>2.06E-2</v>
      </c>
      <c r="H810" s="4">
        <f t="shared" si="309"/>
        <v>2.7529999999999998E-3</v>
      </c>
      <c r="I810" s="3">
        <f t="shared" si="310"/>
        <v>64.976942149357797</v>
      </c>
      <c r="J810" s="4">
        <f t="shared" si="320"/>
        <v>1518315.9024541506</v>
      </c>
      <c r="K810" s="1">
        <f t="shared" si="321"/>
        <v>2101.04</v>
      </c>
      <c r="L810" s="5">
        <f t="shared" si="322"/>
        <v>0.21643835616438364</v>
      </c>
      <c r="M810" s="5">
        <f t="shared" si="323"/>
        <v>-0.58097528443467672</v>
      </c>
      <c r="N810" s="5">
        <f t="shared" si="324"/>
        <v>75.593028628844252</v>
      </c>
      <c r="O810" s="1">
        <f t="shared" si="325"/>
        <v>0</v>
      </c>
      <c r="P810" s="1">
        <f t="shared" si="326"/>
        <v>2101.04</v>
      </c>
      <c r="Q810" s="5">
        <f t="shared" si="327"/>
        <v>0.21643835616438364</v>
      </c>
      <c r="R810" s="5">
        <f t="shared" si="328"/>
        <v>-0.58097528443467672</v>
      </c>
      <c r="S810" s="5">
        <f t="shared" si="311"/>
        <v>75.593028628844252</v>
      </c>
      <c r="T810" s="5">
        <f t="shared" si="312"/>
        <v>-702.82485904134739</v>
      </c>
      <c r="U810" s="4">
        <f t="shared" si="313"/>
        <v>1518389.4055829078</v>
      </c>
      <c r="V810" s="4">
        <f t="shared" si="329"/>
        <v>24.502229038036507</v>
      </c>
      <c r="W810" s="4">
        <f t="shared" si="314"/>
        <v>1465260.7458923319</v>
      </c>
      <c r="X810" s="4">
        <f t="shared" si="318"/>
        <v>-2687.7344537887257</v>
      </c>
      <c r="Y810" s="9">
        <f>SUM($X$6:X810)</f>
        <v>465260.74589233194</v>
      </c>
      <c r="Z810" s="16">
        <f t="shared" si="319"/>
        <v>0.46526074589233196</v>
      </c>
      <c r="AA810" s="16">
        <f t="shared" si="315"/>
        <v>0.62426197672779693</v>
      </c>
      <c r="AB810" s="16">
        <f t="shared" si="316"/>
        <v>-1.8309460378030415E-3</v>
      </c>
      <c r="AC810" s="16">
        <f t="shared" si="317"/>
        <v>-3.3202158380541201E-3</v>
      </c>
    </row>
    <row r="811" spans="1:29" x14ac:dyDescent="0.15">
      <c r="A811" s="8">
        <v>42081</v>
      </c>
      <c r="B811" s="4">
        <v>2099.5</v>
      </c>
      <c r="C811" s="1">
        <v>13.5829</v>
      </c>
      <c r="D811" s="1">
        <v>2.04</v>
      </c>
      <c r="E811" s="1">
        <v>0.2762</v>
      </c>
      <c r="F811" s="4">
        <f t="shared" si="307"/>
        <v>0.13582900000000001</v>
      </c>
      <c r="G811" s="4">
        <f t="shared" si="308"/>
        <v>2.0400000000000001E-2</v>
      </c>
      <c r="H811" s="4">
        <f t="shared" si="309"/>
        <v>2.7620000000000001E-3</v>
      </c>
      <c r="I811" s="3">
        <f t="shared" si="310"/>
        <v>61.353143905394987</v>
      </c>
      <c r="J811" s="4">
        <f t="shared" si="320"/>
        <v>1518389.4055829078</v>
      </c>
      <c r="K811" s="1">
        <f t="shared" si="321"/>
        <v>2101.04</v>
      </c>
      <c r="L811" s="5">
        <f t="shared" si="322"/>
        <v>0.21369863013698639</v>
      </c>
      <c r="M811" s="5">
        <f t="shared" si="323"/>
        <v>-0.51383244404471151</v>
      </c>
      <c r="N811" s="5">
        <f t="shared" si="324"/>
        <v>57.324010758573323</v>
      </c>
      <c r="O811" s="1">
        <f t="shared" si="325"/>
        <v>0</v>
      </c>
      <c r="P811" s="1">
        <f t="shared" si="326"/>
        <v>2101.04</v>
      </c>
      <c r="Q811" s="5">
        <f t="shared" si="327"/>
        <v>0.21369863013698639</v>
      </c>
      <c r="R811" s="5">
        <f t="shared" si="328"/>
        <v>-0.51383244404471151</v>
      </c>
      <c r="S811" s="5">
        <f t="shared" si="311"/>
        <v>57.324010758573323</v>
      </c>
      <c r="T811" s="5">
        <f t="shared" si="312"/>
        <v>-702.82485904134739</v>
      </c>
      <c r="U811" s="4">
        <f t="shared" si="313"/>
        <v>1518413.9078119458</v>
      </c>
      <c r="V811" s="4">
        <f t="shared" si="329"/>
        <v>24.502624430170847</v>
      </c>
      <c r="W811" s="4">
        <f t="shared" si="314"/>
        <v>1478125.1680308669</v>
      </c>
      <c r="X811" s="4">
        <f t="shared" si="318"/>
        <v>12864.422138534952</v>
      </c>
      <c r="Y811" s="9">
        <f>SUM($X$6:X811)</f>
        <v>478125.16803086689</v>
      </c>
      <c r="Z811" s="16">
        <f t="shared" si="319"/>
        <v>0.47812516803086691</v>
      </c>
      <c r="AA811" s="16">
        <f t="shared" si="315"/>
        <v>0.64401046152882413</v>
      </c>
      <c r="AB811" s="16">
        <f t="shared" si="316"/>
        <v>8.7796128945641164E-3</v>
      </c>
      <c r="AC811" s="16">
        <f t="shared" si="317"/>
        <v>1.215843569816987E-2</v>
      </c>
    </row>
    <row r="812" spans="1:29" x14ac:dyDescent="0.15">
      <c r="A812" s="8">
        <v>42082</v>
      </c>
      <c r="B812" s="4">
        <v>2089.27</v>
      </c>
      <c r="C812" s="1">
        <v>13.8322</v>
      </c>
      <c r="D812" s="1">
        <v>2.0499999999999998</v>
      </c>
      <c r="E812" s="1">
        <v>0.27039999999999997</v>
      </c>
      <c r="F812" s="4">
        <f t="shared" si="307"/>
        <v>0.138322</v>
      </c>
      <c r="G812" s="4">
        <f t="shared" si="308"/>
        <v>2.0499999999999997E-2</v>
      </c>
      <c r="H812" s="4">
        <f t="shared" si="309"/>
        <v>2.7039999999999998E-3</v>
      </c>
      <c r="I812" s="3">
        <f t="shared" si="310"/>
        <v>62.128797348488746</v>
      </c>
      <c r="J812" s="4">
        <f t="shared" si="320"/>
        <v>1518413.9078119458</v>
      </c>
      <c r="K812" s="1">
        <f t="shared" si="321"/>
        <v>2101.04</v>
      </c>
      <c r="L812" s="5">
        <f t="shared" si="322"/>
        <v>0.21095890410958915</v>
      </c>
      <c r="M812" s="5">
        <f t="shared" si="323"/>
        <v>-0.54371840397836302</v>
      </c>
      <c r="N812" s="5">
        <f t="shared" si="324"/>
        <v>63.333222605215951</v>
      </c>
      <c r="O812" s="1">
        <f t="shared" si="325"/>
        <v>0</v>
      </c>
      <c r="P812" s="1">
        <f t="shared" si="326"/>
        <v>2101.04</v>
      </c>
      <c r="Q812" s="5">
        <f t="shared" si="327"/>
        <v>0.21095890410958915</v>
      </c>
      <c r="R812" s="5">
        <f t="shared" si="328"/>
        <v>-0.54371840397836302</v>
      </c>
      <c r="S812" s="5">
        <f t="shared" si="311"/>
        <v>63.333222605215951</v>
      </c>
      <c r="T812" s="5">
        <f t="shared" si="312"/>
        <v>-702.82485904134739</v>
      </c>
      <c r="U812" s="4">
        <f t="shared" si="313"/>
        <v>1518438.410436376</v>
      </c>
      <c r="V812" s="4">
        <f t="shared" si="329"/>
        <v>24.503019828685627</v>
      </c>
      <c r="W812" s="4">
        <f t="shared" si="314"/>
        <v>1473926.2471862307</v>
      </c>
      <c r="X812" s="4">
        <f t="shared" si="318"/>
        <v>-4198.920844636159</v>
      </c>
      <c r="Y812" s="9">
        <f>SUM($X$6:X812)</f>
        <v>473926.24718623073</v>
      </c>
      <c r="Z812" s="16">
        <f t="shared" si="319"/>
        <v>0.47392624718623072</v>
      </c>
      <c r="AA812" s="16">
        <f t="shared" si="315"/>
        <v>0.63599987471222974</v>
      </c>
      <c r="AB812" s="16">
        <f t="shared" si="316"/>
        <v>-2.8407072252412085E-3</v>
      </c>
      <c r="AC812" s="16">
        <f t="shared" si="317"/>
        <v>-4.8725887115980086E-3</v>
      </c>
    </row>
    <row r="813" spans="1:29" x14ac:dyDescent="0.15">
      <c r="A813" s="8">
        <v>42083</v>
      </c>
      <c r="B813" s="4">
        <v>2108.1</v>
      </c>
      <c r="C813" s="1">
        <v>13.4148</v>
      </c>
      <c r="D813" s="1">
        <v>2.0299999999999998</v>
      </c>
      <c r="E813" s="1">
        <v>0.2727</v>
      </c>
      <c r="F813" s="4">
        <f t="shared" si="307"/>
        <v>0.13414799999999999</v>
      </c>
      <c r="G813" s="4">
        <f t="shared" si="308"/>
        <v>2.0299999999999999E-2</v>
      </c>
      <c r="H813" s="4">
        <f t="shared" si="309"/>
        <v>2.7269999999999998E-3</v>
      </c>
      <c r="I813" s="3">
        <f t="shared" si="310"/>
        <v>60.885591848512689</v>
      </c>
      <c r="J813" s="4">
        <f t="shared" si="320"/>
        <v>1518438.410436376</v>
      </c>
      <c r="K813" s="1">
        <f t="shared" si="321"/>
        <v>2101.04</v>
      </c>
      <c r="L813" s="5">
        <f t="shared" si="322"/>
        <v>0.2082191780821919</v>
      </c>
      <c r="M813" s="5">
        <f t="shared" si="323"/>
        <v>-0.48770907013715836</v>
      </c>
      <c r="N813" s="5">
        <f t="shared" si="324"/>
        <v>51.583734674558826</v>
      </c>
      <c r="O813" s="1">
        <f t="shared" si="325"/>
        <v>0</v>
      </c>
      <c r="P813" s="1">
        <f t="shared" si="326"/>
        <v>2101.04</v>
      </c>
      <c r="Q813" s="5">
        <f t="shared" si="327"/>
        <v>0.2082191780821919</v>
      </c>
      <c r="R813" s="5">
        <f t="shared" si="328"/>
        <v>-0.48770907013715836</v>
      </c>
      <c r="S813" s="5">
        <f t="shared" si="311"/>
        <v>51.583734674558826</v>
      </c>
      <c r="T813" s="5">
        <f t="shared" si="312"/>
        <v>-702.82485904134739</v>
      </c>
      <c r="U813" s="4">
        <f t="shared" si="313"/>
        <v>1518462.9134562046</v>
      </c>
      <c r="V813" s="4">
        <f t="shared" si="329"/>
        <v>24.503415233580945</v>
      </c>
      <c r="W813" s="4">
        <f t="shared" si="314"/>
        <v>1482208.5824047315</v>
      </c>
      <c r="X813" s="4">
        <f t="shared" si="318"/>
        <v>8282.3352185008116</v>
      </c>
      <c r="Y813" s="9">
        <f>SUM($X$6:X813)</f>
        <v>482208.58240473154</v>
      </c>
      <c r="Z813" s="16">
        <f t="shared" si="319"/>
        <v>0.48220858240473152</v>
      </c>
      <c r="AA813" s="16">
        <f t="shared" si="315"/>
        <v>0.65074467918500301</v>
      </c>
      <c r="AB813" s="16">
        <f t="shared" si="316"/>
        <v>5.6192331429825862E-3</v>
      </c>
      <c r="AC813" s="16">
        <f t="shared" si="317"/>
        <v>9.0127173606091727E-3</v>
      </c>
    </row>
    <row r="814" spans="1:29" x14ac:dyDescent="0.15">
      <c r="A814" s="8">
        <v>42086</v>
      </c>
      <c r="B814" s="4">
        <v>2104.42</v>
      </c>
      <c r="C814" s="1">
        <v>13.493399999999999</v>
      </c>
      <c r="D814" s="1">
        <v>2.04</v>
      </c>
      <c r="E814" s="1">
        <v>0.2727</v>
      </c>
      <c r="F814" s="4">
        <f t="shared" si="307"/>
        <v>0.134934</v>
      </c>
      <c r="G814" s="4">
        <f t="shared" si="308"/>
        <v>2.0400000000000001E-2</v>
      </c>
      <c r="H814" s="4">
        <f t="shared" si="309"/>
        <v>2.7269999999999998E-3</v>
      </c>
      <c r="I814" s="3">
        <f t="shared" si="310"/>
        <v>61.133724363007872</v>
      </c>
      <c r="J814" s="4">
        <f t="shared" si="320"/>
        <v>1518462.9134562046</v>
      </c>
      <c r="K814" s="1">
        <f t="shared" si="321"/>
        <v>2101.04</v>
      </c>
      <c r="L814" s="5">
        <f t="shared" si="322"/>
        <v>0.20000000000000012</v>
      </c>
      <c r="M814" s="5">
        <f t="shared" si="323"/>
        <v>-0.49866502236371796</v>
      </c>
      <c r="N814" s="5">
        <f t="shared" si="324"/>
        <v>52.543536747574812</v>
      </c>
      <c r="O814" s="1">
        <f t="shared" si="325"/>
        <v>0</v>
      </c>
      <c r="P814" s="1">
        <f t="shared" si="326"/>
        <v>2101.04</v>
      </c>
      <c r="Q814" s="5">
        <f t="shared" si="327"/>
        <v>0.20000000000000012</v>
      </c>
      <c r="R814" s="5">
        <f t="shared" si="328"/>
        <v>-0.49866502236371796</v>
      </c>
      <c r="S814" s="5">
        <f t="shared" si="311"/>
        <v>52.543536747574812</v>
      </c>
      <c r="T814" s="5">
        <f t="shared" si="312"/>
        <v>-702.82485904134739</v>
      </c>
      <c r="U814" s="4">
        <f t="shared" si="313"/>
        <v>1518487.4168714383</v>
      </c>
      <c r="V814" s="4">
        <f t="shared" si="329"/>
        <v>73.511431934570709</v>
      </c>
      <c r="W814" s="4">
        <f t="shared" si="314"/>
        <v>1481558.5130632902</v>
      </c>
      <c r="X814" s="4">
        <f t="shared" si="318"/>
        <v>-650.06934144138359</v>
      </c>
      <c r="Y814" s="9">
        <f>SUM($X$6:X814)</f>
        <v>481558.51306329016</v>
      </c>
      <c r="Z814" s="16">
        <f t="shared" si="319"/>
        <v>0.48155851306329017</v>
      </c>
      <c r="AA814" s="16">
        <f t="shared" si="315"/>
        <v>0.64786306046701025</v>
      </c>
      <c r="AB814" s="16">
        <f t="shared" si="316"/>
        <v>-4.3858155266292731E-4</v>
      </c>
      <c r="AC814" s="16">
        <f t="shared" si="317"/>
        <v>-1.7456477396707161E-3</v>
      </c>
    </row>
    <row r="815" spans="1:29" x14ac:dyDescent="0.15">
      <c r="A815" s="8">
        <v>42087</v>
      </c>
      <c r="B815" s="4">
        <v>2091.5</v>
      </c>
      <c r="C815" s="1">
        <v>13.697800000000001</v>
      </c>
      <c r="D815" s="1">
        <v>2.0499999999999998</v>
      </c>
      <c r="E815" s="1">
        <v>0.27529999999999999</v>
      </c>
      <c r="F815" s="4">
        <f t="shared" si="307"/>
        <v>0.13697800000000002</v>
      </c>
      <c r="G815" s="4">
        <f t="shared" si="308"/>
        <v>2.0499999999999997E-2</v>
      </c>
      <c r="H815" s="4">
        <f t="shared" si="309"/>
        <v>2.7529999999999998E-3</v>
      </c>
      <c r="I815" s="3">
        <f t="shared" si="310"/>
        <v>61.624506189432481</v>
      </c>
      <c r="J815" s="4">
        <f t="shared" si="320"/>
        <v>1518487.4168714383</v>
      </c>
      <c r="K815" s="1">
        <f t="shared" si="321"/>
        <v>2101.04</v>
      </c>
      <c r="L815" s="5">
        <f t="shared" si="322"/>
        <v>0.19726027397260287</v>
      </c>
      <c r="M815" s="5">
        <f t="shared" si="323"/>
        <v>-0.53841206544598763</v>
      </c>
      <c r="N815" s="5">
        <f t="shared" si="324"/>
        <v>59.617333085560347</v>
      </c>
      <c r="O815" s="1">
        <f t="shared" si="325"/>
        <v>0</v>
      </c>
      <c r="P815" s="1">
        <f t="shared" si="326"/>
        <v>2101.04</v>
      </c>
      <c r="Q815" s="5">
        <f t="shared" si="327"/>
        <v>0.19726027397260287</v>
      </c>
      <c r="R815" s="5">
        <f t="shared" si="328"/>
        <v>-0.53841206544598763</v>
      </c>
      <c r="S815" s="5">
        <f t="shared" si="311"/>
        <v>59.617333085560347</v>
      </c>
      <c r="T815" s="5">
        <f t="shared" si="312"/>
        <v>-702.82485904134739</v>
      </c>
      <c r="U815" s="4">
        <f t="shared" si="313"/>
        <v>1518560.9283033728</v>
      </c>
      <c r="V815" s="4">
        <f t="shared" si="329"/>
        <v>24.504996897827031</v>
      </c>
      <c r="W815" s="4">
        <f t="shared" si="314"/>
        <v>1476660.3845810927</v>
      </c>
      <c r="X815" s="4">
        <f t="shared" si="318"/>
        <v>-4898.1284821974114</v>
      </c>
      <c r="Y815" s="9">
        <f>SUM($X$6:X815)</f>
        <v>476660.38458109275</v>
      </c>
      <c r="Z815" s="16">
        <f t="shared" si="319"/>
        <v>0.47666038458109272</v>
      </c>
      <c r="AA815" s="16">
        <f t="shared" si="315"/>
        <v>0.63774607301144826</v>
      </c>
      <c r="AB815" s="16">
        <f t="shared" si="316"/>
        <v>-3.3060648222863471E-3</v>
      </c>
      <c r="AC815" s="16">
        <f t="shared" si="317"/>
        <v>-6.1394588532707696E-3</v>
      </c>
    </row>
    <row r="816" spans="1:29" x14ac:dyDescent="0.15">
      <c r="A816" s="8">
        <v>42088</v>
      </c>
      <c r="B816" s="4">
        <v>2061.0500000000002</v>
      </c>
      <c r="C816" s="1">
        <v>14.9032</v>
      </c>
      <c r="D816" s="1">
        <v>2.08</v>
      </c>
      <c r="E816" s="1">
        <v>0.27439999999999998</v>
      </c>
      <c r="F816" s="4">
        <f t="shared" si="307"/>
        <v>0.149032</v>
      </c>
      <c r="G816" s="4">
        <f t="shared" si="308"/>
        <v>2.0799999999999999E-2</v>
      </c>
      <c r="H816" s="4">
        <f t="shared" si="309"/>
        <v>2.7439999999999999E-3</v>
      </c>
      <c r="I816" s="3">
        <f t="shared" si="310"/>
        <v>65.72978584438691</v>
      </c>
      <c r="J816" s="4">
        <f t="shared" si="320"/>
        <v>1518560.9283033728</v>
      </c>
      <c r="K816" s="1">
        <f t="shared" si="321"/>
        <v>2101.04</v>
      </c>
      <c r="L816" s="5">
        <f t="shared" si="322"/>
        <v>0.19452054794520562</v>
      </c>
      <c r="M816" s="5">
        <f t="shared" si="323"/>
        <v>-0.62031894144933375</v>
      </c>
      <c r="N816" s="5">
        <f t="shared" si="324"/>
        <v>81.253144272721812</v>
      </c>
      <c r="O816" s="1">
        <f t="shared" si="325"/>
        <v>0</v>
      </c>
      <c r="P816" s="1">
        <f t="shared" si="326"/>
        <v>2101.04</v>
      </c>
      <c r="Q816" s="5">
        <f t="shared" si="327"/>
        <v>0.19452054794520562</v>
      </c>
      <c r="R816" s="5">
        <f t="shared" si="328"/>
        <v>-0.62031894144933375</v>
      </c>
      <c r="S816" s="5">
        <f t="shared" si="311"/>
        <v>81.253144272721812</v>
      </c>
      <c r="T816" s="5">
        <f t="shared" si="312"/>
        <v>-702.82485904134739</v>
      </c>
      <c r="U816" s="4">
        <f t="shared" si="313"/>
        <v>1518585.4333002707</v>
      </c>
      <c r="V816" s="4">
        <f t="shared" si="329"/>
        <v>24.505392334626286</v>
      </c>
      <c r="W816" s="4">
        <f t="shared" si="314"/>
        <v>1461478.7036301286</v>
      </c>
      <c r="X816" s="4">
        <f t="shared" si="318"/>
        <v>-15181.680950964103</v>
      </c>
      <c r="Y816" s="9">
        <f>SUM($X$6:X816)</f>
        <v>461478.70363012864</v>
      </c>
      <c r="Z816" s="16">
        <f t="shared" si="319"/>
        <v>0.46147870363012866</v>
      </c>
      <c r="AA816" s="16">
        <f t="shared" si="315"/>
        <v>0.61390224421718653</v>
      </c>
      <c r="AB816" s="16">
        <f t="shared" si="316"/>
        <v>-1.0281091786227424E-2</v>
      </c>
      <c r="AC816" s="16">
        <f t="shared" si="317"/>
        <v>-1.4558928998326472E-2</v>
      </c>
    </row>
    <row r="817" spans="1:29" x14ac:dyDescent="0.15">
      <c r="A817" s="8">
        <v>42089</v>
      </c>
      <c r="B817" s="4">
        <v>2056.15</v>
      </c>
      <c r="C817" s="1">
        <v>15.0741</v>
      </c>
      <c r="D817" s="1">
        <v>2.08</v>
      </c>
      <c r="E817" s="1">
        <v>0.27910000000000001</v>
      </c>
      <c r="F817" s="4">
        <f t="shared" si="307"/>
        <v>0.15074099999999999</v>
      </c>
      <c r="G817" s="4">
        <f t="shared" si="308"/>
        <v>2.0799999999999999E-2</v>
      </c>
      <c r="H817" s="4">
        <f t="shared" si="309"/>
        <v>2.7910000000000001E-3</v>
      </c>
      <c r="I817" s="3">
        <f t="shared" si="310"/>
        <v>66.256718174464126</v>
      </c>
      <c r="J817" s="4">
        <f t="shared" si="320"/>
        <v>1518585.4333002707</v>
      </c>
      <c r="K817" s="1">
        <f t="shared" si="321"/>
        <v>2101.04</v>
      </c>
      <c r="L817" s="5">
        <f t="shared" si="322"/>
        <v>0.19178082191780838</v>
      </c>
      <c r="M817" s="5">
        <f t="shared" si="323"/>
        <v>-0.63297678295584381</v>
      </c>
      <c r="N817" s="5">
        <f t="shared" si="324"/>
        <v>84.468157913802557</v>
      </c>
      <c r="O817" s="1">
        <f t="shared" si="325"/>
        <v>0</v>
      </c>
      <c r="P817" s="1">
        <f t="shared" si="326"/>
        <v>2101.04</v>
      </c>
      <c r="Q817" s="5">
        <f t="shared" si="327"/>
        <v>0.19178082191780838</v>
      </c>
      <c r="R817" s="5">
        <f t="shared" si="328"/>
        <v>-0.63297678295584381</v>
      </c>
      <c r="S817" s="5">
        <f t="shared" si="311"/>
        <v>84.468157913802557</v>
      </c>
      <c r="T817" s="5">
        <f t="shared" si="312"/>
        <v>-702.82485904134739</v>
      </c>
      <c r="U817" s="4">
        <f t="shared" si="313"/>
        <v>1518609.9386926054</v>
      </c>
      <c r="V817" s="4">
        <f t="shared" si="329"/>
        <v>24.505787777806695</v>
      </c>
      <c r="W817" s="4">
        <f t="shared" si="314"/>
        <v>1459243.6175133549</v>
      </c>
      <c r="X817" s="4">
        <f t="shared" si="318"/>
        <v>-2235.0861167737748</v>
      </c>
      <c r="Y817" s="9">
        <f>SUM($X$6:X817)</f>
        <v>459243.61751335487</v>
      </c>
      <c r="Z817" s="16">
        <f t="shared" si="319"/>
        <v>0.45924361751335485</v>
      </c>
      <c r="AA817" s="16">
        <f t="shared" si="315"/>
        <v>0.61006530625029376</v>
      </c>
      <c r="AB817" s="16">
        <f t="shared" si="316"/>
        <v>-1.5293319781000592E-3</v>
      </c>
      <c r="AC817" s="16">
        <f t="shared" si="317"/>
        <v>-2.3774289803741252E-3</v>
      </c>
    </row>
    <row r="818" spans="1:29" x14ac:dyDescent="0.15">
      <c r="A818" s="8">
        <v>42090</v>
      </c>
      <c r="B818" s="4">
        <v>2061.02</v>
      </c>
      <c r="C818" s="1">
        <v>14.8217</v>
      </c>
      <c r="D818" s="1">
        <v>2.08</v>
      </c>
      <c r="E818" s="1">
        <v>0.27850000000000003</v>
      </c>
      <c r="F818" s="4">
        <f t="shared" si="307"/>
        <v>0.14821699999999999</v>
      </c>
      <c r="G818" s="4">
        <f t="shared" si="308"/>
        <v>2.0799999999999999E-2</v>
      </c>
      <c r="H818" s="4">
        <f t="shared" si="309"/>
        <v>2.7850000000000001E-3</v>
      </c>
      <c r="I818" s="3">
        <f t="shared" si="310"/>
        <v>65.38470715540052</v>
      </c>
      <c r="J818" s="4">
        <f t="shared" si="320"/>
        <v>1518609.9386926054</v>
      </c>
      <c r="K818" s="1">
        <f t="shared" si="321"/>
        <v>2101.04</v>
      </c>
      <c r="L818" s="5">
        <f t="shared" si="322"/>
        <v>0.18904109589041113</v>
      </c>
      <c r="M818" s="5">
        <f t="shared" si="323"/>
        <v>-0.6227024904901679</v>
      </c>
      <c r="N818" s="5">
        <f t="shared" si="324"/>
        <v>80.133243811384062</v>
      </c>
      <c r="O818" s="1">
        <f t="shared" si="325"/>
        <v>0</v>
      </c>
      <c r="P818" s="1">
        <f t="shared" si="326"/>
        <v>2101.04</v>
      </c>
      <c r="Q818" s="5">
        <f t="shared" si="327"/>
        <v>0.18904109589041113</v>
      </c>
      <c r="R818" s="5">
        <f t="shared" si="328"/>
        <v>-0.6227024904901679</v>
      </c>
      <c r="S818" s="5">
        <f t="shared" si="311"/>
        <v>80.133243811384062</v>
      </c>
      <c r="T818" s="5">
        <f t="shared" si="312"/>
        <v>-702.82485904134739</v>
      </c>
      <c r="U818" s="4">
        <f t="shared" si="313"/>
        <v>1518634.4444803831</v>
      </c>
      <c r="V818" s="4">
        <f t="shared" si="329"/>
        <v>24.506183227368371</v>
      </c>
      <c r="W818" s="4">
        <f t="shared" si="314"/>
        <v>1462314.8086941212</v>
      </c>
      <c r="X818" s="4">
        <f t="shared" si="318"/>
        <v>3071.1911807663273</v>
      </c>
      <c r="Y818" s="9">
        <f>SUM($X$6:X818)</f>
        <v>462314.8086941212</v>
      </c>
      <c r="Z818" s="16">
        <f t="shared" si="319"/>
        <v>0.46231480869412117</v>
      </c>
      <c r="AA818" s="16">
        <f t="shared" si="315"/>
        <v>0.61387875276024628</v>
      </c>
      <c r="AB818" s="16">
        <f t="shared" si="316"/>
        <v>2.1046459576090763E-3</v>
      </c>
      <c r="AC818" s="16">
        <f t="shared" si="317"/>
        <v>2.3685042433674052E-3</v>
      </c>
    </row>
    <row r="819" spans="1:29" x14ac:dyDescent="0.15">
      <c r="A819" s="8">
        <v>42093</v>
      </c>
      <c r="B819" s="4">
        <v>2086.2399999999998</v>
      </c>
      <c r="C819" s="1">
        <v>14.1561</v>
      </c>
      <c r="D819" s="1">
        <v>2.0499999999999998</v>
      </c>
      <c r="E819" s="1">
        <v>0.2772</v>
      </c>
      <c r="F819" s="4">
        <f t="shared" si="307"/>
        <v>0.14156099999999999</v>
      </c>
      <c r="G819" s="4">
        <f t="shared" si="308"/>
        <v>2.0499999999999997E-2</v>
      </c>
      <c r="H819" s="4">
        <f t="shared" si="309"/>
        <v>2.7720000000000002E-3</v>
      </c>
      <c r="I819" s="3">
        <f t="shared" si="310"/>
        <v>63.358278511524603</v>
      </c>
      <c r="J819" s="4">
        <f t="shared" si="320"/>
        <v>1518634.4444803831</v>
      </c>
      <c r="K819" s="1">
        <f t="shared" si="321"/>
        <v>2101.04</v>
      </c>
      <c r="L819" s="5">
        <f t="shared" si="322"/>
        <v>0.18082191780821935</v>
      </c>
      <c r="M819" s="5">
        <f t="shared" si="323"/>
        <v>-0.55384553025206495</v>
      </c>
      <c r="N819" s="5">
        <f t="shared" si="324"/>
        <v>61.627333026756602</v>
      </c>
      <c r="O819" s="1">
        <f t="shared" si="325"/>
        <v>0</v>
      </c>
      <c r="P819" s="1">
        <f t="shared" si="326"/>
        <v>2101.04</v>
      </c>
      <c r="Q819" s="5">
        <f t="shared" si="327"/>
        <v>0.18082191780821935</v>
      </c>
      <c r="R819" s="5">
        <f t="shared" si="328"/>
        <v>-0.55384553025206495</v>
      </c>
      <c r="S819" s="5">
        <f t="shared" si="311"/>
        <v>61.627333026756602</v>
      </c>
      <c r="T819" s="5">
        <f t="shared" si="312"/>
        <v>-702.82485904134739</v>
      </c>
      <c r="U819" s="4">
        <f t="shared" si="313"/>
        <v>1518658.9506636104</v>
      </c>
      <c r="V819" s="4">
        <f t="shared" si="329"/>
        <v>73.519736049934224</v>
      </c>
      <c r="W819" s="4">
        <f t="shared" si="314"/>
        <v>1475345.729015986</v>
      </c>
      <c r="X819" s="4">
        <f t="shared" si="318"/>
        <v>13030.920321864774</v>
      </c>
      <c r="Y819" s="9">
        <f>SUM($X$6:X819)</f>
        <v>475345.72901598597</v>
      </c>
      <c r="Z819" s="16">
        <f t="shared" si="319"/>
        <v>0.47534572901598598</v>
      </c>
      <c r="AA819" s="16">
        <f t="shared" si="315"/>
        <v>0.63362723756127348</v>
      </c>
      <c r="AB819" s="16">
        <f t="shared" si="316"/>
        <v>8.9111593785346863E-3</v>
      </c>
      <c r="AC819" s="16">
        <f t="shared" si="317"/>
        <v>1.2236659518102591E-2</v>
      </c>
    </row>
    <row r="820" spans="1:29" x14ac:dyDescent="0.15">
      <c r="A820" s="8">
        <v>42094</v>
      </c>
      <c r="B820" s="4">
        <v>2067.89</v>
      </c>
      <c r="C820" s="1">
        <v>14.8513</v>
      </c>
      <c r="D820" s="1">
        <v>2.0699999999999998</v>
      </c>
      <c r="E820" s="1">
        <v>0.27379999999999999</v>
      </c>
      <c r="F820" s="4">
        <f t="shared" si="307"/>
        <v>0.14851300000000001</v>
      </c>
      <c r="G820" s="4">
        <f t="shared" si="308"/>
        <v>2.07E-2</v>
      </c>
      <c r="H820" s="4">
        <f t="shared" si="309"/>
        <v>2.738E-3</v>
      </c>
      <c r="I820" s="3">
        <f t="shared" si="310"/>
        <v>65.710842241250489</v>
      </c>
      <c r="J820" s="4">
        <f t="shared" si="320"/>
        <v>1518658.9506636104</v>
      </c>
      <c r="K820" s="1">
        <f t="shared" si="321"/>
        <v>2101.04</v>
      </c>
      <c r="L820" s="5">
        <f t="shared" si="322"/>
        <v>0.1780821917808221</v>
      </c>
      <c r="M820" s="5">
        <f t="shared" si="323"/>
        <v>-0.60551504018513103</v>
      </c>
      <c r="N820" s="5">
        <f t="shared" si="324"/>
        <v>74.263967134102643</v>
      </c>
      <c r="O820" s="1">
        <f t="shared" si="325"/>
        <v>0</v>
      </c>
      <c r="P820" s="1">
        <f t="shared" si="326"/>
        <v>2101.04</v>
      </c>
      <c r="Q820" s="5">
        <f t="shared" si="327"/>
        <v>0.1780821917808221</v>
      </c>
      <c r="R820" s="5">
        <f t="shared" si="328"/>
        <v>-0.60551504018513103</v>
      </c>
      <c r="S820" s="5">
        <f t="shared" si="311"/>
        <v>74.263967134102643</v>
      </c>
      <c r="T820" s="5">
        <f t="shared" si="312"/>
        <v>-702.82485904134739</v>
      </c>
      <c r="U820" s="4">
        <f t="shared" si="313"/>
        <v>1518732.4703996603</v>
      </c>
      <c r="V820" s="4">
        <f t="shared" si="329"/>
        <v>24.507765070284925</v>
      </c>
      <c r="W820" s="4">
        <f t="shared" si="314"/>
        <v>1466537.9081667834</v>
      </c>
      <c r="X820" s="4">
        <f t="shared" si="318"/>
        <v>-8807.8208492025733</v>
      </c>
      <c r="Y820" s="9">
        <f>SUM($X$6:X820)</f>
        <v>466537.9081667834</v>
      </c>
      <c r="Z820" s="16">
        <f t="shared" si="319"/>
        <v>0.46653790816678342</v>
      </c>
      <c r="AA820" s="16">
        <f t="shared" si="315"/>
        <v>0.61925829639954266</v>
      </c>
      <c r="AB820" s="16">
        <f t="shared" si="316"/>
        <v>-5.9700046409305986E-3</v>
      </c>
      <c r="AC820" s="16">
        <f t="shared" si="317"/>
        <v>-8.7957282000152952E-3</v>
      </c>
    </row>
    <row r="821" spans="1:29" x14ac:dyDescent="0.15">
      <c r="A821" s="8">
        <v>42095</v>
      </c>
      <c r="B821" s="4">
        <v>2059.69</v>
      </c>
      <c r="C821" s="1">
        <v>14.797499999999999</v>
      </c>
      <c r="D821" s="1">
        <v>2.08</v>
      </c>
      <c r="E821" s="1">
        <v>0.27379999999999999</v>
      </c>
      <c r="F821" s="4">
        <f t="shared" si="307"/>
        <v>0.147975</v>
      </c>
      <c r="G821" s="4">
        <f t="shared" si="308"/>
        <v>2.0799999999999999E-2</v>
      </c>
      <c r="H821" s="4">
        <f t="shared" si="309"/>
        <v>2.738E-3</v>
      </c>
      <c r="I821" s="3">
        <f t="shared" si="310"/>
        <v>65.256764842693883</v>
      </c>
      <c r="J821" s="4">
        <f t="shared" si="320"/>
        <v>1518732.4703996603</v>
      </c>
      <c r="K821" s="1">
        <f t="shared" si="321"/>
        <v>2101.04</v>
      </c>
      <c r="L821" s="5">
        <f t="shared" si="322"/>
        <v>0.17534246575342485</v>
      </c>
      <c r="M821" s="5">
        <f t="shared" si="323"/>
        <v>-0.6311115916544352</v>
      </c>
      <c r="N821" s="5">
        <f t="shared" si="324"/>
        <v>78.739262471916177</v>
      </c>
      <c r="O821" s="1">
        <f t="shared" si="325"/>
        <v>0</v>
      </c>
      <c r="P821" s="1">
        <f t="shared" si="326"/>
        <v>2101.04</v>
      </c>
      <c r="Q821" s="5">
        <f t="shared" si="327"/>
        <v>0.17534246575342485</v>
      </c>
      <c r="R821" s="5">
        <f t="shared" si="328"/>
        <v>-0.6311115916544352</v>
      </c>
      <c r="S821" s="5">
        <f t="shared" si="311"/>
        <v>78.739262471916177</v>
      </c>
      <c r="T821" s="5">
        <f t="shared" si="312"/>
        <v>-702.82485904134739</v>
      </c>
      <c r="U821" s="4">
        <f t="shared" si="313"/>
        <v>1518756.9781647306</v>
      </c>
      <c r="V821" s="4">
        <f t="shared" si="329"/>
        <v>24.508160551754145</v>
      </c>
      <c r="W821" s="4">
        <f t="shared" si="314"/>
        <v>1463417.0671168864</v>
      </c>
      <c r="X821" s="4">
        <f t="shared" si="318"/>
        <v>-3120.8410498970188</v>
      </c>
      <c r="Y821" s="9">
        <f>SUM($X$6:X821)</f>
        <v>463417.06711688638</v>
      </c>
      <c r="Z821" s="16">
        <f t="shared" si="319"/>
        <v>0.46341706711688635</v>
      </c>
      <c r="AA821" s="16">
        <f t="shared" si="315"/>
        <v>0.6128372981692326</v>
      </c>
      <c r="AB821" s="16">
        <f t="shared" si="316"/>
        <v>-2.1280329901585456E-3</v>
      </c>
      <c r="AC821" s="16">
        <f t="shared" si="317"/>
        <v>-3.9653946776665189E-3</v>
      </c>
    </row>
    <row r="822" spans="1:29" x14ac:dyDescent="0.15">
      <c r="A822" s="8">
        <v>42096</v>
      </c>
      <c r="B822" s="4">
        <v>2066.96</v>
      </c>
      <c r="C822" s="1">
        <v>14.619199999999999</v>
      </c>
      <c r="D822" s="1">
        <v>2.0699999999999998</v>
      </c>
      <c r="E822" s="1">
        <v>0.27679999999999999</v>
      </c>
      <c r="F822" s="4">
        <f t="shared" si="307"/>
        <v>0.14619199999999999</v>
      </c>
      <c r="G822" s="4">
        <f t="shared" si="308"/>
        <v>2.07E-2</v>
      </c>
      <c r="H822" s="4">
        <f t="shared" si="309"/>
        <v>2.7680000000000001E-3</v>
      </c>
      <c r="I822" s="3">
        <f t="shared" si="310"/>
        <v>64.722524443321277</v>
      </c>
      <c r="J822" s="4">
        <f t="shared" si="320"/>
        <v>1518756.9781647306</v>
      </c>
      <c r="K822" s="1">
        <f t="shared" si="321"/>
        <v>2101.04</v>
      </c>
      <c r="L822" s="5">
        <f t="shared" si="322"/>
        <v>0.1726027397260276</v>
      </c>
      <c r="M822" s="5">
        <f t="shared" si="323"/>
        <v>-0.61184342665988056</v>
      </c>
      <c r="N822" s="5">
        <f t="shared" si="324"/>
        <v>73.171236336363947</v>
      </c>
      <c r="O822" s="1">
        <f t="shared" si="325"/>
        <v>0</v>
      </c>
      <c r="P822" s="1">
        <f t="shared" si="326"/>
        <v>2101.04</v>
      </c>
      <c r="Q822" s="5">
        <f t="shared" si="327"/>
        <v>0.1726027397260276</v>
      </c>
      <c r="R822" s="5">
        <f t="shared" si="328"/>
        <v>-0.61184342665988056</v>
      </c>
      <c r="S822" s="5">
        <f t="shared" si="311"/>
        <v>73.171236336363947</v>
      </c>
      <c r="T822" s="5">
        <f t="shared" si="312"/>
        <v>-702.82485904134739</v>
      </c>
      <c r="U822" s="4">
        <f t="shared" si="313"/>
        <v>1518781.4863252824</v>
      </c>
      <c r="V822" s="4">
        <f t="shared" si="329"/>
        <v>24.508556039605239</v>
      </c>
      <c r="W822" s="4">
        <f t="shared" si="314"/>
        <v>1467354.9224612962</v>
      </c>
      <c r="X822" s="4">
        <f t="shared" si="318"/>
        <v>3937.8553444098216</v>
      </c>
      <c r="Y822" s="9">
        <f>SUM($X$6:X822)</f>
        <v>467354.9224612962</v>
      </c>
      <c r="Z822" s="16">
        <f t="shared" si="319"/>
        <v>0.46735492246129617</v>
      </c>
      <c r="AA822" s="16">
        <f t="shared" si="315"/>
        <v>0.61853006123439791</v>
      </c>
      <c r="AB822" s="16">
        <f t="shared" si="316"/>
        <v>2.6908633450393512E-3</v>
      </c>
      <c r="AC822" s="16">
        <f t="shared" si="317"/>
        <v>3.5296573756244784E-3</v>
      </c>
    </row>
    <row r="823" spans="1:29" x14ac:dyDescent="0.15">
      <c r="A823" s="8">
        <v>42100</v>
      </c>
      <c r="B823" s="4">
        <v>2080.62</v>
      </c>
      <c r="C823" s="1">
        <v>14.341100000000001</v>
      </c>
      <c r="D823" s="1">
        <v>2.06</v>
      </c>
      <c r="E823" s="1">
        <v>0.27679999999999999</v>
      </c>
      <c r="F823" s="4">
        <f t="shared" si="307"/>
        <v>0.14341100000000001</v>
      </c>
      <c r="G823" s="4">
        <f t="shared" si="308"/>
        <v>2.06E-2</v>
      </c>
      <c r="H823" s="4">
        <f t="shared" si="309"/>
        <v>2.7680000000000001E-3</v>
      </c>
      <c r="I823" s="3">
        <f t="shared" si="310"/>
        <v>63.977623608115593</v>
      </c>
      <c r="J823" s="4">
        <f t="shared" si="320"/>
        <v>1518781.4863252824</v>
      </c>
      <c r="K823" s="1">
        <f t="shared" si="321"/>
        <v>2101.04</v>
      </c>
      <c r="L823" s="5">
        <f t="shared" si="322"/>
        <v>0.16164383561643855</v>
      </c>
      <c r="M823" s="5">
        <f t="shared" si="323"/>
        <v>-0.57364709998061425</v>
      </c>
      <c r="N823" s="5">
        <f t="shared" si="324"/>
        <v>62.345404141056065</v>
      </c>
      <c r="O823" s="1">
        <f t="shared" si="325"/>
        <v>0</v>
      </c>
      <c r="P823" s="1">
        <f t="shared" si="326"/>
        <v>2101.04</v>
      </c>
      <c r="Q823" s="5">
        <f t="shared" si="327"/>
        <v>0.16164383561643855</v>
      </c>
      <c r="R823" s="5">
        <f t="shared" si="328"/>
        <v>-0.57364709998061425</v>
      </c>
      <c r="S823" s="5">
        <f t="shared" si="311"/>
        <v>62.345404141056065</v>
      </c>
      <c r="T823" s="5">
        <f t="shared" si="312"/>
        <v>-702.82485904134739</v>
      </c>
      <c r="U823" s="4">
        <f t="shared" si="313"/>
        <v>1518805.9948813219</v>
      </c>
      <c r="V823" s="4">
        <f t="shared" si="329"/>
        <v>98.035806135353269</v>
      </c>
      <c r="W823" s="4">
        <f t="shared" si="314"/>
        <v>1474988.0950040084</v>
      </c>
      <c r="X823" s="4">
        <f t="shared" si="318"/>
        <v>7633.1725427121855</v>
      </c>
      <c r="Y823" s="9">
        <f>SUM($X$6:X823)</f>
        <v>474988.09500400838</v>
      </c>
      <c r="Z823" s="16">
        <f t="shared" si="319"/>
        <v>0.4749880950040084</v>
      </c>
      <c r="AA823" s="16">
        <f t="shared" si="315"/>
        <v>0.62922650462781704</v>
      </c>
      <c r="AB823" s="16">
        <f t="shared" si="316"/>
        <v>5.2019947088932893E-3</v>
      </c>
      <c r="AC823" s="16">
        <f t="shared" si="317"/>
        <v>6.6087394047295803E-3</v>
      </c>
    </row>
    <row r="824" spans="1:29" x14ac:dyDescent="0.15">
      <c r="A824" s="8">
        <v>42101</v>
      </c>
      <c r="B824" s="4">
        <v>2076.33</v>
      </c>
      <c r="C824" s="1">
        <v>14.339499999999999</v>
      </c>
      <c r="D824" s="1">
        <v>2.06</v>
      </c>
      <c r="E824" s="1">
        <v>0.27679999999999999</v>
      </c>
      <c r="F824" s="4">
        <f t="shared" si="307"/>
        <v>0.14339499999999999</v>
      </c>
      <c r="G824" s="4">
        <f t="shared" si="308"/>
        <v>2.06E-2</v>
      </c>
      <c r="H824" s="4">
        <f t="shared" si="309"/>
        <v>2.7680000000000001E-3</v>
      </c>
      <c r="I824" s="3">
        <f t="shared" si="310"/>
        <v>63.839127651933602</v>
      </c>
      <c r="J824" s="4">
        <f t="shared" si="320"/>
        <v>1518805.9948813219</v>
      </c>
      <c r="K824" s="1">
        <f t="shared" si="321"/>
        <v>2101.04</v>
      </c>
      <c r="L824" s="5">
        <f t="shared" si="322"/>
        <v>0.1589041095890413</v>
      </c>
      <c r="M824" s="5">
        <f t="shared" si="323"/>
        <v>-0.58823229367782859</v>
      </c>
      <c r="N824" s="5">
        <f t="shared" si="324"/>
        <v>64.37715164004058</v>
      </c>
      <c r="O824" s="1">
        <f t="shared" si="325"/>
        <v>0</v>
      </c>
      <c r="P824" s="1">
        <f t="shared" si="326"/>
        <v>2101.04</v>
      </c>
      <c r="Q824" s="5">
        <f t="shared" si="327"/>
        <v>0.1589041095890413</v>
      </c>
      <c r="R824" s="5">
        <f t="shared" si="328"/>
        <v>-0.58823229367782859</v>
      </c>
      <c r="S824" s="5">
        <f t="shared" si="311"/>
        <v>64.37715164004058</v>
      </c>
      <c r="T824" s="5">
        <f t="shared" si="312"/>
        <v>-702.82485904134739</v>
      </c>
      <c r="U824" s="4">
        <f t="shared" si="313"/>
        <v>1518904.0306874572</v>
      </c>
      <c r="V824" s="4">
        <f t="shared" si="329"/>
        <v>24.510533536298965</v>
      </c>
      <c r="W824" s="4">
        <f t="shared" si="314"/>
        <v>1473658.1681605622</v>
      </c>
      <c r="X824" s="4">
        <f t="shared" si="318"/>
        <v>-1329.9268434462138</v>
      </c>
      <c r="Y824" s="9">
        <f>SUM($X$6:X824)</f>
        <v>473658.16816056217</v>
      </c>
      <c r="Z824" s="16">
        <f t="shared" si="319"/>
        <v>0.47365816816056217</v>
      </c>
      <c r="AA824" s="16">
        <f t="shared" si="315"/>
        <v>0.62586722628537428</v>
      </c>
      <c r="AB824" s="16">
        <f t="shared" si="316"/>
        <v>-9.0165259499440202E-4</v>
      </c>
      <c r="AC824" s="16">
        <f t="shared" si="317"/>
        <v>-2.0618853995443493E-3</v>
      </c>
    </row>
    <row r="825" spans="1:29" x14ac:dyDescent="0.15">
      <c r="A825" s="8">
        <v>42102</v>
      </c>
      <c r="B825" s="4">
        <v>2081.9</v>
      </c>
      <c r="C825" s="1">
        <v>13.916</v>
      </c>
      <c r="D825" s="1">
        <v>2.06</v>
      </c>
      <c r="E825" s="1">
        <v>0.2742</v>
      </c>
      <c r="F825" s="4">
        <f t="shared" si="307"/>
        <v>0.13916000000000001</v>
      </c>
      <c r="G825" s="4">
        <f t="shared" si="308"/>
        <v>2.06E-2</v>
      </c>
      <c r="H825" s="4">
        <f t="shared" si="309"/>
        <v>2.7420000000000001E-3</v>
      </c>
      <c r="I825" s="3">
        <f t="shared" si="310"/>
        <v>62.271032225554031</v>
      </c>
      <c r="J825" s="4">
        <f t="shared" si="320"/>
        <v>1518904.0306874572</v>
      </c>
      <c r="K825" s="1">
        <f t="shared" si="321"/>
        <v>2101.04</v>
      </c>
      <c r="L825" s="5">
        <f t="shared" si="322"/>
        <v>0.15616438356164405</v>
      </c>
      <c r="M825" s="5">
        <f t="shared" si="323"/>
        <v>-0.5733525234884731</v>
      </c>
      <c r="N825" s="5">
        <f t="shared" si="324"/>
        <v>59.334204130427239</v>
      </c>
      <c r="O825" s="1">
        <f t="shared" si="325"/>
        <v>0</v>
      </c>
      <c r="P825" s="1">
        <f t="shared" si="326"/>
        <v>2101.04</v>
      </c>
      <c r="Q825" s="5">
        <f t="shared" si="327"/>
        <v>0.15616438356164405</v>
      </c>
      <c r="R825" s="5">
        <f t="shared" si="328"/>
        <v>-0.5733525234884731</v>
      </c>
      <c r="S825" s="5">
        <f t="shared" si="311"/>
        <v>59.334204130427239</v>
      </c>
      <c r="T825" s="5">
        <f t="shared" si="312"/>
        <v>-702.82485904134739</v>
      </c>
      <c r="U825" s="4">
        <f t="shared" si="313"/>
        <v>1518928.5412209935</v>
      </c>
      <c r="V825" s="4">
        <f t="shared" si="329"/>
        <v>24.51092906244288</v>
      </c>
      <c r="W825" s="4">
        <f t="shared" si="314"/>
        <v>1477226.9875666955</v>
      </c>
      <c r="X825" s="4">
        <f t="shared" si="318"/>
        <v>3568.8194061333779</v>
      </c>
      <c r="Y825" s="9">
        <f>SUM($X$6:X825)</f>
        <v>477226.98756669555</v>
      </c>
      <c r="Z825" s="16">
        <f t="shared" si="319"/>
        <v>0.47722698756669557</v>
      </c>
      <c r="AA825" s="16">
        <f t="shared" si="315"/>
        <v>0.63022880679059734</v>
      </c>
      <c r="AB825" s="16">
        <f t="shared" si="316"/>
        <v>2.4217416787965292E-3</v>
      </c>
      <c r="AC825" s="16">
        <f t="shared" si="317"/>
        <v>2.6826178882933655E-3</v>
      </c>
    </row>
    <row r="826" spans="1:29" x14ac:dyDescent="0.15">
      <c r="A826" s="8">
        <v>42103</v>
      </c>
      <c r="B826" s="4">
        <v>2091.1799999999998</v>
      </c>
      <c r="C826" s="1">
        <v>13.2376</v>
      </c>
      <c r="D826" s="1">
        <v>2.0499999999999998</v>
      </c>
      <c r="E826" s="1">
        <v>0.27900000000000003</v>
      </c>
      <c r="F826" s="4">
        <f t="shared" si="307"/>
        <v>0.13237599999999999</v>
      </c>
      <c r="G826" s="4">
        <f t="shared" si="308"/>
        <v>2.0499999999999997E-2</v>
      </c>
      <c r="H826" s="4">
        <f t="shared" si="309"/>
        <v>2.7900000000000004E-3</v>
      </c>
      <c r="I826" s="3">
        <f t="shared" si="310"/>
        <v>59.698431746992576</v>
      </c>
      <c r="J826" s="4">
        <f t="shared" si="320"/>
        <v>1518928.5412209935</v>
      </c>
      <c r="K826" s="1">
        <f t="shared" si="321"/>
        <v>2101.04</v>
      </c>
      <c r="L826" s="5">
        <f t="shared" si="322"/>
        <v>0.15342465753424681</v>
      </c>
      <c r="M826" s="5">
        <f t="shared" si="323"/>
        <v>-0.54493195925068771</v>
      </c>
      <c r="N826" s="5">
        <f t="shared" si="324"/>
        <v>51.48334584067328</v>
      </c>
      <c r="O826" s="1">
        <f t="shared" si="325"/>
        <v>0</v>
      </c>
      <c r="P826" s="1">
        <f t="shared" si="326"/>
        <v>2101.04</v>
      </c>
      <c r="Q826" s="5">
        <f t="shared" si="327"/>
        <v>0.15342465753424681</v>
      </c>
      <c r="R826" s="5">
        <f t="shared" si="328"/>
        <v>-0.54493195925068771</v>
      </c>
      <c r="S826" s="5">
        <f t="shared" si="311"/>
        <v>51.48334584067328</v>
      </c>
      <c r="T826" s="5">
        <f t="shared" si="312"/>
        <v>-702.82485904134739</v>
      </c>
      <c r="U826" s="4">
        <f t="shared" si="313"/>
        <v>1518953.052150056</v>
      </c>
      <c r="V826" s="4">
        <f t="shared" si="329"/>
        <v>24.511324594969395</v>
      </c>
      <c r="W826" s="4">
        <f t="shared" si="314"/>
        <v>1482769.2768666078</v>
      </c>
      <c r="X826" s="4">
        <f t="shared" si="318"/>
        <v>5542.2892999122851</v>
      </c>
      <c r="Y826" s="9">
        <f>SUM($X$6:X826)</f>
        <v>482769.27686660783</v>
      </c>
      <c r="Z826" s="16">
        <f t="shared" si="319"/>
        <v>0.48276927686660781</v>
      </c>
      <c r="AA826" s="16">
        <f t="shared" si="315"/>
        <v>0.63749549747075307</v>
      </c>
      <c r="AB826" s="16">
        <f t="shared" si="316"/>
        <v>3.7518196909207598E-3</v>
      </c>
      <c r="AC826" s="16">
        <f t="shared" si="317"/>
        <v>4.4574667371150125E-3</v>
      </c>
    </row>
    <row r="827" spans="1:29" x14ac:dyDescent="0.15">
      <c r="A827" s="8">
        <v>42104</v>
      </c>
      <c r="B827" s="4">
        <v>2102.06</v>
      </c>
      <c r="C827" s="1">
        <v>12.750500000000001</v>
      </c>
      <c r="D827" s="1">
        <v>2.04</v>
      </c>
      <c r="E827" s="1">
        <v>0.28010000000000002</v>
      </c>
      <c r="F827" s="4">
        <f t="shared" si="307"/>
        <v>0.12750500000000001</v>
      </c>
      <c r="G827" s="4">
        <f t="shared" si="308"/>
        <v>2.0400000000000001E-2</v>
      </c>
      <c r="H827" s="4">
        <f t="shared" si="309"/>
        <v>2.8010000000000001E-3</v>
      </c>
      <c r="I827" s="3">
        <f t="shared" si="310"/>
        <v>57.951146544525749</v>
      </c>
      <c r="J827" s="4">
        <f t="shared" si="320"/>
        <v>1518953.052150056</v>
      </c>
      <c r="K827" s="1">
        <f t="shared" si="321"/>
        <v>2101.04</v>
      </c>
      <c r="L827" s="5">
        <f t="shared" si="322"/>
        <v>0.15068493150684956</v>
      </c>
      <c r="M827" s="5">
        <f t="shared" si="323"/>
        <v>-0.50603167493592383</v>
      </c>
      <c r="N827" s="5">
        <f t="shared" si="324"/>
        <v>43.732111265494986</v>
      </c>
      <c r="O827" s="1">
        <f t="shared" si="325"/>
        <v>0</v>
      </c>
      <c r="P827" s="1">
        <f t="shared" si="326"/>
        <v>2101.04</v>
      </c>
      <c r="Q827" s="5">
        <f t="shared" si="327"/>
        <v>0.15068493150684956</v>
      </c>
      <c r="R827" s="5">
        <f t="shared" si="328"/>
        <v>-0.50603167493592383</v>
      </c>
      <c r="S827" s="5">
        <f t="shared" si="311"/>
        <v>43.732111265494986</v>
      </c>
      <c r="T827" s="5">
        <f t="shared" si="312"/>
        <v>-702.82485904134739</v>
      </c>
      <c r="U827" s="4">
        <f t="shared" si="313"/>
        <v>1518977.563474651</v>
      </c>
      <c r="V827" s="4">
        <f t="shared" si="329"/>
        <v>24.511720133878612</v>
      </c>
      <c r="W827" s="4">
        <f t="shared" si="314"/>
        <v>1488241.5485388988</v>
      </c>
      <c r="X827" s="4">
        <f t="shared" si="318"/>
        <v>5472.2716722909827</v>
      </c>
      <c r="Y827" s="9">
        <f>SUM($X$6:X827)</f>
        <v>488241.54853889882</v>
      </c>
      <c r="Z827" s="16">
        <f t="shared" si="319"/>
        <v>0.48824154853889884</v>
      </c>
      <c r="AA827" s="16">
        <f t="shared" si="315"/>
        <v>0.64601506585438428</v>
      </c>
      <c r="AB827" s="16">
        <f t="shared" si="316"/>
        <v>3.6905753023525026E-3</v>
      </c>
      <c r="AC827" s="16">
        <f t="shared" si="317"/>
        <v>5.2028041584177877E-3</v>
      </c>
    </row>
    <row r="828" spans="1:29" x14ac:dyDescent="0.15">
      <c r="A828" s="8">
        <v>42107</v>
      </c>
      <c r="B828" s="4">
        <v>2092.4299999999998</v>
      </c>
      <c r="C828" s="1">
        <v>13.575699999999999</v>
      </c>
      <c r="D828" s="1">
        <v>2.0499999999999998</v>
      </c>
      <c r="E828" s="1">
        <v>0.27839999999999998</v>
      </c>
      <c r="F828" s="4">
        <f t="shared" si="307"/>
        <v>0.13575699999999999</v>
      </c>
      <c r="G828" s="4">
        <f t="shared" si="308"/>
        <v>2.0499999999999997E-2</v>
      </c>
      <c r="H828" s="4">
        <f t="shared" si="309"/>
        <v>2.784E-3</v>
      </c>
      <c r="I828" s="3">
        <f t="shared" si="310"/>
        <v>61.137104688591528</v>
      </c>
      <c r="J828" s="4">
        <f t="shared" si="320"/>
        <v>1518977.563474651</v>
      </c>
      <c r="K828" s="1">
        <f t="shared" si="321"/>
        <v>2101.04</v>
      </c>
      <c r="L828" s="5">
        <f t="shared" si="322"/>
        <v>0.14246575342465778</v>
      </c>
      <c r="M828" s="5">
        <f t="shared" si="323"/>
        <v>-0.53974708319601883</v>
      </c>
      <c r="N828" s="5">
        <f t="shared" si="324"/>
        <v>50.08339024086898</v>
      </c>
      <c r="O828" s="1">
        <f t="shared" si="325"/>
        <v>0</v>
      </c>
      <c r="P828" s="1">
        <f t="shared" si="326"/>
        <v>2101.04</v>
      </c>
      <c r="Q828" s="5">
        <f t="shared" si="327"/>
        <v>0.14246575342465778</v>
      </c>
      <c r="R828" s="5">
        <f t="shared" si="328"/>
        <v>-0.53974708319601883</v>
      </c>
      <c r="S828" s="5">
        <f t="shared" si="311"/>
        <v>50.08339024086898</v>
      </c>
      <c r="T828" s="5">
        <f t="shared" si="312"/>
        <v>-702.82485904134739</v>
      </c>
      <c r="U828" s="4">
        <f t="shared" si="313"/>
        <v>1519002.0751947849</v>
      </c>
      <c r="V828" s="4">
        <f t="shared" si="329"/>
        <v>73.536347037511916</v>
      </c>
      <c r="W828" s="4">
        <f t="shared" si="314"/>
        <v>1483802.2235084334</v>
      </c>
      <c r="X828" s="4">
        <f t="shared" si="318"/>
        <v>-4439.3250304653775</v>
      </c>
      <c r="Y828" s="9">
        <f>SUM($X$6:X828)</f>
        <v>483802.22350843344</v>
      </c>
      <c r="Z828" s="16">
        <f t="shared" si="319"/>
        <v>0.48380222350843344</v>
      </c>
      <c r="AA828" s="16">
        <f t="shared" si="315"/>
        <v>0.63847430817659301</v>
      </c>
      <c r="AB828" s="16">
        <f t="shared" si="316"/>
        <v>-2.9829331366428686E-3</v>
      </c>
      <c r="AC828" s="16">
        <f t="shared" si="317"/>
        <v>-4.5812203267271675E-3</v>
      </c>
    </row>
    <row r="829" spans="1:29" x14ac:dyDescent="0.15">
      <c r="A829" s="8">
        <v>42108</v>
      </c>
      <c r="B829" s="4">
        <v>2095.84</v>
      </c>
      <c r="C829" s="1">
        <v>13.2468</v>
      </c>
      <c r="D829" s="1">
        <v>2.0499999999999998</v>
      </c>
      <c r="E829" s="1">
        <v>0.27860000000000001</v>
      </c>
      <c r="F829" s="4">
        <f t="shared" si="307"/>
        <v>0.132468</v>
      </c>
      <c r="G829" s="4">
        <f t="shared" si="308"/>
        <v>2.0499999999999997E-2</v>
      </c>
      <c r="H829" s="4">
        <f t="shared" si="309"/>
        <v>2.7860000000000003E-3</v>
      </c>
      <c r="I829" s="3">
        <f t="shared" si="310"/>
        <v>59.870782756249191</v>
      </c>
      <c r="J829" s="4">
        <f t="shared" si="320"/>
        <v>1519002.0751947849</v>
      </c>
      <c r="K829" s="1">
        <f t="shared" si="321"/>
        <v>2101.04</v>
      </c>
      <c r="L829" s="5">
        <f t="shared" si="322"/>
        <v>0.13972602739726053</v>
      </c>
      <c r="M829" s="5">
        <f t="shared" si="323"/>
        <v>-0.52848486388197236</v>
      </c>
      <c r="N829" s="5">
        <f t="shared" si="324"/>
        <v>46.776816743940152</v>
      </c>
      <c r="O829" s="1">
        <f t="shared" si="325"/>
        <v>0</v>
      </c>
      <c r="P829" s="1">
        <f t="shared" si="326"/>
        <v>2101.04</v>
      </c>
      <c r="Q829" s="5">
        <f t="shared" si="327"/>
        <v>0.13972602739726053</v>
      </c>
      <c r="R829" s="5">
        <f t="shared" si="328"/>
        <v>-0.52848486388197236</v>
      </c>
      <c r="S829" s="5">
        <f t="shared" si="311"/>
        <v>46.776816743940152</v>
      </c>
      <c r="T829" s="5">
        <f t="shared" si="312"/>
        <v>-702.82485904134739</v>
      </c>
      <c r="U829" s="4">
        <f t="shared" si="313"/>
        <v>1519075.6115418223</v>
      </c>
      <c r="V829" s="4">
        <f t="shared" si="329"/>
        <v>24.51330233419543</v>
      </c>
      <c r="W829" s="4">
        <f t="shared" si="314"/>
        <v>1486199.7019073595</v>
      </c>
      <c r="X829" s="4">
        <f t="shared" si="318"/>
        <v>2397.4783989260904</v>
      </c>
      <c r="Y829" s="9">
        <f>SUM($X$6:X829)</f>
        <v>486199.70190735953</v>
      </c>
      <c r="Z829" s="16">
        <f t="shared" si="319"/>
        <v>0.4861997019073595</v>
      </c>
      <c r="AA829" s="16">
        <f t="shared" si="315"/>
        <v>0.64114450378212473</v>
      </c>
      <c r="AB829" s="16">
        <f t="shared" si="316"/>
        <v>1.6157668191501156E-3</v>
      </c>
      <c r="AC829" s="16">
        <f t="shared" si="317"/>
        <v>1.6296841471400761E-3</v>
      </c>
    </row>
    <row r="830" spans="1:29" x14ac:dyDescent="0.15">
      <c r="A830" s="8">
        <v>42109</v>
      </c>
      <c r="B830" s="4">
        <v>2106.63</v>
      </c>
      <c r="C830" s="1">
        <v>12.792300000000001</v>
      </c>
      <c r="D830" s="1">
        <v>2.04</v>
      </c>
      <c r="E830" s="1">
        <v>0.27739999999999998</v>
      </c>
      <c r="F830" s="4">
        <f t="shared" si="307"/>
        <v>0.12792300000000001</v>
      </c>
      <c r="G830" s="4">
        <f t="shared" si="308"/>
        <v>2.0400000000000001E-2</v>
      </c>
      <c r="H830" s="4">
        <f t="shared" si="309"/>
        <v>2.774E-3</v>
      </c>
      <c r="I830" s="3">
        <f t="shared" si="310"/>
        <v>58.259188416314345</v>
      </c>
      <c r="J830" s="4">
        <f t="shared" si="320"/>
        <v>1519075.6115418223</v>
      </c>
      <c r="K830" s="1">
        <f t="shared" si="321"/>
        <v>2101.04</v>
      </c>
      <c r="L830" s="5">
        <f t="shared" si="322"/>
        <v>0.13698630136986328</v>
      </c>
      <c r="M830" s="5">
        <f t="shared" si="323"/>
        <v>-0.48715049191606097</v>
      </c>
      <c r="N830" s="5">
        <f t="shared" si="324"/>
        <v>39.417304059247435</v>
      </c>
      <c r="O830" s="1">
        <f t="shared" si="325"/>
        <v>0</v>
      </c>
      <c r="P830" s="1">
        <f t="shared" si="326"/>
        <v>2101.04</v>
      </c>
      <c r="Q830" s="5">
        <f t="shared" si="327"/>
        <v>0.13698630136986328</v>
      </c>
      <c r="R830" s="5">
        <f t="shared" si="328"/>
        <v>-0.48715049191606097</v>
      </c>
      <c r="S830" s="5">
        <f t="shared" si="311"/>
        <v>39.417304059247435</v>
      </c>
      <c r="T830" s="5">
        <f t="shared" si="312"/>
        <v>-702.82485904134739</v>
      </c>
      <c r="U830" s="4">
        <f t="shared" si="313"/>
        <v>1519100.1248441564</v>
      </c>
      <c r="V830" s="4">
        <f t="shared" si="329"/>
        <v>24.513697905019402</v>
      </c>
      <c r="W830" s="4">
        <f t="shared" si="314"/>
        <v>1491396.6636749259</v>
      </c>
      <c r="X830" s="4">
        <f t="shared" si="318"/>
        <v>5196.9617675663903</v>
      </c>
      <c r="Y830" s="9">
        <f>SUM($X$6:X830)</f>
        <v>491396.66367492592</v>
      </c>
      <c r="Z830" s="16">
        <f t="shared" si="319"/>
        <v>0.4913966636749259</v>
      </c>
      <c r="AA830" s="16">
        <f t="shared" si="315"/>
        <v>0.64959359779493542</v>
      </c>
      <c r="AB830" s="16">
        <f t="shared" si="316"/>
        <v>3.496812548742078E-3</v>
      </c>
      <c r="AC830" s="16">
        <f t="shared" si="317"/>
        <v>5.148293762882645E-3</v>
      </c>
    </row>
    <row r="831" spans="1:29" x14ac:dyDescent="0.15">
      <c r="A831" s="8">
        <v>42110</v>
      </c>
      <c r="B831" s="4">
        <v>2104.9899999999998</v>
      </c>
      <c r="C831" s="1">
        <v>12.742800000000001</v>
      </c>
      <c r="D831" s="1">
        <v>2.04</v>
      </c>
      <c r="E831" s="1">
        <v>0.2782</v>
      </c>
      <c r="F831" s="4">
        <f t="shared" si="307"/>
        <v>0.12742800000000001</v>
      </c>
      <c r="G831" s="4">
        <f t="shared" si="308"/>
        <v>2.0400000000000001E-2</v>
      </c>
      <c r="H831" s="4">
        <f t="shared" si="309"/>
        <v>2.7820000000000002E-3</v>
      </c>
      <c r="I831" s="3">
        <f t="shared" si="310"/>
        <v>58.005204312288157</v>
      </c>
      <c r="J831" s="4">
        <f t="shared" si="320"/>
        <v>1519100.1248441564</v>
      </c>
      <c r="K831" s="1">
        <f t="shared" si="321"/>
        <v>2101.04</v>
      </c>
      <c r="L831" s="5">
        <f t="shared" si="322"/>
        <v>0.13424657534246603</v>
      </c>
      <c r="M831" s="5">
        <f t="shared" si="323"/>
        <v>-0.49349402686393962</v>
      </c>
      <c r="N831" s="5">
        <f t="shared" si="324"/>
        <v>39.620218769441912</v>
      </c>
      <c r="O831" s="1">
        <f t="shared" si="325"/>
        <v>0</v>
      </c>
      <c r="P831" s="1">
        <f t="shared" si="326"/>
        <v>2101.04</v>
      </c>
      <c r="Q831" s="5">
        <f t="shared" si="327"/>
        <v>0.13424657534246603</v>
      </c>
      <c r="R831" s="5">
        <f t="shared" si="328"/>
        <v>-0.49349402686393962</v>
      </c>
      <c r="S831" s="5">
        <f t="shared" si="311"/>
        <v>39.620218769441912</v>
      </c>
      <c r="T831" s="5">
        <f t="shared" si="312"/>
        <v>-702.82485904134739</v>
      </c>
      <c r="U831" s="4">
        <f t="shared" si="313"/>
        <v>1519124.6385420614</v>
      </c>
      <c r="V831" s="4">
        <f t="shared" si="329"/>
        <v>24.514093482226688</v>
      </c>
      <c r="W831" s="4">
        <f t="shared" si="314"/>
        <v>1491278.5638702412</v>
      </c>
      <c r="X831" s="4">
        <f t="shared" si="318"/>
        <v>-118.0998046847526</v>
      </c>
      <c r="Y831" s="9">
        <f>SUM($X$6:X831)</f>
        <v>491278.56387024117</v>
      </c>
      <c r="Z831" s="16">
        <f t="shared" si="319"/>
        <v>0.49127856387024116</v>
      </c>
      <c r="AA831" s="16">
        <f t="shared" si="315"/>
        <v>0.64830939814887312</v>
      </c>
      <c r="AB831" s="16">
        <f t="shared" si="316"/>
        <v>-7.9187386938190418E-5</v>
      </c>
      <c r="AC831" s="16">
        <f t="shared" si="317"/>
        <v>-7.7849456240551367E-4</v>
      </c>
    </row>
    <row r="832" spans="1:29" x14ac:dyDescent="0.15">
      <c r="A832" s="8">
        <v>42111</v>
      </c>
      <c r="B832" s="4">
        <v>2081.1799999999998</v>
      </c>
      <c r="C832" s="1">
        <v>13.5168</v>
      </c>
      <c r="D832" s="1">
        <v>2.06</v>
      </c>
      <c r="E832" s="1">
        <v>0.27879999999999999</v>
      </c>
      <c r="F832" s="4">
        <f t="shared" si="307"/>
        <v>0.13516800000000001</v>
      </c>
      <c r="G832" s="4">
        <f t="shared" si="308"/>
        <v>2.06E-2</v>
      </c>
      <c r="H832" s="4">
        <f t="shared" si="309"/>
        <v>2.7880000000000001E-3</v>
      </c>
      <c r="I832" s="3">
        <f t="shared" si="310"/>
        <v>60.590933335025305</v>
      </c>
      <c r="J832" s="4">
        <f t="shared" si="320"/>
        <v>1519124.6385420614</v>
      </c>
      <c r="K832" s="1">
        <f t="shared" si="321"/>
        <v>2101.04</v>
      </c>
      <c r="L832" s="5">
        <f t="shared" si="322"/>
        <v>0.13150684931506879</v>
      </c>
      <c r="M832" s="5">
        <f t="shared" si="323"/>
        <v>-0.58432468980286734</v>
      </c>
      <c r="N832" s="5">
        <f t="shared" si="324"/>
        <v>54.37004063259522</v>
      </c>
      <c r="O832" s="1">
        <f t="shared" si="325"/>
        <v>0</v>
      </c>
      <c r="P832" s="1">
        <f t="shared" si="326"/>
        <v>2101.04</v>
      </c>
      <c r="Q832" s="5">
        <f t="shared" si="327"/>
        <v>0.13150684931506879</v>
      </c>
      <c r="R832" s="5">
        <f t="shared" si="328"/>
        <v>-0.58432468980286734</v>
      </c>
      <c r="S832" s="5">
        <f t="shared" si="311"/>
        <v>54.37004063259522</v>
      </c>
      <c r="T832" s="5">
        <f t="shared" si="312"/>
        <v>-702.82485904134739</v>
      </c>
      <c r="U832" s="4">
        <f t="shared" si="313"/>
        <v>1519149.1526355436</v>
      </c>
      <c r="V832" s="4">
        <f t="shared" si="329"/>
        <v>24.514489065817397</v>
      </c>
      <c r="W832" s="4">
        <f t="shared" si="314"/>
        <v>1480936.5364918676</v>
      </c>
      <c r="X832" s="4">
        <f t="shared" si="318"/>
        <v>-10342.027378373547</v>
      </c>
      <c r="Y832" s="9">
        <f>SUM($X$6:X832)</f>
        <v>480936.53649186762</v>
      </c>
      <c r="Z832" s="16">
        <f t="shared" si="319"/>
        <v>0.48093653649186763</v>
      </c>
      <c r="AA832" s="16">
        <f t="shared" si="315"/>
        <v>0.62966501182403323</v>
      </c>
      <c r="AB832" s="16">
        <f t="shared" si="316"/>
        <v>-6.9350070663749073E-3</v>
      </c>
      <c r="AC832" s="16">
        <f t="shared" si="317"/>
        <v>-1.131121763048753E-2</v>
      </c>
    </row>
    <row r="833" spans="1:29" x14ac:dyDescent="0.15">
      <c r="A833" s="8">
        <v>42114</v>
      </c>
      <c r="B833" s="4">
        <v>2100.4</v>
      </c>
      <c r="C833" s="1">
        <v>12.9559</v>
      </c>
      <c r="D833" s="1">
        <v>2.04</v>
      </c>
      <c r="E833" s="1">
        <v>0.27910000000000001</v>
      </c>
      <c r="F833" s="4">
        <f t="shared" si="307"/>
        <v>0.12955900000000001</v>
      </c>
      <c r="G833" s="4">
        <f t="shared" si="308"/>
        <v>2.0400000000000001E-2</v>
      </c>
      <c r="H833" s="4">
        <f t="shared" si="309"/>
        <v>2.7910000000000001E-3</v>
      </c>
      <c r="I833" s="3">
        <f t="shared" si="310"/>
        <v>58.762668401348364</v>
      </c>
      <c r="J833" s="4">
        <f t="shared" si="320"/>
        <v>1519149.1526355436</v>
      </c>
      <c r="K833" s="1">
        <f t="shared" si="321"/>
        <v>2101.04</v>
      </c>
      <c r="L833" s="5">
        <f t="shared" si="322"/>
        <v>0.12328767123287701</v>
      </c>
      <c r="M833" s="5">
        <f t="shared" si="323"/>
        <v>-0.51134644427441467</v>
      </c>
      <c r="N833" s="5">
        <f t="shared" si="324"/>
        <v>40.719847142917118</v>
      </c>
      <c r="O833" s="1">
        <f t="shared" si="325"/>
        <v>0</v>
      </c>
      <c r="P833" s="1">
        <f t="shared" si="326"/>
        <v>2101.04</v>
      </c>
      <c r="Q833" s="5">
        <f t="shared" si="327"/>
        <v>0.12328767123287701</v>
      </c>
      <c r="R833" s="5">
        <f t="shared" si="328"/>
        <v>-0.51134644427441467</v>
      </c>
      <c r="S833" s="5">
        <f t="shared" si="311"/>
        <v>40.719847142917118</v>
      </c>
      <c r="T833" s="5">
        <f t="shared" si="312"/>
        <v>-702.82485904134739</v>
      </c>
      <c r="U833" s="4">
        <f t="shared" si="313"/>
        <v>1519173.6671246095</v>
      </c>
      <c r="V833" s="4">
        <f t="shared" si="329"/>
        <v>73.544653967374913</v>
      </c>
      <c r="W833" s="4">
        <f t="shared" si="314"/>
        <v>1490554.7462962035</v>
      </c>
      <c r="X833" s="4">
        <f t="shared" si="318"/>
        <v>9618.2098043358419</v>
      </c>
      <c r="Y833" s="9">
        <f>SUM($X$6:X833)</f>
        <v>490554.74629620346</v>
      </c>
      <c r="Z833" s="16">
        <f t="shared" si="319"/>
        <v>0.49055474629620344</v>
      </c>
      <c r="AA833" s="16">
        <f t="shared" si="315"/>
        <v>0.64471520523702897</v>
      </c>
      <c r="AB833" s="16">
        <f t="shared" si="316"/>
        <v>6.4946806073945896E-3</v>
      </c>
      <c r="AC833" s="16">
        <f t="shared" si="317"/>
        <v>9.235145446333453E-3</v>
      </c>
    </row>
    <row r="834" spans="1:29" x14ac:dyDescent="0.15">
      <c r="A834" s="8">
        <v>42115</v>
      </c>
      <c r="B834" s="4">
        <v>2097.29</v>
      </c>
      <c r="C834" s="1">
        <v>12.9579</v>
      </c>
      <c r="D834" s="1">
        <v>2.0499999999999998</v>
      </c>
      <c r="E834" s="1">
        <v>0.28029999999999999</v>
      </c>
      <c r="F834" s="4">
        <f t="shared" si="307"/>
        <v>0.129579</v>
      </c>
      <c r="G834" s="4">
        <f t="shared" si="308"/>
        <v>2.0499999999999997E-2</v>
      </c>
      <c r="H834" s="4">
        <f t="shared" si="309"/>
        <v>2.8029999999999999E-3</v>
      </c>
      <c r="I834" s="3">
        <f t="shared" si="310"/>
        <v>58.707333894808336</v>
      </c>
      <c r="J834" s="4">
        <f t="shared" si="320"/>
        <v>1519173.6671246095</v>
      </c>
      <c r="K834" s="1">
        <f t="shared" si="321"/>
        <v>2101.04</v>
      </c>
      <c r="L834" s="5">
        <f t="shared" si="322"/>
        <v>0.12054794520547975</v>
      </c>
      <c r="M834" s="5">
        <f t="shared" si="323"/>
        <v>-0.5244682356148479</v>
      </c>
      <c r="N834" s="5">
        <f t="shared" si="324"/>
        <v>41.871567884126392</v>
      </c>
      <c r="O834" s="1">
        <f t="shared" si="325"/>
        <v>0</v>
      </c>
      <c r="P834" s="1">
        <f t="shared" si="326"/>
        <v>2101.04</v>
      </c>
      <c r="Q834" s="5">
        <f t="shared" si="327"/>
        <v>0.12054794520547975</v>
      </c>
      <c r="R834" s="5">
        <f t="shared" si="328"/>
        <v>-0.5244682356148479</v>
      </c>
      <c r="S834" s="5">
        <f t="shared" si="311"/>
        <v>41.871567884126392</v>
      </c>
      <c r="T834" s="5">
        <f t="shared" si="312"/>
        <v>-702.82485904134739</v>
      </c>
      <c r="U834" s="4">
        <f t="shared" si="313"/>
        <v>1519247.211778577</v>
      </c>
      <c r="V834" s="4">
        <f t="shared" si="329"/>
        <v>24.516071444865251</v>
      </c>
      <c r="W834" s="4">
        <f t="shared" si="314"/>
        <v>1489818.8329825755</v>
      </c>
      <c r="X834" s="4">
        <f t="shared" si="318"/>
        <v>-735.91331362794153</v>
      </c>
      <c r="Y834" s="9">
        <f>SUM($X$6:X834)</f>
        <v>489818.83298257552</v>
      </c>
      <c r="Z834" s="16">
        <f t="shared" si="319"/>
        <v>0.4898188329825755</v>
      </c>
      <c r="AA834" s="16">
        <f t="shared" si="315"/>
        <v>0.64227992420089897</v>
      </c>
      <c r="AB834" s="16">
        <f t="shared" si="316"/>
        <v>-4.9371773526371413E-4</v>
      </c>
      <c r="AC834" s="16">
        <f t="shared" si="317"/>
        <v>-1.4806703485051073E-3</v>
      </c>
    </row>
    <row r="835" spans="1:29" x14ac:dyDescent="0.15">
      <c r="A835" s="8">
        <v>42116</v>
      </c>
      <c r="B835" s="4">
        <v>2107.96</v>
      </c>
      <c r="C835" s="1">
        <v>12.6088</v>
      </c>
      <c r="D835" s="1">
        <v>2.04</v>
      </c>
      <c r="E835" s="1">
        <v>0.28060000000000002</v>
      </c>
      <c r="F835" s="4">
        <f t="shared" si="307"/>
        <v>0.12608800000000001</v>
      </c>
      <c r="G835" s="4">
        <f t="shared" si="308"/>
        <v>2.0400000000000001E-2</v>
      </c>
      <c r="H835" s="4">
        <f t="shared" si="309"/>
        <v>2.8060000000000003E-3</v>
      </c>
      <c r="I835" s="3">
        <f t="shared" si="310"/>
        <v>57.520821870335155</v>
      </c>
      <c r="J835" s="4">
        <f t="shared" si="320"/>
        <v>1519247.211778577</v>
      </c>
      <c r="K835" s="1">
        <f t="shared" si="321"/>
        <v>2101.04</v>
      </c>
      <c r="L835" s="5">
        <f t="shared" si="322"/>
        <v>0.11780821917808249</v>
      </c>
      <c r="M835" s="5">
        <f t="shared" si="323"/>
        <v>-0.47901839522345768</v>
      </c>
      <c r="N835" s="5">
        <f t="shared" si="324"/>
        <v>35.019176576742325</v>
      </c>
      <c r="O835" s="1">
        <f t="shared" si="325"/>
        <v>0</v>
      </c>
      <c r="P835" s="1">
        <f t="shared" si="326"/>
        <v>2101.04</v>
      </c>
      <c r="Q835" s="5">
        <f t="shared" si="327"/>
        <v>0.11780821917808249</v>
      </c>
      <c r="R835" s="5">
        <f t="shared" si="328"/>
        <v>-0.47901839522345768</v>
      </c>
      <c r="S835" s="5">
        <f t="shared" si="311"/>
        <v>35.019176576742325</v>
      </c>
      <c r="T835" s="5">
        <f t="shared" si="312"/>
        <v>-702.82485904134739</v>
      </c>
      <c r="U835" s="4">
        <f t="shared" si="313"/>
        <v>1519271.7278500218</v>
      </c>
      <c r="V835" s="4">
        <f t="shared" si="329"/>
        <v>24.516467060374321</v>
      </c>
      <c r="W835" s="4">
        <f t="shared" si="314"/>
        <v>1494659.3800087287</v>
      </c>
      <c r="X835" s="4">
        <f t="shared" si="318"/>
        <v>4840.5470261531882</v>
      </c>
      <c r="Y835" s="9">
        <f>SUM($X$6:X835)</f>
        <v>494659.38000872871</v>
      </c>
      <c r="Z835" s="16">
        <f t="shared" si="319"/>
        <v>0.49465938000872872</v>
      </c>
      <c r="AA835" s="16">
        <f t="shared" si="315"/>
        <v>0.6506350523859491</v>
      </c>
      <c r="AB835" s="16">
        <f t="shared" si="316"/>
        <v>3.2490843309199878E-3</v>
      </c>
      <c r="AC835" s="16">
        <f t="shared" si="317"/>
        <v>5.0875177014147177E-3</v>
      </c>
    </row>
    <row r="836" spans="1:29" x14ac:dyDescent="0.15">
      <c r="A836" s="8">
        <v>42117</v>
      </c>
      <c r="B836" s="4">
        <v>2112.9299999999998</v>
      </c>
      <c r="C836" s="1">
        <v>12.504099999999999</v>
      </c>
      <c r="D836" s="1">
        <v>2.0299999999999998</v>
      </c>
      <c r="E836" s="1">
        <v>0.28010000000000002</v>
      </c>
      <c r="F836" s="4">
        <f t="shared" si="307"/>
        <v>0.12504099999999999</v>
      </c>
      <c r="G836" s="4">
        <f t="shared" si="308"/>
        <v>2.0299999999999999E-2</v>
      </c>
      <c r="H836" s="4">
        <f t="shared" si="309"/>
        <v>2.8010000000000001E-3</v>
      </c>
      <c r="I836" s="3">
        <f t="shared" si="310"/>
        <v>57.192734254465009</v>
      </c>
      <c r="J836" s="4">
        <f t="shared" si="320"/>
        <v>1519271.7278500218</v>
      </c>
      <c r="K836" s="1">
        <f t="shared" si="321"/>
        <v>2101.04</v>
      </c>
      <c r="L836" s="5">
        <f t="shared" si="322"/>
        <v>0.11506849315068522</v>
      </c>
      <c r="M836" s="5">
        <f t="shared" si="323"/>
        <v>-0.45641495398797588</v>
      </c>
      <c r="N836" s="5">
        <f t="shared" si="324"/>
        <v>31.915013232173752</v>
      </c>
      <c r="O836" s="1">
        <f t="shared" si="325"/>
        <v>0</v>
      </c>
      <c r="P836" s="1">
        <f t="shared" si="326"/>
        <v>2101.04</v>
      </c>
      <c r="Q836" s="5">
        <f t="shared" si="327"/>
        <v>0.11506849315068522</v>
      </c>
      <c r="R836" s="5">
        <f t="shared" si="328"/>
        <v>-0.45641495398797588</v>
      </c>
      <c r="S836" s="5">
        <f t="shared" si="311"/>
        <v>31.915013232173752</v>
      </c>
      <c r="T836" s="5">
        <f t="shared" si="312"/>
        <v>-702.82485904134739</v>
      </c>
      <c r="U836" s="4">
        <f t="shared" si="313"/>
        <v>1519296.2443170822</v>
      </c>
      <c r="V836" s="4">
        <f t="shared" si="329"/>
        <v>24.516862682267433</v>
      </c>
      <c r="W836" s="4">
        <f t="shared" si="314"/>
        <v>1496865.579640877</v>
      </c>
      <c r="X836" s="4">
        <f t="shared" si="318"/>
        <v>2206.1996321482584</v>
      </c>
      <c r="Y836" s="9">
        <f>SUM($X$6:X836)</f>
        <v>496865.57964087697</v>
      </c>
      <c r="Z836" s="16">
        <f t="shared" si="319"/>
        <v>0.49686557964087696</v>
      </c>
      <c r="AA836" s="16">
        <f t="shared" si="315"/>
        <v>0.65452680375236871</v>
      </c>
      <c r="AB836" s="16">
        <f t="shared" si="316"/>
        <v>1.4760551210907828E-3</v>
      </c>
      <c r="AC836" s="16">
        <f t="shared" si="317"/>
        <v>2.3577297481924705E-3</v>
      </c>
    </row>
    <row r="837" spans="1:29" x14ac:dyDescent="0.15">
      <c r="A837" s="8">
        <v>42118</v>
      </c>
      <c r="B837" s="4">
        <v>2117.69</v>
      </c>
      <c r="C837" s="1">
        <v>12.5687</v>
      </c>
      <c r="D837" s="1">
        <v>2.0299999999999998</v>
      </c>
      <c r="E837" s="1">
        <v>0.28210000000000002</v>
      </c>
      <c r="F837" s="4">
        <f t="shared" si="307"/>
        <v>0.12568699999999999</v>
      </c>
      <c r="G837" s="4">
        <f t="shared" si="308"/>
        <v>2.0299999999999999E-2</v>
      </c>
      <c r="H837" s="4">
        <f t="shared" si="309"/>
        <v>2.8210000000000002E-3</v>
      </c>
      <c r="I837" s="3">
        <f t="shared" si="310"/>
        <v>57.586810394244146</v>
      </c>
      <c r="J837" s="4">
        <f t="shared" si="320"/>
        <v>1519296.2443170822</v>
      </c>
      <c r="K837" s="1">
        <f t="shared" si="321"/>
        <v>2101.04</v>
      </c>
      <c r="L837" s="5">
        <f t="shared" si="322"/>
        <v>0.11232876712328796</v>
      </c>
      <c r="M837" s="5">
        <f t="shared" si="323"/>
        <v>-0.43472525858383221</v>
      </c>
      <c r="N837" s="5">
        <f t="shared" si="324"/>
        <v>29.50374264566376</v>
      </c>
      <c r="O837" s="1">
        <f t="shared" si="325"/>
        <v>0</v>
      </c>
      <c r="P837" s="1">
        <f t="shared" si="326"/>
        <v>2101.04</v>
      </c>
      <c r="Q837" s="5">
        <f t="shared" si="327"/>
        <v>0.11232876712328796</v>
      </c>
      <c r="R837" s="5">
        <f t="shared" si="328"/>
        <v>-0.43472525858383221</v>
      </c>
      <c r="S837" s="5">
        <f t="shared" si="311"/>
        <v>29.50374264566376</v>
      </c>
      <c r="T837" s="5">
        <f t="shared" si="312"/>
        <v>-702.82485904134739</v>
      </c>
      <c r="U837" s="4">
        <f t="shared" si="313"/>
        <v>1519320.7611797645</v>
      </c>
      <c r="V837" s="4">
        <f t="shared" si="329"/>
        <v>24.51725831054469</v>
      </c>
      <c r="W837" s="4">
        <f t="shared" si="314"/>
        <v>1498584.7974136337</v>
      </c>
      <c r="X837" s="4">
        <f t="shared" si="318"/>
        <v>1719.2177727567032</v>
      </c>
      <c r="Y837" s="9">
        <f>SUM($X$6:X837)</f>
        <v>498584.79741363367</v>
      </c>
      <c r="Z837" s="16">
        <f t="shared" si="319"/>
        <v>0.49858479741363365</v>
      </c>
      <c r="AA837" s="16">
        <f t="shared" si="315"/>
        <v>0.65825411492020747</v>
      </c>
      <c r="AB837" s="16">
        <f t="shared" si="316"/>
        <v>1.1485451974713537E-3</v>
      </c>
      <c r="AC837" s="16">
        <f t="shared" si="317"/>
        <v>2.2527958806019218E-3</v>
      </c>
    </row>
    <row r="838" spans="1:29" x14ac:dyDescent="0.15">
      <c r="A838" s="8">
        <v>42121</v>
      </c>
      <c r="B838" s="4">
        <v>2108.92</v>
      </c>
      <c r="C838" s="1">
        <v>13.0694</v>
      </c>
      <c r="D838" s="1">
        <v>2.04</v>
      </c>
      <c r="E838" s="1">
        <v>0.28210000000000002</v>
      </c>
      <c r="F838" s="4">
        <f t="shared" si="307"/>
        <v>0.130694</v>
      </c>
      <c r="G838" s="4">
        <f t="shared" si="308"/>
        <v>2.0400000000000001E-2</v>
      </c>
      <c r="H838" s="4">
        <f t="shared" si="309"/>
        <v>2.8210000000000002E-3</v>
      </c>
      <c r="I838" s="3">
        <f t="shared" si="310"/>
        <v>59.466617162887296</v>
      </c>
      <c r="J838" s="4">
        <f t="shared" si="320"/>
        <v>1519320.7611797645</v>
      </c>
      <c r="K838" s="1">
        <f t="shared" si="321"/>
        <v>2101.04</v>
      </c>
      <c r="L838" s="5">
        <f t="shared" si="322"/>
        <v>0.10410958904109618</v>
      </c>
      <c r="M838" s="5">
        <f t="shared" si="323"/>
        <v>-0.47250208891127449</v>
      </c>
      <c r="N838" s="5">
        <f t="shared" si="324"/>
        <v>33.392286866942847</v>
      </c>
      <c r="O838" s="1">
        <f t="shared" si="325"/>
        <v>0</v>
      </c>
      <c r="P838" s="1">
        <f t="shared" si="326"/>
        <v>2101.04</v>
      </c>
      <c r="Q838" s="5">
        <f t="shared" si="327"/>
        <v>0.10410958904109618</v>
      </c>
      <c r="R838" s="5">
        <f t="shared" si="328"/>
        <v>-0.47250208891127449</v>
      </c>
      <c r="S838" s="5">
        <f t="shared" si="311"/>
        <v>33.392286866942847</v>
      </c>
      <c r="T838" s="5">
        <f t="shared" si="312"/>
        <v>-702.82485904134739</v>
      </c>
      <c r="U838" s="4">
        <f t="shared" si="313"/>
        <v>1519345.278438075</v>
      </c>
      <c r="V838" s="4">
        <f t="shared" si="329"/>
        <v>73.552961835618575</v>
      </c>
      <c r="W838" s="4">
        <f t="shared" si="314"/>
        <v>1495876.3491277476</v>
      </c>
      <c r="X838" s="4">
        <f t="shared" si="318"/>
        <v>-2708.4482858860865</v>
      </c>
      <c r="Y838" s="9">
        <f>SUM($X$6:X838)</f>
        <v>495876.34912774758</v>
      </c>
      <c r="Z838" s="16">
        <f t="shared" si="319"/>
        <v>0.49587634912774758</v>
      </c>
      <c r="AA838" s="16">
        <f t="shared" si="315"/>
        <v>0.65138677900803421</v>
      </c>
      <c r="AB838" s="16">
        <f t="shared" si="316"/>
        <v>-1.8073373562580662E-3</v>
      </c>
      <c r="AC838" s="16">
        <f t="shared" si="317"/>
        <v>-4.1413049124281558E-3</v>
      </c>
    </row>
    <row r="839" spans="1:29" x14ac:dyDescent="0.15">
      <c r="A839" s="8">
        <v>42122</v>
      </c>
      <c r="B839" s="4">
        <v>2114.7600000000002</v>
      </c>
      <c r="C839" s="1">
        <v>12.679600000000001</v>
      </c>
      <c r="D839" s="1">
        <v>2.0299999999999998</v>
      </c>
      <c r="E839" s="1">
        <v>0.2843</v>
      </c>
      <c r="F839" s="4">
        <f t="shared" ref="F839:F902" si="330">C839/100</f>
        <v>0.12679600000000002</v>
      </c>
      <c r="G839" s="4">
        <f t="shared" ref="G839:G902" si="331">D839/100</f>
        <v>2.0299999999999999E-2</v>
      </c>
      <c r="H839" s="4">
        <f t="shared" ref="H839:H902" si="332">E839/100</f>
        <v>2.843E-3</v>
      </c>
      <c r="I839" s="3">
        <f t="shared" ref="I839:I902" si="333">BSM_Put(B839,B839,F839,H839,G839,$B$3,$F$3)</f>
        <v>57.965359984763332</v>
      </c>
      <c r="J839" s="4">
        <f t="shared" si="320"/>
        <v>1519345.278438075</v>
      </c>
      <c r="K839" s="1">
        <f t="shared" si="321"/>
        <v>2101.04</v>
      </c>
      <c r="L839" s="5">
        <f t="shared" si="322"/>
        <v>0.10136986301369892</v>
      </c>
      <c r="M839" s="5">
        <f t="shared" si="323"/>
        <v>-0.4443707157422368</v>
      </c>
      <c r="N839" s="5">
        <f t="shared" si="324"/>
        <v>29.150552093416255</v>
      </c>
      <c r="O839" s="1">
        <f t="shared" si="325"/>
        <v>0</v>
      </c>
      <c r="P839" s="1">
        <f t="shared" si="326"/>
        <v>2101.04</v>
      </c>
      <c r="Q839" s="5">
        <f t="shared" si="327"/>
        <v>0.10136986301369892</v>
      </c>
      <c r="R839" s="5">
        <f t="shared" si="328"/>
        <v>-0.4443707157422368</v>
      </c>
      <c r="S839" s="5">
        <f t="shared" ref="S839:S902" si="334">BSM_Put(B839,P839,F839,H839,G839,Q839,$F$3)</f>
        <v>29.150552093416255</v>
      </c>
      <c r="T839" s="5">
        <f t="shared" si="312"/>
        <v>-702.82485904134739</v>
      </c>
      <c r="U839" s="4">
        <f t="shared" si="313"/>
        <v>1519418.8313999106</v>
      </c>
      <c r="V839" s="4">
        <f t="shared" si="329"/>
        <v>24.518840868343759</v>
      </c>
      <c r="W839" s="4">
        <f t="shared" si="314"/>
        <v>1498931.098733878</v>
      </c>
      <c r="X839" s="4">
        <f t="shared" si="318"/>
        <v>3054.7496061304118</v>
      </c>
      <c r="Y839" s="9">
        <f>SUM($X$6:X839)</f>
        <v>498931.098733878</v>
      </c>
      <c r="Z839" s="16">
        <f t="shared" si="319"/>
        <v>0.49893109873387798</v>
      </c>
      <c r="AA839" s="16">
        <f t="shared" si="315"/>
        <v>0.65595978262571863</v>
      </c>
      <c r="AB839" s="16">
        <f t="shared" si="316"/>
        <v>2.0421137134173225E-3</v>
      </c>
      <c r="AC839" s="16">
        <f t="shared" si="317"/>
        <v>2.7691899171140419E-3</v>
      </c>
    </row>
    <row r="840" spans="1:29" x14ac:dyDescent="0.15">
      <c r="A840" s="8">
        <v>42123</v>
      </c>
      <c r="B840" s="4">
        <v>2106.85</v>
      </c>
      <c r="C840" s="1">
        <v>13.1174</v>
      </c>
      <c r="D840" s="1">
        <v>2.04</v>
      </c>
      <c r="E840" s="1">
        <v>0.28420000000000001</v>
      </c>
      <c r="F840" s="4">
        <f t="shared" si="330"/>
        <v>0.13117400000000001</v>
      </c>
      <c r="G840" s="4">
        <f t="shared" si="331"/>
        <v>2.0400000000000001E-2</v>
      </c>
      <c r="H840" s="4">
        <f t="shared" si="332"/>
        <v>2.8419999999999999E-3</v>
      </c>
      <c r="I840" s="3">
        <f t="shared" si="333"/>
        <v>59.602605282022168</v>
      </c>
      <c r="J840" s="4">
        <f t="shared" si="320"/>
        <v>1519418.8313999106</v>
      </c>
      <c r="K840" s="1">
        <f t="shared" si="321"/>
        <v>2101.04</v>
      </c>
      <c r="L840" s="5">
        <f t="shared" si="322"/>
        <v>9.8630136986301659E-2</v>
      </c>
      <c r="M840" s="5">
        <f t="shared" si="323"/>
        <v>-0.48084847131604869</v>
      </c>
      <c r="N840" s="5">
        <f t="shared" si="324"/>
        <v>33.464471822126328</v>
      </c>
      <c r="O840" s="1">
        <f t="shared" si="325"/>
        <v>0</v>
      </c>
      <c r="P840" s="1">
        <f t="shared" si="326"/>
        <v>2101.04</v>
      </c>
      <c r="Q840" s="5">
        <f t="shared" si="327"/>
        <v>9.8630136986301659E-2</v>
      </c>
      <c r="R840" s="5">
        <f t="shared" si="328"/>
        <v>-0.48084847131604869</v>
      </c>
      <c r="S840" s="5">
        <f t="shared" si="334"/>
        <v>33.464471822126328</v>
      </c>
      <c r="T840" s="5">
        <f t="shared" ref="T840:T903" si="335">IF(O840,-(J840+IF(L840&lt;=0.00001, MAX(K840-B840,0),N840)*T839)/P840,T839)</f>
        <v>-702.82485904134739</v>
      </c>
      <c r="U840" s="4">
        <f t="shared" ref="U840:U903" si="336">IF(O840,(J840+IF(L840&lt;=0.00001, MAX(K840-B840,0),N840)*T839)-(S840*T840),U839)+V839</f>
        <v>1519443.3502407789</v>
      </c>
      <c r="V840" s="4">
        <f t="shared" si="329"/>
        <v>24.519236528542976</v>
      </c>
      <c r="W840" s="4">
        <f t="shared" ref="W840:W903" si="337">S840*T840+U840</f>
        <v>1495923.6875494998</v>
      </c>
      <c r="X840" s="4">
        <f t="shared" si="318"/>
        <v>-3007.4111843782011</v>
      </c>
      <c r="Y840" s="9">
        <f>SUM($X$6:X840)</f>
        <v>495923.68754949979</v>
      </c>
      <c r="Z840" s="16">
        <f t="shared" si="319"/>
        <v>0.49592368754949978</v>
      </c>
      <c r="AA840" s="16">
        <f t="shared" ref="AA840:AA903" si="338">(B840-$B$6)/$B$6</f>
        <v>0.64976586847916307</v>
      </c>
      <c r="AB840" s="16">
        <f t="shared" ref="AB840:AB903" si="339">X840/W839</f>
        <v>-2.0063705309193406E-3</v>
      </c>
      <c r="AC840" s="16">
        <f t="shared" ref="AC840:AC903" si="340">(B840-B839)/B839</f>
        <v>-3.7403771586375324E-3</v>
      </c>
    </row>
    <row r="841" spans="1:29" x14ac:dyDescent="0.15">
      <c r="A841" s="8">
        <v>42124</v>
      </c>
      <c r="B841" s="4">
        <v>2085.5100000000002</v>
      </c>
      <c r="C841" s="1">
        <v>13.877000000000001</v>
      </c>
      <c r="D841" s="1">
        <v>2.06</v>
      </c>
      <c r="E841" s="1">
        <v>0.28489999999999999</v>
      </c>
      <c r="F841" s="4">
        <f t="shared" si="330"/>
        <v>0.13877</v>
      </c>
      <c r="G841" s="4">
        <f t="shared" si="331"/>
        <v>2.06E-2</v>
      </c>
      <c r="H841" s="4">
        <f t="shared" si="332"/>
        <v>2.849E-3</v>
      </c>
      <c r="I841" s="3">
        <f t="shared" si="333"/>
        <v>62.187908840700878</v>
      </c>
      <c r="J841" s="4">
        <f t="shared" si="320"/>
        <v>1519443.3502407789</v>
      </c>
      <c r="K841" s="1">
        <f t="shared" si="321"/>
        <v>2101.04</v>
      </c>
      <c r="L841" s="5">
        <f t="shared" si="322"/>
        <v>9.5890410958904396E-2</v>
      </c>
      <c r="M841" s="5">
        <f t="shared" si="323"/>
        <v>-0.57451268742253514</v>
      </c>
      <c r="N841" s="5">
        <f t="shared" si="324"/>
        <v>46.182682705716282</v>
      </c>
      <c r="O841" s="1">
        <f t="shared" si="325"/>
        <v>0</v>
      </c>
      <c r="P841" s="1">
        <f t="shared" si="326"/>
        <v>2101.04</v>
      </c>
      <c r="Q841" s="5">
        <f t="shared" si="327"/>
        <v>9.5890410958904396E-2</v>
      </c>
      <c r="R841" s="5">
        <f t="shared" si="328"/>
        <v>-0.57451268742253514</v>
      </c>
      <c r="S841" s="5">
        <f t="shared" si="334"/>
        <v>46.182682705716282</v>
      </c>
      <c r="T841" s="5">
        <f t="shared" si="335"/>
        <v>-702.82485904134739</v>
      </c>
      <c r="U841" s="4">
        <f t="shared" si="336"/>
        <v>1519467.8694773074</v>
      </c>
      <c r="V841" s="4">
        <f t="shared" si="329"/>
        <v>24.51963219512696</v>
      </c>
      <c r="W841" s="4">
        <f t="shared" si="337"/>
        <v>1487009.5320145111</v>
      </c>
      <c r="X841" s="4">
        <f t="shared" ref="X841:X904" si="341">W841-W840</f>
        <v>-8914.1555349887349</v>
      </c>
      <c r="Y841" s="9">
        <f>SUM($X$6:X841)</f>
        <v>487009.53201451106</v>
      </c>
      <c r="Z841" s="16">
        <f t="shared" si="319"/>
        <v>0.48700953201451108</v>
      </c>
      <c r="AA841" s="16">
        <f t="shared" si="338"/>
        <v>0.63305561210906325</v>
      </c>
      <c r="AB841" s="16">
        <f t="shared" si="339"/>
        <v>-5.9589640896663505E-3</v>
      </c>
      <c r="AC841" s="16">
        <f t="shared" si="340"/>
        <v>-1.0128865367728928E-2</v>
      </c>
    </row>
    <row r="842" spans="1:29" x14ac:dyDescent="0.15">
      <c r="A842" s="8">
        <v>42125</v>
      </c>
      <c r="B842" s="4">
        <v>2108.29</v>
      </c>
      <c r="C842" s="1">
        <v>12.906499999999999</v>
      </c>
      <c r="D842" s="1">
        <v>2.04</v>
      </c>
      <c r="E842" s="1">
        <v>0.28599999999999998</v>
      </c>
      <c r="F842" s="4">
        <f t="shared" si="330"/>
        <v>0.12906499999999999</v>
      </c>
      <c r="G842" s="4">
        <f t="shared" si="331"/>
        <v>2.0400000000000001E-2</v>
      </c>
      <c r="H842" s="4">
        <f t="shared" si="332"/>
        <v>2.8599999999999997E-3</v>
      </c>
      <c r="I842" s="3">
        <f t="shared" si="333"/>
        <v>58.757558742587484</v>
      </c>
      <c r="J842" s="4">
        <f t="shared" si="320"/>
        <v>1519467.8694773074</v>
      </c>
      <c r="K842" s="1">
        <f t="shared" si="321"/>
        <v>2101.04</v>
      </c>
      <c r="L842" s="5">
        <f t="shared" si="322"/>
        <v>9.3150684931507133E-2</v>
      </c>
      <c r="M842" s="5">
        <f t="shared" si="323"/>
        <v>-0.47292198739435815</v>
      </c>
      <c r="N842" s="5">
        <f t="shared" si="324"/>
        <v>31.167941275810012</v>
      </c>
      <c r="O842" s="1">
        <f t="shared" si="325"/>
        <v>0</v>
      </c>
      <c r="P842" s="1">
        <f t="shared" si="326"/>
        <v>2101.04</v>
      </c>
      <c r="Q842" s="5">
        <f t="shared" si="327"/>
        <v>9.3150684931507133E-2</v>
      </c>
      <c r="R842" s="5">
        <f t="shared" si="328"/>
        <v>-0.47292198739435815</v>
      </c>
      <c r="S842" s="5">
        <f t="shared" si="334"/>
        <v>31.167941275810012</v>
      </c>
      <c r="T842" s="5">
        <f t="shared" si="335"/>
        <v>-702.82485904134739</v>
      </c>
      <c r="U842" s="4">
        <f t="shared" si="336"/>
        <v>1519492.3891095025</v>
      </c>
      <c r="V842" s="4">
        <f t="shared" si="329"/>
        <v>24.520027868095806</v>
      </c>
      <c r="W842" s="4">
        <f t="shared" si="337"/>
        <v>1497586.7851757223</v>
      </c>
      <c r="X842" s="4">
        <f t="shared" si="341"/>
        <v>10577.253161211265</v>
      </c>
      <c r="Y842" s="9">
        <f>SUM($X$6:X842)</f>
        <v>497586.78517572233</v>
      </c>
      <c r="Z842" s="16">
        <f t="shared" si="319"/>
        <v>0.4975867851757223</v>
      </c>
      <c r="AA842" s="16">
        <f t="shared" si="338"/>
        <v>0.65089345841229074</v>
      </c>
      <c r="AB842" s="16">
        <f t="shared" si="339"/>
        <v>7.1131038056506867E-3</v>
      </c>
      <c r="AC842" s="16">
        <f t="shared" si="340"/>
        <v>1.0922987662490106E-2</v>
      </c>
    </row>
    <row r="843" spans="1:29" x14ac:dyDescent="0.15">
      <c r="A843" s="8">
        <v>42128</v>
      </c>
      <c r="B843" s="4">
        <v>2114.4899999999998</v>
      </c>
      <c r="C843" s="1">
        <v>12.8666</v>
      </c>
      <c r="D843" s="1">
        <v>2.0299999999999998</v>
      </c>
      <c r="E843" s="1">
        <v>0.28599999999999998</v>
      </c>
      <c r="F843" s="4">
        <f t="shared" si="330"/>
        <v>0.128666</v>
      </c>
      <c r="G843" s="4">
        <f t="shared" si="331"/>
        <v>2.0299999999999999E-2</v>
      </c>
      <c r="H843" s="4">
        <f t="shared" si="332"/>
        <v>2.8599999999999997E-3</v>
      </c>
      <c r="I843" s="3">
        <f t="shared" si="333"/>
        <v>58.73627829973605</v>
      </c>
      <c r="J843" s="4">
        <f t="shared" si="320"/>
        <v>1519492.3891095025</v>
      </c>
      <c r="K843" s="1">
        <f t="shared" si="321"/>
        <v>2101.04</v>
      </c>
      <c r="L843" s="5">
        <f t="shared" si="322"/>
        <v>8.4931506849315358E-2</v>
      </c>
      <c r="M843" s="5">
        <f t="shared" si="323"/>
        <v>-0.43985024527969174</v>
      </c>
      <c r="N843" s="5">
        <f t="shared" si="324"/>
        <v>26.60717274955595</v>
      </c>
      <c r="O843" s="1">
        <f t="shared" si="325"/>
        <v>0</v>
      </c>
      <c r="P843" s="1">
        <f t="shared" si="326"/>
        <v>2101.04</v>
      </c>
      <c r="Q843" s="5">
        <f t="shared" si="327"/>
        <v>8.4931506849315358E-2</v>
      </c>
      <c r="R843" s="5">
        <f t="shared" si="328"/>
        <v>-0.43985024527969174</v>
      </c>
      <c r="S843" s="5">
        <f t="shared" si="334"/>
        <v>26.60717274955595</v>
      </c>
      <c r="T843" s="5">
        <f t="shared" si="335"/>
        <v>-702.82485904134739</v>
      </c>
      <c r="U843" s="4">
        <f t="shared" si="336"/>
        <v>1519516.9091373705</v>
      </c>
      <c r="V843" s="4">
        <f t="shared" si="329"/>
        <v>73.561270642348859</v>
      </c>
      <c r="W843" s="4">
        <f t="shared" si="337"/>
        <v>1500816.7267001751</v>
      </c>
      <c r="X843" s="4">
        <f t="shared" si="341"/>
        <v>3229.9415244527627</v>
      </c>
      <c r="Y843" s="9">
        <f>SUM($X$6:X843)</f>
        <v>500816.72670017509</v>
      </c>
      <c r="Z843" s="16">
        <f t="shared" si="319"/>
        <v>0.50081672670017507</v>
      </c>
      <c r="AA843" s="16">
        <f t="shared" si="338"/>
        <v>0.65574835951325694</v>
      </c>
      <c r="AB843" s="16">
        <f t="shared" si="339"/>
        <v>2.1567641731519227E-3</v>
      </c>
      <c r="AC843" s="16">
        <f t="shared" si="340"/>
        <v>2.940771905193222E-3</v>
      </c>
    </row>
    <row r="844" spans="1:29" x14ac:dyDescent="0.15">
      <c r="A844" s="8">
        <v>42129</v>
      </c>
      <c r="B844" s="4">
        <v>2089.46</v>
      </c>
      <c r="C844" s="1">
        <v>13.9481</v>
      </c>
      <c r="D844" s="1">
        <v>2.06</v>
      </c>
      <c r="E844" s="1">
        <v>0.28199999999999997</v>
      </c>
      <c r="F844" s="4">
        <f t="shared" si="330"/>
        <v>0.13948099999999999</v>
      </c>
      <c r="G844" s="4">
        <f t="shared" si="331"/>
        <v>2.06E-2</v>
      </c>
      <c r="H844" s="4">
        <f t="shared" si="332"/>
        <v>2.8199999999999996E-3</v>
      </c>
      <c r="I844" s="3">
        <f t="shared" si="333"/>
        <v>62.608123841430363</v>
      </c>
      <c r="J844" s="4">
        <f t="shared" si="320"/>
        <v>1519516.9091373705</v>
      </c>
      <c r="K844" s="1">
        <f t="shared" si="321"/>
        <v>2101.04</v>
      </c>
      <c r="L844" s="5">
        <f t="shared" si="322"/>
        <v>8.2191780821918095E-2</v>
      </c>
      <c r="M844" s="5">
        <f t="shared" si="323"/>
        <v>-0.56054598329164596</v>
      </c>
      <c r="N844" s="5">
        <f t="shared" si="324"/>
        <v>41.21342692357554</v>
      </c>
      <c r="O844" s="1">
        <f t="shared" si="325"/>
        <v>0</v>
      </c>
      <c r="P844" s="1">
        <f t="shared" si="326"/>
        <v>2101.04</v>
      </c>
      <c r="Q844" s="5">
        <f t="shared" si="327"/>
        <v>8.2191780821918095E-2</v>
      </c>
      <c r="R844" s="5">
        <f t="shared" si="328"/>
        <v>-0.56054598329164596</v>
      </c>
      <c r="S844" s="5">
        <f t="shared" si="334"/>
        <v>41.21342692357554</v>
      </c>
      <c r="T844" s="5">
        <f t="shared" si="335"/>
        <v>-702.82485904134739</v>
      </c>
      <c r="U844" s="4">
        <f t="shared" si="336"/>
        <v>1519590.4704080129</v>
      </c>
      <c r="V844" s="4">
        <f t="shared" si="329"/>
        <v>24.521610604666286</v>
      </c>
      <c r="W844" s="4">
        <f t="shared" si="337"/>
        <v>1490624.6494398401</v>
      </c>
      <c r="X844" s="4">
        <f t="shared" si="341"/>
        <v>-10192.077260334976</v>
      </c>
      <c r="Y844" s="9">
        <f>SUM($X$6:X844)</f>
        <v>490624.64943984011</v>
      </c>
      <c r="Z844" s="16">
        <f t="shared" si="319"/>
        <v>0.49062464943984013</v>
      </c>
      <c r="AA844" s="16">
        <f t="shared" si="338"/>
        <v>0.63614865393951747</v>
      </c>
      <c r="AB844" s="16">
        <f t="shared" si="339"/>
        <v>-6.7910205683435814E-3</v>
      </c>
      <c r="AC844" s="16">
        <f t="shared" si="340"/>
        <v>-1.1837369767650709E-2</v>
      </c>
    </row>
    <row r="845" spans="1:29" x14ac:dyDescent="0.15">
      <c r="A845" s="8">
        <v>42130</v>
      </c>
      <c r="B845" s="4">
        <v>2080.15</v>
      </c>
      <c r="C845" s="1">
        <v>14.2995</v>
      </c>
      <c r="D845" s="1">
        <v>2.0699999999999998</v>
      </c>
      <c r="E845" s="1">
        <v>0.28199999999999997</v>
      </c>
      <c r="F845" s="4">
        <f t="shared" si="330"/>
        <v>0.14299500000000001</v>
      </c>
      <c r="G845" s="4">
        <f t="shared" si="331"/>
        <v>2.07E-2</v>
      </c>
      <c r="H845" s="4">
        <f t="shared" si="332"/>
        <v>2.8199999999999996E-3</v>
      </c>
      <c r="I845" s="3">
        <f t="shared" si="333"/>
        <v>63.803559069981901</v>
      </c>
      <c r="J845" s="4">
        <f t="shared" si="320"/>
        <v>1519590.4704080129</v>
      </c>
      <c r="K845" s="1">
        <f t="shared" si="321"/>
        <v>2101.04</v>
      </c>
      <c r="L845" s="5">
        <f t="shared" si="322"/>
        <v>7.9452054794520832E-2</v>
      </c>
      <c r="M845" s="5">
        <f t="shared" si="323"/>
        <v>-0.602734391061296</v>
      </c>
      <c r="N845" s="5">
        <f t="shared" si="324"/>
        <v>46.839035094469907</v>
      </c>
      <c r="O845" s="1">
        <f t="shared" si="325"/>
        <v>0</v>
      </c>
      <c r="P845" s="1">
        <f t="shared" si="326"/>
        <v>2101.04</v>
      </c>
      <c r="Q845" s="5">
        <f t="shared" si="327"/>
        <v>7.9452054794520832E-2</v>
      </c>
      <c r="R845" s="5">
        <f t="shared" si="328"/>
        <v>-0.602734391061296</v>
      </c>
      <c r="S845" s="5">
        <f t="shared" si="334"/>
        <v>46.839035094469907</v>
      </c>
      <c r="T845" s="5">
        <f t="shared" si="335"/>
        <v>-702.82485904134739</v>
      </c>
      <c r="U845" s="4">
        <f t="shared" si="336"/>
        <v>1519614.9920186175</v>
      </c>
      <c r="V845" s="4">
        <f t="shared" si="329"/>
        <v>24.522006309560698</v>
      </c>
      <c r="W845" s="4">
        <f t="shared" si="337"/>
        <v>1486695.3537807139</v>
      </c>
      <c r="X845" s="4">
        <f t="shared" si="341"/>
        <v>-3929.2956591262482</v>
      </c>
      <c r="Y845" s="9">
        <f>SUM($X$6:X845)</f>
        <v>486695.35378071386</v>
      </c>
      <c r="Z845" s="16">
        <f t="shared" si="319"/>
        <v>0.48669535378071388</v>
      </c>
      <c r="AA845" s="16">
        <f t="shared" si="338"/>
        <v>0.62885847180242138</v>
      </c>
      <c r="AB845" s="16">
        <f t="shared" si="339"/>
        <v>-2.6360060935546941E-3</v>
      </c>
      <c r="AC845" s="16">
        <f t="shared" si="340"/>
        <v>-4.4556966871823079E-3</v>
      </c>
    </row>
    <row r="846" spans="1:29" x14ac:dyDescent="0.15">
      <c r="A846" s="8">
        <v>42131</v>
      </c>
      <c r="B846" s="4">
        <v>2088</v>
      </c>
      <c r="C846" s="1">
        <v>14.2721</v>
      </c>
      <c r="D846" s="1">
        <v>2.06</v>
      </c>
      <c r="E846" s="1">
        <v>0.28499999999999998</v>
      </c>
      <c r="F846" s="4">
        <f t="shared" si="330"/>
        <v>0.14272099999999999</v>
      </c>
      <c r="G846" s="4">
        <f t="shared" si="331"/>
        <v>2.06E-2</v>
      </c>
      <c r="H846" s="4">
        <f t="shared" si="332"/>
        <v>2.8499999999999997E-3</v>
      </c>
      <c r="I846" s="3">
        <f t="shared" si="333"/>
        <v>63.896144568014904</v>
      </c>
      <c r="J846" s="4">
        <f t="shared" si="320"/>
        <v>1519614.9920186175</v>
      </c>
      <c r="K846" s="1">
        <f t="shared" si="321"/>
        <v>2101.04</v>
      </c>
      <c r="L846" s="5">
        <f t="shared" si="322"/>
        <v>7.6712328767123569E-2</v>
      </c>
      <c r="M846" s="5">
        <f t="shared" si="323"/>
        <v>-0.56745425498607616</v>
      </c>
      <c r="N846" s="5">
        <f t="shared" si="324"/>
        <v>41.543513450908307</v>
      </c>
      <c r="O846" s="1">
        <f t="shared" si="325"/>
        <v>0</v>
      </c>
      <c r="P846" s="1">
        <f t="shared" si="326"/>
        <v>2101.04</v>
      </c>
      <c r="Q846" s="5">
        <f t="shared" si="327"/>
        <v>7.6712328767123569E-2</v>
      </c>
      <c r="R846" s="5">
        <f t="shared" si="328"/>
        <v>-0.56745425498607616</v>
      </c>
      <c r="S846" s="5">
        <f t="shared" si="334"/>
        <v>41.543513450908307</v>
      </c>
      <c r="T846" s="5">
        <f t="shared" si="335"/>
        <v>-702.82485904134739</v>
      </c>
      <c r="U846" s="4">
        <f t="shared" si="336"/>
        <v>1519639.514024927</v>
      </c>
      <c r="V846" s="4">
        <f t="shared" si="329"/>
        <v>24.522402020840602</v>
      </c>
      <c r="W846" s="4">
        <f t="shared" si="337"/>
        <v>1490441.7000397102</v>
      </c>
      <c r="X846" s="4">
        <f t="shared" si="341"/>
        <v>3746.3462589962874</v>
      </c>
      <c r="Y846" s="9">
        <f>SUM($X$6:X846)</f>
        <v>490441.70003971015</v>
      </c>
      <c r="Z846" s="16">
        <f t="shared" si="319"/>
        <v>0.49044170003971016</v>
      </c>
      <c r="AA846" s="16">
        <f t="shared" si="338"/>
        <v>0.63500540303509634</v>
      </c>
      <c r="AB846" s="16">
        <f t="shared" si="339"/>
        <v>2.5199152263906716E-3</v>
      </c>
      <c r="AC846" s="16">
        <f t="shared" si="340"/>
        <v>3.7737663149291678E-3</v>
      </c>
    </row>
    <row r="847" spans="1:29" x14ac:dyDescent="0.15">
      <c r="A847" s="8">
        <v>42132</v>
      </c>
      <c r="B847" s="4">
        <v>2116.1</v>
      </c>
      <c r="C847" s="1">
        <v>13.0182</v>
      </c>
      <c r="D847" s="1">
        <v>2.0299999999999998</v>
      </c>
      <c r="E847" s="1">
        <v>0.28610000000000002</v>
      </c>
      <c r="F847" s="4">
        <f t="shared" si="330"/>
        <v>0.13018199999999999</v>
      </c>
      <c r="G847" s="4">
        <f t="shared" si="331"/>
        <v>2.0299999999999999E-2</v>
      </c>
      <c r="H847" s="4">
        <f t="shared" si="332"/>
        <v>2.8610000000000003E-3</v>
      </c>
      <c r="I847" s="3">
        <f t="shared" si="333"/>
        <v>59.416129403965122</v>
      </c>
      <c r="J847" s="4">
        <f t="shared" si="320"/>
        <v>1519639.514024927</v>
      </c>
      <c r="K847" s="1">
        <f t="shared" si="321"/>
        <v>2101.04</v>
      </c>
      <c r="L847" s="5">
        <f t="shared" si="322"/>
        <v>7.3972602739726306E-2</v>
      </c>
      <c r="M847" s="5">
        <f t="shared" si="323"/>
        <v>-0.42676119460801043</v>
      </c>
      <c r="N847" s="5">
        <f t="shared" si="324"/>
        <v>23.997811581190867</v>
      </c>
      <c r="O847" s="1">
        <f t="shared" si="325"/>
        <v>0</v>
      </c>
      <c r="P847" s="1">
        <f t="shared" si="326"/>
        <v>2101.04</v>
      </c>
      <c r="Q847" s="5">
        <f t="shared" si="327"/>
        <v>7.3972602739726306E-2</v>
      </c>
      <c r="R847" s="5">
        <f t="shared" si="328"/>
        <v>-0.42676119460801043</v>
      </c>
      <c r="S847" s="5">
        <f t="shared" si="334"/>
        <v>23.997811581190867</v>
      </c>
      <c r="T847" s="5">
        <f t="shared" si="335"/>
        <v>-702.82485904134739</v>
      </c>
      <c r="U847" s="4">
        <f t="shared" si="336"/>
        <v>1519664.0364269479</v>
      </c>
      <c r="V847" s="4">
        <f t="shared" si="329"/>
        <v>24.522797738506085</v>
      </c>
      <c r="W847" s="4">
        <f t="shared" si="337"/>
        <v>1502797.7778850966</v>
      </c>
      <c r="X847" s="4">
        <f t="shared" si="341"/>
        <v>12356.077845386462</v>
      </c>
      <c r="Y847" s="9">
        <f>SUM($X$6:X847)</f>
        <v>502797.77788509661</v>
      </c>
      <c r="Z847" s="16">
        <f t="shared" si="319"/>
        <v>0.50279777788509661</v>
      </c>
      <c r="AA847" s="16">
        <f t="shared" si="338"/>
        <v>0.65700906770237888</v>
      </c>
      <c r="AB847" s="16">
        <f t="shared" si="339"/>
        <v>8.2902121197073707E-3</v>
      </c>
      <c r="AC847" s="16">
        <f t="shared" si="340"/>
        <v>1.3457854406130225E-2</v>
      </c>
    </row>
    <row r="848" spans="1:29" x14ac:dyDescent="0.15">
      <c r="A848" s="8">
        <v>42135</v>
      </c>
      <c r="B848" s="4">
        <v>2105.33</v>
      </c>
      <c r="C848" s="1">
        <v>13.5177</v>
      </c>
      <c r="D848" s="1">
        <v>2.04</v>
      </c>
      <c r="E848" s="1">
        <v>0.28270000000000001</v>
      </c>
      <c r="F848" s="4">
        <f t="shared" si="330"/>
        <v>0.13517699999999999</v>
      </c>
      <c r="G848" s="4">
        <f t="shared" si="331"/>
        <v>2.0400000000000001E-2</v>
      </c>
      <c r="H848" s="4">
        <f t="shared" si="332"/>
        <v>2.8270000000000001E-3</v>
      </c>
      <c r="I848" s="3">
        <f t="shared" si="333"/>
        <v>61.233209560161107</v>
      </c>
      <c r="J848" s="4">
        <f t="shared" si="320"/>
        <v>1519664.0364269479</v>
      </c>
      <c r="K848" s="1">
        <f t="shared" si="321"/>
        <v>2101.04</v>
      </c>
      <c r="L848" s="5">
        <f t="shared" si="322"/>
        <v>6.5753424657534532E-2</v>
      </c>
      <c r="M848" s="5">
        <f t="shared" si="323"/>
        <v>-0.48226627770813185</v>
      </c>
      <c r="N848" s="5">
        <f t="shared" si="324"/>
        <v>28.14028774674949</v>
      </c>
      <c r="O848" s="1">
        <f t="shared" si="325"/>
        <v>0</v>
      </c>
      <c r="P848" s="1">
        <f t="shared" si="326"/>
        <v>2101.04</v>
      </c>
      <c r="Q848" s="5">
        <f t="shared" si="327"/>
        <v>6.5753424657534532E-2</v>
      </c>
      <c r="R848" s="5">
        <f t="shared" si="328"/>
        <v>-0.48226627770813185</v>
      </c>
      <c r="S848" s="5">
        <f t="shared" si="334"/>
        <v>28.14028774674949</v>
      </c>
      <c r="T848" s="5">
        <f t="shared" si="335"/>
        <v>-702.82485904134739</v>
      </c>
      <c r="U848" s="4">
        <f t="shared" si="336"/>
        <v>1519688.5592246864</v>
      </c>
      <c r="V848" s="4">
        <f t="shared" si="329"/>
        <v>73.569580387671792</v>
      </c>
      <c r="W848" s="4">
        <f t="shared" si="337"/>
        <v>1499910.8654556943</v>
      </c>
      <c r="X848" s="4">
        <f t="shared" si="341"/>
        <v>-2886.9124294023495</v>
      </c>
      <c r="Y848" s="9">
        <f>SUM($X$6:X848)</f>
        <v>499910.86545569426</v>
      </c>
      <c r="Z848" s="16">
        <f t="shared" si="319"/>
        <v>0.49991086545569424</v>
      </c>
      <c r="AA848" s="16">
        <f t="shared" si="338"/>
        <v>0.64857563466086166</v>
      </c>
      <c r="AB848" s="16">
        <f t="shared" si="339"/>
        <v>-1.9210252183531522E-3</v>
      </c>
      <c r="AC848" s="16">
        <f t="shared" si="340"/>
        <v>-5.0895515334813957E-3</v>
      </c>
    </row>
    <row r="849" spans="1:29" x14ac:dyDescent="0.15">
      <c r="A849" s="8">
        <v>42136</v>
      </c>
      <c r="B849" s="4">
        <v>2099.12</v>
      </c>
      <c r="C849" s="1">
        <v>13.6416</v>
      </c>
      <c r="D849" s="1">
        <v>2.0499999999999998</v>
      </c>
      <c r="E849" s="1">
        <v>0.28110000000000002</v>
      </c>
      <c r="F849" s="4">
        <f t="shared" si="330"/>
        <v>0.13641600000000001</v>
      </c>
      <c r="G849" s="4">
        <f t="shared" si="331"/>
        <v>2.0499999999999997E-2</v>
      </c>
      <c r="H849" s="4">
        <f t="shared" si="332"/>
        <v>2.8110000000000001E-3</v>
      </c>
      <c r="I849" s="3">
        <f t="shared" si="333"/>
        <v>61.598976015456202</v>
      </c>
      <c r="J849" s="4">
        <f t="shared" si="320"/>
        <v>1519688.5592246864</v>
      </c>
      <c r="K849" s="1">
        <f t="shared" si="321"/>
        <v>2101.04</v>
      </c>
      <c r="L849" s="5">
        <f t="shared" si="322"/>
        <v>6.3013698630137269E-2</v>
      </c>
      <c r="M849" s="5">
        <f t="shared" si="323"/>
        <v>-0.51613396580282733</v>
      </c>
      <c r="N849" s="5">
        <f t="shared" si="324"/>
        <v>30.846585106147142</v>
      </c>
      <c r="O849" s="1">
        <f t="shared" si="325"/>
        <v>0</v>
      </c>
      <c r="P849" s="1">
        <f t="shared" si="326"/>
        <v>2101.04</v>
      </c>
      <c r="Q849" s="5">
        <f t="shared" si="327"/>
        <v>6.3013698630137269E-2</v>
      </c>
      <c r="R849" s="5">
        <f t="shared" si="328"/>
        <v>-0.51613396580282733</v>
      </c>
      <c r="S849" s="5">
        <f t="shared" si="334"/>
        <v>30.846585106147142</v>
      </c>
      <c r="T849" s="5">
        <f t="shared" si="335"/>
        <v>-702.82485904134739</v>
      </c>
      <c r="U849" s="4">
        <f t="shared" si="336"/>
        <v>1519762.1288050739</v>
      </c>
      <c r="V849" s="4">
        <f t="shared" si="329"/>
        <v>24.524380653868178</v>
      </c>
      <c r="W849" s="4">
        <f t="shared" si="337"/>
        <v>1498082.381975939</v>
      </c>
      <c r="X849" s="4">
        <f t="shared" si="341"/>
        <v>-1828.4834797552321</v>
      </c>
      <c r="Y849" s="9">
        <f>SUM($X$6:X849)</f>
        <v>498082.38197593903</v>
      </c>
      <c r="Z849" s="16">
        <f t="shared" si="319"/>
        <v>0.49808238197593901</v>
      </c>
      <c r="AA849" s="16">
        <f t="shared" si="338"/>
        <v>0.64371290307424867</v>
      </c>
      <c r="AB849" s="16">
        <f t="shared" si="339"/>
        <v>-1.2190614268266619E-3</v>
      </c>
      <c r="AC849" s="16">
        <f t="shared" si="340"/>
        <v>-2.9496563484109552E-3</v>
      </c>
    </row>
    <row r="850" spans="1:29" x14ac:dyDescent="0.15">
      <c r="A850" s="8">
        <v>42137</v>
      </c>
      <c r="B850" s="4">
        <v>2098.48</v>
      </c>
      <c r="C850" s="1">
        <v>13.4969</v>
      </c>
      <c r="D850" s="1">
        <v>2.0499999999999998</v>
      </c>
      <c r="E850" s="1">
        <v>0.27989999999999998</v>
      </c>
      <c r="F850" s="4">
        <f t="shared" si="330"/>
        <v>0.13496900000000001</v>
      </c>
      <c r="G850" s="4">
        <f t="shared" si="331"/>
        <v>2.0499999999999997E-2</v>
      </c>
      <c r="H850" s="4">
        <f t="shared" si="332"/>
        <v>2.7989999999999998E-3</v>
      </c>
      <c r="I850" s="3">
        <f t="shared" si="333"/>
        <v>60.982092546419196</v>
      </c>
      <c r="J850" s="4">
        <f t="shared" si="320"/>
        <v>1519762.1288050739</v>
      </c>
      <c r="K850" s="1">
        <f t="shared" si="321"/>
        <v>2101.04</v>
      </c>
      <c r="L850" s="5">
        <f t="shared" si="322"/>
        <v>6.0273972602740006E-2</v>
      </c>
      <c r="M850" s="5">
        <f t="shared" si="323"/>
        <v>-0.52026115646730831</v>
      </c>
      <c r="N850" s="5">
        <f t="shared" si="324"/>
        <v>30.201074124955301</v>
      </c>
      <c r="O850" s="1">
        <f t="shared" si="325"/>
        <v>0</v>
      </c>
      <c r="P850" s="1">
        <f t="shared" si="326"/>
        <v>2101.04</v>
      </c>
      <c r="Q850" s="5">
        <f t="shared" si="327"/>
        <v>6.0273972602740006E-2</v>
      </c>
      <c r="R850" s="5">
        <f t="shared" si="328"/>
        <v>-0.52026115646730831</v>
      </c>
      <c r="S850" s="5">
        <f t="shared" si="334"/>
        <v>30.201074124955301</v>
      </c>
      <c r="T850" s="5">
        <f t="shared" si="335"/>
        <v>-702.82485904134739</v>
      </c>
      <c r="U850" s="4">
        <f t="shared" si="336"/>
        <v>1519786.6531857278</v>
      </c>
      <c r="V850" s="4">
        <f t="shared" si="329"/>
        <v>24.524776403462837</v>
      </c>
      <c r="W850" s="4">
        <f t="shared" si="337"/>
        <v>1498560.5875209589</v>
      </c>
      <c r="X850" s="4">
        <f t="shared" si="341"/>
        <v>478.20554501982406</v>
      </c>
      <c r="Y850" s="9">
        <f>SUM($X$6:X850)</f>
        <v>498560.58752095886</v>
      </c>
      <c r="Z850" s="16">
        <f t="shared" ref="Z850:Z913" si="342">Y850/$H$3</f>
        <v>0.49856058752095883</v>
      </c>
      <c r="AA850" s="16">
        <f t="shared" si="338"/>
        <v>0.64321175199285863</v>
      </c>
      <c r="AB850" s="16">
        <f t="shared" si="339"/>
        <v>3.1921178085619098E-4</v>
      </c>
      <c r="AC850" s="16">
        <f t="shared" si="340"/>
        <v>-3.0488966805131324E-4</v>
      </c>
    </row>
    <row r="851" spans="1:29" x14ac:dyDescent="0.15">
      <c r="A851" s="8">
        <v>42138</v>
      </c>
      <c r="B851" s="4">
        <v>2121.1</v>
      </c>
      <c r="C851" s="1">
        <v>12.7483</v>
      </c>
      <c r="D851" s="1">
        <v>2.0299999999999998</v>
      </c>
      <c r="E851" s="1">
        <v>0.28210000000000002</v>
      </c>
      <c r="F851" s="4">
        <f t="shared" si="330"/>
        <v>0.12748300000000001</v>
      </c>
      <c r="G851" s="4">
        <f t="shared" si="331"/>
        <v>2.0299999999999999E-2</v>
      </c>
      <c r="H851" s="4">
        <f t="shared" si="332"/>
        <v>2.8210000000000002E-3</v>
      </c>
      <c r="I851" s="3">
        <f t="shared" si="333"/>
        <v>58.43402483421292</v>
      </c>
      <c r="J851" s="4">
        <f t="shared" si="320"/>
        <v>1519786.6531857278</v>
      </c>
      <c r="K851" s="1">
        <f t="shared" si="321"/>
        <v>2101.04</v>
      </c>
      <c r="L851" s="5">
        <f t="shared" si="322"/>
        <v>5.7534246575342743E-2</v>
      </c>
      <c r="M851" s="5">
        <f t="shared" si="323"/>
        <v>-0.3842525962886203</v>
      </c>
      <c r="N851" s="5">
        <f t="shared" si="324"/>
        <v>17.759350293097306</v>
      </c>
      <c r="O851" s="1">
        <f t="shared" si="325"/>
        <v>0</v>
      </c>
      <c r="P851" s="1">
        <f t="shared" si="326"/>
        <v>2101.04</v>
      </c>
      <c r="Q851" s="5">
        <f t="shared" si="327"/>
        <v>5.7534246575342743E-2</v>
      </c>
      <c r="R851" s="5">
        <f t="shared" si="328"/>
        <v>-0.3842525962886203</v>
      </c>
      <c r="S851" s="5">
        <f t="shared" si="334"/>
        <v>17.759350293097306</v>
      </c>
      <c r="T851" s="5">
        <f t="shared" si="335"/>
        <v>-702.82485904134739</v>
      </c>
      <c r="U851" s="4">
        <f t="shared" si="336"/>
        <v>1519811.1779621313</v>
      </c>
      <c r="V851" s="4">
        <f t="shared" si="329"/>
        <v>24.525172159443706</v>
      </c>
      <c r="W851" s="4">
        <f t="shared" si="337"/>
        <v>1507329.4650957193</v>
      </c>
      <c r="X851" s="4">
        <f t="shared" si="341"/>
        <v>8768.8775747604668</v>
      </c>
      <c r="Y851" s="9">
        <f>SUM($X$6:X851)</f>
        <v>507329.46509571932</v>
      </c>
      <c r="Z851" s="16">
        <f t="shared" si="342"/>
        <v>0.5073294650957193</v>
      </c>
      <c r="AA851" s="16">
        <f t="shared" si="338"/>
        <v>0.66092431052573886</v>
      </c>
      <c r="AB851" s="16">
        <f t="shared" si="339"/>
        <v>5.8515335634621614E-3</v>
      </c>
      <c r="AC851" s="16">
        <f t="shared" si="340"/>
        <v>1.0779230681254951E-2</v>
      </c>
    </row>
    <row r="852" spans="1:29" x14ac:dyDescent="0.15">
      <c r="A852" s="8">
        <v>42139</v>
      </c>
      <c r="B852" s="4">
        <v>2122.73</v>
      </c>
      <c r="C852" s="1">
        <v>12.5588</v>
      </c>
      <c r="D852" s="1">
        <v>2.0299999999999998</v>
      </c>
      <c r="E852" s="1">
        <v>0.28260000000000002</v>
      </c>
      <c r="F852" s="4">
        <f t="shared" si="330"/>
        <v>0.12558800000000001</v>
      </c>
      <c r="G852" s="4">
        <f t="shared" si="331"/>
        <v>2.0299999999999999E-2</v>
      </c>
      <c r="H852" s="4">
        <f t="shared" si="332"/>
        <v>2.8260000000000004E-3</v>
      </c>
      <c r="I852" s="3">
        <f t="shared" si="333"/>
        <v>57.680815985023848</v>
      </c>
      <c r="J852" s="4">
        <f t="shared" si="320"/>
        <v>1519811.1779621313</v>
      </c>
      <c r="K852" s="1">
        <f t="shared" si="321"/>
        <v>2101.04</v>
      </c>
      <c r="L852" s="5">
        <f t="shared" si="322"/>
        <v>5.479452054794548E-2</v>
      </c>
      <c r="M852" s="5">
        <f t="shared" si="323"/>
        <v>-0.36972498501703438</v>
      </c>
      <c r="N852" s="5">
        <f t="shared" si="324"/>
        <v>16.155611193861514</v>
      </c>
      <c r="O852" s="1">
        <f t="shared" si="325"/>
        <v>0</v>
      </c>
      <c r="P852" s="1">
        <f t="shared" si="326"/>
        <v>2101.04</v>
      </c>
      <c r="Q852" s="5">
        <f t="shared" si="327"/>
        <v>5.479452054794548E-2</v>
      </c>
      <c r="R852" s="5">
        <f t="shared" si="328"/>
        <v>-0.36972498501703438</v>
      </c>
      <c r="S852" s="5">
        <f t="shared" si="334"/>
        <v>16.155611193861514</v>
      </c>
      <c r="T852" s="5">
        <f t="shared" si="335"/>
        <v>-702.82485904134739</v>
      </c>
      <c r="U852" s="4">
        <f t="shared" si="336"/>
        <v>1519835.7031342909</v>
      </c>
      <c r="V852" s="4">
        <f t="shared" si="329"/>
        <v>24.525567921810882</v>
      </c>
      <c r="W852" s="4">
        <f t="shared" si="337"/>
        <v>1508481.1379742383</v>
      </c>
      <c r="X852" s="4">
        <f t="shared" si="341"/>
        <v>1151.6728785189334</v>
      </c>
      <c r="Y852" s="9">
        <f>SUM($X$6:X852)</f>
        <v>508481.13797423826</v>
      </c>
      <c r="Z852" s="16">
        <f t="shared" si="342"/>
        <v>0.50848113797423822</v>
      </c>
      <c r="AA852" s="16">
        <f t="shared" si="338"/>
        <v>0.66220067968615426</v>
      </c>
      <c r="AB852" s="16">
        <f t="shared" si="339"/>
        <v>7.6404854093779643E-4</v>
      </c>
      <c r="AC852" s="16">
        <f t="shared" si="340"/>
        <v>7.6846919051440723E-4</v>
      </c>
    </row>
    <row r="853" spans="1:29" x14ac:dyDescent="0.15">
      <c r="A853" s="8">
        <v>42142</v>
      </c>
      <c r="B853" s="4">
        <v>2129.1999999999998</v>
      </c>
      <c r="C853" s="1">
        <v>12.4482</v>
      </c>
      <c r="D853" s="1">
        <v>2.02</v>
      </c>
      <c r="E853" s="1">
        <v>0.28210000000000002</v>
      </c>
      <c r="F853" s="4">
        <f t="shared" si="330"/>
        <v>0.124482</v>
      </c>
      <c r="G853" s="4">
        <f t="shared" si="331"/>
        <v>2.0199999999999999E-2</v>
      </c>
      <c r="H853" s="4">
        <f t="shared" si="332"/>
        <v>2.8210000000000002E-3</v>
      </c>
      <c r="I853" s="3">
        <f t="shared" si="333"/>
        <v>57.364456864502671</v>
      </c>
      <c r="J853" s="4">
        <f t="shared" si="320"/>
        <v>1519835.7031342909</v>
      </c>
      <c r="K853" s="1">
        <f t="shared" si="321"/>
        <v>2101.04</v>
      </c>
      <c r="L853" s="5">
        <f t="shared" si="322"/>
        <v>4.6575342465753698E-2</v>
      </c>
      <c r="M853" s="5">
        <f t="shared" si="323"/>
        <v>-0.31571158390819631</v>
      </c>
      <c r="N853" s="5">
        <f t="shared" si="324"/>
        <v>11.849735255095187</v>
      </c>
      <c r="O853" s="1">
        <f t="shared" si="325"/>
        <v>0</v>
      </c>
      <c r="P853" s="1">
        <f t="shared" si="326"/>
        <v>2101.04</v>
      </c>
      <c r="Q853" s="5">
        <f t="shared" si="327"/>
        <v>4.6575342465753698E-2</v>
      </c>
      <c r="R853" s="5">
        <f t="shared" si="328"/>
        <v>-0.31571158390819631</v>
      </c>
      <c r="S853" s="5">
        <f t="shared" si="334"/>
        <v>11.849735255095187</v>
      </c>
      <c r="T853" s="5">
        <f t="shared" si="335"/>
        <v>-702.82485904134739</v>
      </c>
      <c r="U853" s="4">
        <f t="shared" si="336"/>
        <v>1519860.2287022127</v>
      </c>
      <c r="V853" s="4">
        <f t="shared" si="329"/>
        <v>73.577891071693401</v>
      </c>
      <c r="W853" s="4">
        <f t="shared" si="337"/>
        <v>1511531.9401918731</v>
      </c>
      <c r="X853" s="4">
        <f t="shared" si="341"/>
        <v>3050.8022176348604</v>
      </c>
      <c r="Y853" s="9">
        <f>SUM($X$6:X853)</f>
        <v>511531.94019187312</v>
      </c>
      <c r="Z853" s="16">
        <f t="shared" si="342"/>
        <v>0.51153194019187309</v>
      </c>
      <c r="AA853" s="16">
        <f t="shared" si="338"/>
        <v>0.66726700389958182</v>
      </c>
      <c r="AB853" s="16">
        <f t="shared" si="339"/>
        <v>2.0224331221879435E-3</v>
      </c>
      <c r="AC853" s="16">
        <f t="shared" si="340"/>
        <v>3.0479618227470286E-3</v>
      </c>
    </row>
    <row r="854" spans="1:29" x14ac:dyDescent="0.15">
      <c r="A854" s="8">
        <v>42143</v>
      </c>
      <c r="B854" s="4">
        <v>2127.83</v>
      </c>
      <c r="C854" s="1">
        <v>12.3932</v>
      </c>
      <c r="D854" s="1">
        <v>2.02</v>
      </c>
      <c r="E854" s="1">
        <v>0.28720000000000001</v>
      </c>
      <c r="F854" s="4">
        <f t="shared" si="330"/>
        <v>0.123932</v>
      </c>
      <c r="G854" s="4">
        <f t="shared" si="331"/>
        <v>2.0199999999999999E-2</v>
      </c>
      <c r="H854" s="4">
        <f t="shared" si="332"/>
        <v>2.872E-3</v>
      </c>
      <c r="I854" s="3">
        <f t="shared" si="333"/>
        <v>57.081166213436028</v>
      </c>
      <c r="J854" s="4">
        <f t="shared" si="320"/>
        <v>1519860.2287022127</v>
      </c>
      <c r="K854" s="1">
        <f t="shared" si="321"/>
        <v>2101.04</v>
      </c>
      <c r="L854" s="5">
        <f t="shared" si="322"/>
        <v>4.3835616438356435E-2</v>
      </c>
      <c r="M854" s="5">
        <f t="shared" si="323"/>
        <v>-0.31818133720272207</v>
      </c>
      <c r="N854" s="5">
        <f t="shared" si="324"/>
        <v>11.555354564624343</v>
      </c>
      <c r="O854" s="1">
        <f t="shared" si="325"/>
        <v>0</v>
      </c>
      <c r="P854" s="1">
        <f t="shared" si="326"/>
        <v>2101.04</v>
      </c>
      <c r="Q854" s="5">
        <f t="shared" si="327"/>
        <v>4.3835616438356435E-2</v>
      </c>
      <c r="R854" s="5">
        <f t="shared" si="328"/>
        <v>-0.31818133720272207</v>
      </c>
      <c r="S854" s="5">
        <f t="shared" si="334"/>
        <v>11.555354564624343</v>
      </c>
      <c r="T854" s="5">
        <f t="shared" si="335"/>
        <v>-702.82485904134739</v>
      </c>
      <c r="U854" s="4">
        <f t="shared" si="336"/>
        <v>1519933.8065932845</v>
      </c>
      <c r="V854" s="4">
        <f t="shared" si="329"/>
        <v>24.527151015984781</v>
      </c>
      <c r="W854" s="4">
        <f t="shared" si="337"/>
        <v>1511812.4161502295</v>
      </c>
      <c r="X854" s="4">
        <f t="shared" si="341"/>
        <v>280.47595835640095</v>
      </c>
      <c r="Y854" s="9">
        <f>SUM($X$6:X854)</f>
        <v>511812.41615022952</v>
      </c>
      <c r="Z854" s="16">
        <f t="shared" si="342"/>
        <v>0.51181241615022954</v>
      </c>
      <c r="AA854" s="16">
        <f t="shared" si="338"/>
        <v>0.66619422736598122</v>
      </c>
      <c r="AB854" s="16">
        <f t="shared" si="339"/>
        <v>1.8555741423551889E-4</v>
      </c>
      <c r="AC854" s="16">
        <f t="shared" si="340"/>
        <v>-6.4343415367268972E-4</v>
      </c>
    </row>
    <row r="855" spans="1:29" x14ac:dyDescent="0.15">
      <c r="A855" s="8">
        <v>42144</v>
      </c>
      <c r="B855" s="4">
        <v>2125.85</v>
      </c>
      <c r="C855" s="1">
        <v>12.3969</v>
      </c>
      <c r="D855" s="1">
        <v>2.02</v>
      </c>
      <c r="E855" s="1">
        <v>0.28970000000000001</v>
      </c>
      <c r="F855" s="4">
        <f t="shared" si="330"/>
        <v>0.12396900000000001</v>
      </c>
      <c r="G855" s="4">
        <f t="shared" si="331"/>
        <v>2.0199999999999999E-2</v>
      </c>
      <c r="H855" s="4">
        <f t="shared" si="332"/>
        <v>2.8970000000000003E-3</v>
      </c>
      <c r="I855" s="3">
        <f t="shared" si="333"/>
        <v>57.036477143794023</v>
      </c>
      <c r="J855" s="4">
        <f t="shared" si="320"/>
        <v>1519933.8065932845</v>
      </c>
      <c r="K855" s="1">
        <f t="shared" si="321"/>
        <v>2101.04</v>
      </c>
      <c r="L855" s="5">
        <f t="shared" si="322"/>
        <v>4.1095890410959172E-2</v>
      </c>
      <c r="M855" s="5">
        <f t="shared" si="323"/>
        <v>-0.32558357854061903</v>
      </c>
      <c r="N855" s="5">
        <f t="shared" si="324"/>
        <v>11.537340361714852</v>
      </c>
      <c r="O855" s="1">
        <f t="shared" si="325"/>
        <v>0</v>
      </c>
      <c r="P855" s="1">
        <f t="shared" si="326"/>
        <v>2101.04</v>
      </c>
      <c r="Q855" s="5">
        <f t="shared" si="327"/>
        <v>4.1095890410959172E-2</v>
      </c>
      <c r="R855" s="5">
        <f t="shared" si="328"/>
        <v>-0.32558357854061903</v>
      </c>
      <c r="S855" s="5">
        <f t="shared" si="334"/>
        <v>11.537340361714852</v>
      </c>
      <c r="T855" s="5">
        <f t="shared" si="335"/>
        <v>-702.82485904134739</v>
      </c>
      <c r="U855" s="4">
        <f t="shared" si="336"/>
        <v>1519958.3337443005</v>
      </c>
      <c r="V855" s="4">
        <f t="shared" si="329"/>
        <v>24.527546810284736</v>
      </c>
      <c r="W855" s="4">
        <f t="shared" si="337"/>
        <v>1511849.6041308662</v>
      </c>
      <c r="X855" s="4">
        <f t="shared" si="341"/>
        <v>37.187980636721477</v>
      </c>
      <c r="Y855" s="9">
        <f>SUM($X$6:X855)</f>
        <v>511849.60413086624</v>
      </c>
      <c r="Z855" s="16">
        <f t="shared" si="342"/>
        <v>0.51184960413086622</v>
      </c>
      <c r="AA855" s="16">
        <f t="shared" si="338"/>
        <v>0.66464379120793071</v>
      </c>
      <c r="AB855" s="16">
        <f t="shared" si="339"/>
        <v>2.4598277034540565E-5</v>
      </c>
      <c r="AC855" s="16">
        <f t="shared" si="340"/>
        <v>-9.3052546491026922E-4</v>
      </c>
    </row>
    <row r="856" spans="1:29" x14ac:dyDescent="0.15">
      <c r="A856" s="8">
        <v>42145</v>
      </c>
      <c r="B856" s="4">
        <v>2130.8200000000002</v>
      </c>
      <c r="C856" s="1">
        <v>11.9193</v>
      </c>
      <c r="D856" s="1">
        <v>2.02</v>
      </c>
      <c r="E856" s="1">
        <v>0.2883</v>
      </c>
      <c r="F856" s="4">
        <f t="shared" si="330"/>
        <v>0.11919299999999999</v>
      </c>
      <c r="G856" s="4">
        <f t="shared" si="331"/>
        <v>2.0199999999999999E-2</v>
      </c>
      <c r="H856" s="4">
        <f t="shared" si="332"/>
        <v>2.8830000000000001E-3</v>
      </c>
      <c r="I856" s="3">
        <f t="shared" si="333"/>
        <v>55.158502515058515</v>
      </c>
      <c r="J856" s="4">
        <f t="shared" si="320"/>
        <v>1519958.3337443005</v>
      </c>
      <c r="K856" s="1">
        <f t="shared" si="321"/>
        <v>2101.04</v>
      </c>
      <c r="L856" s="5">
        <f t="shared" si="322"/>
        <v>3.835616438356191E-2</v>
      </c>
      <c r="M856" s="5">
        <f t="shared" si="323"/>
        <v>-0.27867418580082054</v>
      </c>
      <c r="N856" s="5">
        <f t="shared" si="324"/>
        <v>8.6781931594393242</v>
      </c>
      <c r="O856" s="1">
        <f t="shared" si="325"/>
        <v>0</v>
      </c>
      <c r="P856" s="1">
        <f t="shared" si="326"/>
        <v>2101.04</v>
      </c>
      <c r="Q856" s="5">
        <f t="shared" si="327"/>
        <v>3.835616438356191E-2</v>
      </c>
      <c r="R856" s="5">
        <f t="shared" si="328"/>
        <v>-0.27867418580082054</v>
      </c>
      <c r="S856" s="5">
        <f t="shared" si="334"/>
        <v>8.6781931594393242</v>
      </c>
      <c r="T856" s="5">
        <f t="shared" si="335"/>
        <v>-702.82485904134739</v>
      </c>
      <c r="U856" s="4">
        <f t="shared" si="336"/>
        <v>1519982.8612911107</v>
      </c>
      <c r="V856" s="4">
        <f t="shared" si="329"/>
        <v>24.527942610971618</v>
      </c>
      <c r="W856" s="4">
        <f t="shared" si="337"/>
        <v>1513883.6114070942</v>
      </c>
      <c r="X856" s="4">
        <f t="shared" si="341"/>
        <v>2034.0072762279306</v>
      </c>
      <c r="Y856" s="9">
        <f>SUM($X$6:X856)</f>
        <v>513883.61140709417</v>
      </c>
      <c r="Z856" s="16">
        <f t="shared" si="342"/>
        <v>0.51388361140709415</v>
      </c>
      <c r="AA856" s="16">
        <f t="shared" si="338"/>
        <v>0.66853554257435066</v>
      </c>
      <c r="AB856" s="16">
        <f t="shared" si="339"/>
        <v>1.3453767297159447E-3</v>
      </c>
      <c r="AC856" s="16">
        <f t="shared" si="340"/>
        <v>2.3378883740622597E-3</v>
      </c>
    </row>
    <row r="857" spans="1:29" x14ac:dyDescent="0.15">
      <c r="A857" s="8">
        <v>42146</v>
      </c>
      <c r="B857" s="4">
        <v>2126.06</v>
      </c>
      <c r="C857" s="1">
        <v>12.065799999999999</v>
      </c>
      <c r="D857" s="1">
        <v>2.02</v>
      </c>
      <c r="E857" s="1">
        <v>0.2908</v>
      </c>
      <c r="F857" s="4">
        <f t="shared" si="330"/>
        <v>0.12065799999999999</v>
      </c>
      <c r="G857" s="4">
        <f t="shared" si="331"/>
        <v>2.0199999999999999E-2</v>
      </c>
      <c r="H857" s="4">
        <f t="shared" si="332"/>
        <v>2.908E-3</v>
      </c>
      <c r="I857" s="3">
        <f t="shared" si="333"/>
        <v>55.64489895496569</v>
      </c>
      <c r="J857" s="4">
        <f t="shared" si="320"/>
        <v>1519982.8612911107</v>
      </c>
      <c r="K857" s="1">
        <f t="shared" si="321"/>
        <v>2101.04</v>
      </c>
      <c r="L857" s="5">
        <f t="shared" si="322"/>
        <v>3.5616438356164647E-2</v>
      </c>
      <c r="M857" s="5">
        <f t="shared" si="323"/>
        <v>-0.30683493645122489</v>
      </c>
      <c r="N857" s="5">
        <f t="shared" si="324"/>
        <v>9.6219589860205001</v>
      </c>
      <c r="O857" s="1">
        <f t="shared" si="325"/>
        <v>0</v>
      </c>
      <c r="P857" s="1">
        <f t="shared" si="326"/>
        <v>2101.04</v>
      </c>
      <c r="Q857" s="5">
        <f t="shared" si="327"/>
        <v>3.5616438356164647E-2</v>
      </c>
      <c r="R857" s="5">
        <f t="shared" si="328"/>
        <v>-0.30683493645122489</v>
      </c>
      <c r="S857" s="5">
        <f t="shared" si="334"/>
        <v>9.6219589860205001</v>
      </c>
      <c r="T857" s="5">
        <f t="shared" si="335"/>
        <v>-702.82485904134739</v>
      </c>
      <c r="U857" s="4">
        <f t="shared" si="336"/>
        <v>1520007.3892337217</v>
      </c>
      <c r="V857" s="4">
        <f t="shared" si="329"/>
        <v>24.528338418045532</v>
      </c>
      <c r="W857" s="4">
        <f t="shared" si="337"/>
        <v>1513244.8372656701</v>
      </c>
      <c r="X857" s="4">
        <f t="shared" si="341"/>
        <v>-638.77414142410271</v>
      </c>
      <c r="Y857" s="9">
        <f>SUM($X$6:X857)</f>
        <v>513244.83726567007</v>
      </c>
      <c r="Z857" s="16">
        <f t="shared" si="342"/>
        <v>0.51324483726567005</v>
      </c>
      <c r="AA857" s="16">
        <f t="shared" si="338"/>
        <v>0.66480823140651191</v>
      </c>
      <c r="AB857" s="16">
        <f t="shared" si="339"/>
        <v>-4.2194402304836877E-4</v>
      </c>
      <c r="AC857" s="16">
        <f t="shared" si="340"/>
        <v>-2.2338817919862861E-3</v>
      </c>
    </row>
    <row r="858" spans="1:29" x14ac:dyDescent="0.15">
      <c r="A858" s="8">
        <v>42150</v>
      </c>
      <c r="B858" s="4">
        <v>2104.1999999999998</v>
      </c>
      <c r="C858" s="1">
        <v>13.0456</v>
      </c>
      <c r="D858" s="1">
        <v>2.0499999999999998</v>
      </c>
      <c r="E858" s="1">
        <v>0.29220000000000002</v>
      </c>
      <c r="F858" s="4">
        <f t="shared" si="330"/>
        <v>0.13045600000000002</v>
      </c>
      <c r="G858" s="4">
        <f t="shared" si="331"/>
        <v>2.0499999999999997E-2</v>
      </c>
      <c r="H858" s="4">
        <f t="shared" si="332"/>
        <v>2.9220000000000001E-3</v>
      </c>
      <c r="I858" s="3">
        <f t="shared" si="333"/>
        <v>59.232571869680044</v>
      </c>
      <c r="J858" s="4">
        <f t="shared" si="320"/>
        <v>1520007.3892337217</v>
      </c>
      <c r="K858" s="1">
        <f t="shared" si="321"/>
        <v>2101.04</v>
      </c>
      <c r="L858" s="5">
        <f t="shared" si="322"/>
        <v>2.4657534246575605E-2</v>
      </c>
      <c r="M858" s="5">
        <f t="shared" si="323"/>
        <v>-0.47486252199503831</v>
      </c>
      <c r="N858" s="5">
        <f t="shared" si="324"/>
        <v>16.077558805800688</v>
      </c>
      <c r="O858" s="1">
        <f t="shared" si="325"/>
        <v>0</v>
      </c>
      <c r="P858" s="1">
        <f t="shared" si="326"/>
        <v>2101.04</v>
      </c>
      <c r="Q858" s="5">
        <f t="shared" si="327"/>
        <v>2.4657534246575605E-2</v>
      </c>
      <c r="R858" s="5">
        <f t="shared" si="328"/>
        <v>-0.47486252199503831</v>
      </c>
      <c r="S858" s="5">
        <f t="shared" si="334"/>
        <v>16.077558805800688</v>
      </c>
      <c r="T858" s="5">
        <f t="shared" si="335"/>
        <v>-702.82485904134739</v>
      </c>
      <c r="U858" s="4">
        <f t="shared" si="336"/>
        <v>1520031.9175721398</v>
      </c>
      <c r="V858" s="4">
        <f t="shared" si="329"/>
        <v>98.114936926026331</v>
      </c>
      <c r="W858" s="4">
        <f t="shared" si="337"/>
        <v>1508732.2095707238</v>
      </c>
      <c r="X858" s="4">
        <f t="shared" si="341"/>
        <v>-4512.6276949462481</v>
      </c>
      <c r="Y858" s="9">
        <f>SUM($X$6:X858)</f>
        <v>508732.20957072382</v>
      </c>
      <c r="Z858" s="16">
        <f t="shared" si="342"/>
        <v>0.50873220957072385</v>
      </c>
      <c r="AA858" s="16">
        <f t="shared" si="338"/>
        <v>0.64769078978278227</v>
      </c>
      <c r="AB858" s="16">
        <f t="shared" si="339"/>
        <v>-2.9820869589750314E-3</v>
      </c>
      <c r="AC858" s="16">
        <f t="shared" si="340"/>
        <v>-1.0281929954940185E-2</v>
      </c>
    </row>
    <row r="859" spans="1:29" x14ac:dyDescent="0.15">
      <c r="A859" s="8">
        <v>42151</v>
      </c>
      <c r="B859" s="4">
        <v>2123.48</v>
      </c>
      <c r="C859" s="1">
        <v>12.358000000000001</v>
      </c>
      <c r="D859" s="1">
        <v>2.0299999999999998</v>
      </c>
      <c r="E859" s="1">
        <v>0.28989999999999999</v>
      </c>
      <c r="F859" s="4">
        <f t="shared" si="330"/>
        <v>0.12358000000000001</v>
      </c>
      <c r="G859" s="4">
        <f t="shared" si="331"/>
        <v>2.0299999999999999E-2</v>
      </c>
      <c r="H859" s="4">
        <f t="shared" si="332"/>
        <v>2.8990000000000001E-3</v>
      </c>
      <c r="I859" s="3">
        <f t="shared" si="333"/>
        <v>56.835887156660796</v>
      </c>
      <c r="J859" s="4">
        <f t="shared" si="320"/>
        <v>1520031.9175721398</v>
      </c>
      <c r="K859" s="1">
        <f t="shared" si="321"/>
        <v>2101.04</v>
      </c>
      <c r="L859" s="5">
        <f t="shared" si="322"/>
        <v>2.1917808219178346E-2</v>
      </c>
      <c r="M859" s="5">
        <f t="shared" si="323"/>
        <v>-0.28455947831663309</v>
      </c>
      <c r="N859" s="5">
        <f t="shared" si="324"/>
        <v>6.9525827682674608</v>
      </c>
      <c r="O859" s="1">
        <f t="shared" si="325"/>
        <v>0</v>
      </c>
      <c r="P859" s="1">
        <f t="shared" si="326"/>
        <v>2101.04</v>
      </c>
      <c r="Q859" s="5">
        <f t="shared" si="327"/>
        <v>2.1917808219178346E-2</v>
      </c>
      <c r="R859" s="5">
        <f t="shared" si="328"/>
        <v>-0.28455947831663309</v>
      </c>
      <c r="S859" s="5">
        <f t="shared" si="334"/>
        <v>6.9525827682674608</v>
      </c>
      <c r="T859" s="5">
        <f t="shared" si="335"/>
        <v>-702.82485904134739</v>
      </c>
      <c r="U859" s="4">
        <f t="shared" si="336"/>
        <v>1520130.0325090657</v>
      </c>
      <c r="V859" s="4">
        <f t="shared" si="329"/>
        <v>24.530317510899717</v>
      </c>
      <c r="W859" s="4">
        <f t="shared" si="337"/>
        <v>1515243.5845049848</v>
      </c>
      <c r="X859" s="4">
        <f t="shared" si="341"/>
        <v>6511.3749342609663</v>
      </c>
      <c r="Y859" s="9">
        <f>SUM($X$6:X859)</f>
        <v>515243.58450498478</v>
      </c>
      <c r="Z859" s="16">
        <f t="shared" si="342"/>
        <v>0.51524358450498475</v>
      </c>
      <c r="AA859" s="16">
        <f t="shared" si="338"/>
        <v>0.66278796610965818</v>
      </c>
      <c r="AB859" s="16">
        <f t="shared" si="339"/>
        <v>4.3157923539748864E-3</v>
      </c>
      <c r="AC859" s="16">
        <f t="shared" si="340"/>
        <v>9.1626271266990796E-3</v>
      </c>
    </row>
    <row r="860" spans="1:29" x14ac:dyDescent="0.15">
      <c r="A860" s="8">
        <v>42152</v>
      </c>
      <c r="B860" s="4">
        <v>2120.79</v>
      </c>
      <c r="C860" s="1">
        <v>12.404500000000001</v>
      </c>
      <c r="D860" s="1">
        <v>2.0299999999999998</v>
      </c>
      <c r="E860" s="1">
        <v>0.28899999999999998</v>
      </c>
      <c r="F860" s="4">
        <f t="shared" si="330"/>
        <v>0.124045</v>
      </c>
      <c r="G860" s="4">
        <f t="shared" si="331"/>
        <v>2.0299999999999999E-2</v>
      </c>
      <c r="H860" s="4">
        <f t="shared" si="332"/>
        <v>2.8899999999999998E-3</v>
      </c>
      <c r="I860" s="3">
        <f t="shared" si="333"/>
        <v>56.961757046300896</v>
      </c>
      <c r="J860" s="4">
        <f t="shared" ref="J860:J923" si="343">U859</f>
        <v>1520130.0325090657</v>
      </c>
      <c r="K860" s="1">
        <f t="shared" ref="K860:K923" si="344">P859</f>
        <v>2101.04</v>
      </c>
      <c r="L860" s="5">
        <f t="shared" ref="L860:L923" si="345">Q859-(A860-A859)/365</f>
        <v>1.9178082191781087E-2</v>
      </c>
      <c r="M860" s="5">
        <f t="shared" ref="M860:M923" si="346">BSM_Put(B860,K860,F860,H860,G860,L860,$G$3)</f>
        <v>-0.29662351792870506</v>
      </c>
      <c r="N860" s="5">
        <f t="shared" ref="N860:N923" si="347">BSM_Put(B860,K860,F860,H860,G860,L860,$F$3)</f>
        <v>6.8927193793969472</v>
      </c>
      <c r="O860" s="1">
        <f t="shared" ref="O860:O923" si="348">IF(OR(M860&gt;-0.05,L860&lt;=0.00001),1,0)</f>
        <v>0</v>
      </c>
      <c r="P860" s="1">
        <f t="shared" ref="P860:P923" si="349">IF(O860,B860,K860)</f>
        <v>2101.04</v>
      </c>
      <c r="Q860" s="5">
        <f t="shared" ref="Q860:Q923" si="350">IF(O860,$B$3,L860)</f>
        <v>1.9178082191781087E-2</v>
      </c>
      <c r="R860" s="5">
        <f t="shared" ref="R860:R923" si="351">IF(O860,BSM_Put(B860,P860,F860,H860,G860,Q860,$G$3),M860)</f>
        <v>-0.29662351792870506</v>
      </c>
      <c r="S860" s="5">
        <f t="shared" si="334"/>
        <v>6.8927193793969472</v>
      </c>
      <c r="T860" s="5">
        <f t="shared" si="335"/>
        <v>-702.82485904134739</v>
      </c>
      <c r="U860" s="4">
        <f t="shared" si="336"/>
        <v>1520154.5628265766</v>
      </c>
      <c r="V860" s="4">
        <f t="shared" ref="V860:V923" si="352">U860*$H$6*(A860-A859)/365</f>
        <v>24.530713356297355</v>
      </c>
      <c r="W860" s="4">
        <f t="shared" si="337"/>
        <v>1515310.1883003404</v>
      </c>
      <c r="X860" s="4">
        <f t="shared" si="341"/>
        <v>66.603795355651528</v>
      </c>
      <c r="Y860" s="9">
        <f>SUM($X$6:X860)</f>
        <v>515310.18830034044</v>
      </c>
      <c r="Z860" s="16">
        <f t="shared" si="342"/>
        <v>0.51531018830034048</v>
      </c>
      <c r="AA860" s="16">
        <f t="shared" si="338"/>
        <v>0.66068156547069057</v>
      </c>
      <c r="AB860" s="16">
        <f t="shared" si="339"/>
        <v>4.395583392449098E-5</v>
      </c>
      <c r="AC860" s="16">
        <f t="shared" si="340"/>
        <v>-1.2667884792887405E-3</v>
      </c>
    </row>
    <row r="861" spans="1:29" x14ac:dyDescent="0.15">
      <c r="A861" s="8">
        <v>42153</v>
      </c>
      <c r="B861" s="4">
        <v>2107.39</v>
      </c>
      <c r="C861" s="1">
        <v>12.850899999999999</v>
      </c>
      <c r="D861" s="1">
        <v>2.04</v>
      </c>
      <c r="E861" s="1">
        <v>0.29010000000000002</v>
      </c>
      <c r="F861" s="4">
        <f t="shared" si="330"/>
        <v>0.12850899999999998</v>
      </c>
      <c r="G861" s="4">
        <f t="shared" si="331"/>
        <v>2.0400000000000001E-2</v>
      </c>
      <c r="H861" s="4">
        <f t="shared" si="332"/>
        <v>2.9010000000000004E-3</v>
      </c>
      <c r="I861" s="3">
        <f t="shared" si="333"/>
        <v>58.488785792298799</v>
      </c>
      <c r="J861" s="4">
        <f t="shared" si="343"/>
        <v>1520154.5628265766</v>
      </c>
      <c r="K861" s="1">
        <f t="shared" si="344"/>
        <v>2101.04</v>
      </c>
      <c r="L861" s="5">
        <f t="shared" si="345"/>
        <v>1.6438356164383827E-2</v>
      </c>
      <c r="M861" s="5">
        <f t="shared" si="346"/>
        <v>-0.43081352216849728</v>
      </c>
      <c r="N861" s="5">
        <f t="shared" si="347"/>
        <v>11.146080567574545</v>
      </c>
      <c r="O861" s="1">
        <f t="shared" si="348"/>
        <v>0</v>
      </c>
      <c r="P861" s="1">
        <f t="shared" si="349"/>
        <v>2101.04</v>
      </c>
      <c r="Q861" s="5">
        <f t="shared" si="350"/>
        <v>1.6438356164383827E-2</v>
      </c>
      <c r="R861" s="5">
        <f t="shared" si="351"/>
        <v>-0.43081352216849728</v>
      </c>
      <c r="S861" s="5">
        <f t="shared" si="334"/>
        <v>11.146080567574545</v>
      </c>
      <c r="T861" s="5">
        <f t="shared" si="335"/>
        <v>-702.82485904134739</v>
      </c>
      <c r="U861" s="4">
        <f t="shared" si="336"/>
        <v>1520179.093539933</v>
      </c>
      <c r="V861" s="4">
        <f t="shared" si="352"/>
        <v>24.531109208082754</v>
      </c>
      <c r="W861" s="4">
        <f t="shared" si="337"/>
        <v>1512345.351036164</v>
      </c>
      <c r="X861" s="4">
        <f t="shared" si="341"/>
        <v>-2964.8372641764581</v>
      </c>
      <c r="Y861" s="9">
        <f>SUM($X$6:X861)</f>
        <v>512345.35103616398</v>
      </c>
      <c r="Z861" s="16">
        <f t="shared" si="342"/>
        <v>0.51234535103616397</v>
      </c>
      <c r="AA861" s="16">
        <f t="shared" si="338"/>
        <v>0.6501887147040859</v>
      </c>
      <c r="AB861" s="16">
        <f t="shared" si="339"/>
        <v>-1.9565876921226215E-3</v>
      </c>
      <c r="AC861" s="16">
        <f t="shared" si="340"/>
        <v>-6.3184002187864387E-3</v>
      </c>
    </row>
    <row r="862" spans="1:29" x14ac:dyDescent="0.15">
      <c r="A862" s="8">
        <v>42156</v>
      </c>
      <c r="B862" s="4">
        <v>2111.73</v>
      </c>
      <c r="C862" s="1">
        <v>12.8202</v>
      </c>
      <c r="D862" s="1">
        <v>2.04</v>
      </c>
      <c r="E862" s="1">
        <v>0.2888</v>
      </c>
      <c r="F862" s="4">
        <f t="shared" si="330"/>
        <v>0.12820200000000001</v>
      </c>
      <c r="G862" s="4">
        <f t="shared" si="331"/>
        <v>2.0400000000000001E-2</v>
      </c>
      <c r="H862" s="4">
        <f t="shared" si="332"/>
        <v>2.8879999999999999E-3</v>
      </c>
      <c r="I862" s="3">
        <f t="shared" si="333"/>
        <v>58.484529740604202</v>
      </c>
      <c r="J862" s="4">
        <f t="shared" si="343"/>
        <v>1520179.093539933</v>
      </c>
      <c r="K862" s="1">
        <f t="shared" si="344"/>
        <v>2101.04</v>
      </c>
      <c r="L862" s="5">
        <f t="shared" si="345"/>
        <v>8.2191780821920472E-3</v>
      </c>
      <c r="M862" s="5">
        <f t="shared" si="346"/>
        <v>-0.33351426898128711</v>
      </c>
      <c r="N862" s="5">
        <f t="shared" si="347"/>
        <v>5.4389693169567499</v>
      </c>
      <c r="O862" s="1">
        <f t="shared" si="348"/>
        <v>0</v>
      </c>
      <c r="P862" s="1">
        <f t="shared" si="349"/>
        <v>2101.04</v>
      </c>
      <c r="Q862" s="5">
        <f t="shared" si="350"/>
        <v>8.2191780821920472E-3</v>
      </c>
      <c r="R862" s="5">
        <f t="shared" si="351"/>
        <v>-0.33351426898128711</v>
      </c>
      <c r="S862" s="5">
        <f t="shared" si="334"/>
        <v>5.4389693169567499</v>
      </c>
      <c r="T862" s="5">
        <f t="shared" si="335"/>
        <v>-702.82485904134739</v>
      </c>
      <c r="U862" s="4">
        <f t="shared" si="336"/>
        <v>1520203.624649141</v>
      </c>
      <c r="V862" s="4">
        <f t="shared" si="352"/>
        <v>73.594515198767994</v>
      </c>
      <c r="W862" s="4">
        <f t="shared" si="337"/>
        <v>1516380.9818056207</v>
      </c>
      <c r="X862" s="4">
        <f t="shared" si="341"/>
        <v>4035.6307694567367</v>
      </c>
      <c r="Y862" s="9">
        <f>SUM($X$6:X862)</f>
        <v>516380.98180562072</v>
      </c>
      <c r="Z862" s="16">
        <f t="shared" si="342"/>
        <v>0.51638098180562075</v>
      </c>
      <c r="AA862" s="16">
        <f t="shared" si="338"/>
        <v>0.65358714547476238</v>
      </c>
      <c r="AB862" s="16">
        <f t="shared" si="339"/>
        <v>2.6684584752363449E-3</v>
      </c>
      <c r="AC862" s="16">
        <f t="shared" si="340"/>
        <v>2.0594194714790076E-3</v>
      </c>
    </row>
    <row r="863" spans="1:29" x14ac:dyDescent="0.15">
      <c r="A863" s="8">
        <v>42157</v>
      </c>
      <c r="B863" s="4">
        <v>2109.6</v>
      </c>
      <c r="C863" s="1">
        <v>13.0731</v>
      </c>
      <c r="D863" s="1">
        <v>2.0499999999999998</v>
      </c>
      <c r="E863" s="1">
        <v>0.28489999999999999</v>
      </c>
      <c r="F863" s="4">
        <f t="shared" si="330"/>
        <v>0.13073100000000001</v>
      </c>
      <c r="G863" s="4">
        <f t="shared" si="331"/>
        <v>2.0499999999999997E-2</v>
      </c>
      <c r="H863" s="4">
        <f t="shared" si="332"/>
        <v>2.849E-3</v>
      </c>
      <c r="I863" s="3">
        <f t="shared" si="333"/>
        <v>59.520195126346323</v>
      </c>
      <c r="J863" s="4">
        <f t="shared" si="343"/>
        <v>1520203.624649141</v>
      </c>
      <c r="K863" s="1">
        <f t="shared" si="344"/>
        <v>2101.04</v>
      </c>
      <c r="L863" s="5">
        <f t="shared" si="345"/>
        <v>5.4794520547947869E-3</v>
      </c>
      <c r="M863" s="5">
        <f t="shared" si="346"/>
        <v>-0.33903334634428856</v>
      </c>
      <c r="N863" s="5">
        <f t="shared" si="347"/>
        <v>4.6235701744976243</v>
      </c>
      <c r="O863" s="1">
        <f t="shared" si="348"/>
        <v>0</v>
      </c>
      <c r="P863" s="1">
        <f t="shared" si="349"/>
        <v>2101.04</v>
      </c>
      <c r="Q863" s="5">
        <f t="shared" si="350"/>
        <v>5.4794520547947869E-3</v>
      </c>
      <c r="R863" s="5">
        <f t="shared" si="351"/>
        <v>-0.33903334634428856</v>
      </c>
      <c r="S863" s="5">
        <f t="shared" si="334"/>
        <v>4.6235701744976243</v>
      </c>
      <c r="T863" s="5">
        <f t="shared" si="335"/>
        <v>-702.82485904134739</v>
      </c>
      <c r="U863" s="4">
        <f t="shared" si="336"/>
        <v>1520277.2191643398</v>
      </c>
      <c r="V863" s="4">
        <f t="shared" si="352"/>
        <v>24.532692659939617</v>
      </c>
      <c r="W863" s="4">
        <f t="shared" si="337"/>
        <v>1517027.6591081808</v>
      </c>
      <c r="X863" s="4">
        <f t="shared" si="341"/>
        <v>646.67730256007053</v>
      </c>
      <c r="Y863" s="9">
        <f>SUM($X$6:X863)</f>
        <v>517027.65910818079</v>
      </c>
      <c r="Z863" s="16">
        <f t="shared" si="342"/>
        <v>0.51702765910818083</v>
      </c>
      <c r="AA863" s="16">
        <f t="shared" si="338"/>
        <v>0.65191925203201107</v>
      </c>
      <c r="AB863" s="16">
        <f t="shared" si="339"/>
        <v>4.2646096879297692E-4</v>
      </c>
      <c r="AC863" s="16">
        <f t="shared" si="340"/>
        <v>-1.0086516742197672E-3</v>
      </c>
    </row>
    <row r="864" spans="1:29" x14ac:dyDescent="0.15">
      <c r="A864" s="8">
        <v>42158</v>
      </c>
      <c r="B864" s="4">
        <v>2114.0700000000002</v>
      </c>
      <c r="C864" s="1">
        <v>12.8287</v>
      </c>
      <c r="D864" s="1">
        <v>2.04</v>
      </c>
      <c r="E864" s="1">
        <v>0.28520000000000001</v>
      </c>
      <c r="F864" s="4">
        <f t="shared" si="330"/>
        <v>0.12828699999999998</v>
      </c>
      <c r="G864" s="4">
        <f t="shared" si="331"/>
        <v>2.0400000000000001E-2</v>
      </c>
      <c r="H864" s="4">
        <f t="shared" si="332"/>
        <v>2.8519999999999999E-3</v>
      </c>
      <c r="I864" s="3">
        <f t="shared" si="333"/>
        <v>58.595163948570324</v>
      </c>
      <c r="J864" s="4">
        <f t="shared" si="343"/>
        <v>1520277.2191643398</v>
      </c>
      <c r="K864" s="1">
        <f t="shared" si="344"/>
        <v>2101.04</v>
      </c>
      <c r="L864" s="5">
        <f t="shared" si="345"/>
        <v>2.7397260273975266E-3</v>
      </c>
      <c r="M864" s="5">
        <f t="shared" si="346"/>
        <v>-0.17958114126525287</v>
      </c>
      <c r="N864" s="5">
        <f t="shared" si="347"/>
        <v>1.3862434025346588</v>
      </c>
      <c r="O864" s="1">
        <f t="shared" si="348"/>
        <v>0</v>
      </c>
      <c r="P864" s="1">
        <f t="shared" si="349"/>
        <v>2101.04</v>
      </c>
      <c r="Q864" s="5">
        <f t="shared" si="350"/>
        <v>2.7397260273975266E-3</v>
      </c>
      <c r="R864" s="5">
        <f t="shared" si="351"/>
        <v>-0.17958114126525287</v>
      </c>
      <c r="S864" s="5">
        <f t="shared" si="334"/>
        <v>1.3862434025346588</v>
      </c>
      <c r="T864" s="5">
        <f t="shared" si="335"/>
        <v>-702.82485904134739</v>
      </c>
      <c r="U864" s="4">
        <f t="shared" si="336"/>
        <v>1520301.7518569997</v>
      </c>
      <c r="V864" s="4">
        <f t="shared" si="352"/>
        <v>24.533088543665006</v>
      </c>
      <c r="W864" s="4">
        <f t="shared" si="337"/>
        <v>1519327.4655330162</v>
      </c>
      <c r="X864" s="4">
        <f t="shared" si="341"/>
        <v>2299.806424835464</v>
      </c>
      <c r="Y864" s="9">
        <f>SUM($X$6:X864)</f>
        <v>519327.46553301625</v>
      </c>
      <c r="Z864" s="16">
        <f t="shared" si="342"/>
        <v>0.51932746553301623</v>
      </c>
      <c r="AA864" s="16">
        <f t="shared" si="338"/>
        <v>0.65541947911609499</v>
      </c>
      <c r="AB864" s="16">
        <f t="shared" si="339"/>
        <v>1.5159950519211083E-3</v>
      </c>
      <c r="AC864" s="16">
        <f t="shared" si="340"/>
        <v>2.1188850967009173E-3</v>
      </c>
    </row>
    <row r="865" spans="1:29" x14ac:dyDescent="0.15">
      <c r="A865" s="8">
        <v>42159</v>
      </c>
      <c r="B865" s="4">
        <v>2095.84</v>
      </c>
      <c r="C865" s="1">
        <v>13.5664</v>
      </c>
      <c r="D865" s="1">
        <v>2.06</v>
      </c>
      <c r="E865" s="1">
        <v>0.28510000000000002</v>
      </c>
      <c r="F865" s="4">
        <f t="shared" si="330"/>
        <v>0.13566400000000001</v>
      </c>
      <c r="G865" s="4">
        <f t="shared" si="331"/>
        <v>2.06E-2</v>
      </c>
      <c r="H865" s="4">
        <f t="shared" si="332"/>
        <v>2.8510000000000002E-3</v>
      </c>
      <c r="I865" s="3">
        <f t="shared" si="333"/>
        <v>61.205899566078763</v>
      </c>
      <c r="J865" s="4">
        <f t="shared" si="343"/>
        <v>1520301.7518569997</v>
      </c>
      <c r="K865" s="1">
        <f t="shared" si="344"/>
        <v>2101.04</v>
      </c>
      <c r="L865" s="5">
        <f t="shared" si="345"/>
        <v>2.6628005356243989E-16</v>
      </c>
      <c r="M865" s="5">
        <f t="shared" si="346"/>
        <v>-1</v>
      </c>
      <c r="N865" s="5">
        <f t="shared" si="347"/>
        <v>5.1999999999998181</v>
      </c>
      <c r="O865" s="1">
        <f t="shared" si="348"/>
        <v>1</v>
      </c>
      <c r="P865" s="1">
        <f t="shared" si="349"/>
        <v>2095.84</v>
      </c>
      <c r="Q865" s="5">
        <f t="shared" si="350"/>
        <v>0.24931506849315069</v>
      </c>
      <c r="R865" s="5">
        <f t="shared" si="351"/>
        <v>-0.50992146609524913</v>
      </c>
      <c r="S865" s="5">
        <f t="shared" si="334"/>
        <v>61.205899566078763</v>
      </c>
      <c r="T865" s="5">
        <f t="shared" si="335"/>
        <v>-723.64639599873306</v>
      </c>
      <c r="U865" s="4">
        <f t="shared" si="336"/>
        <v>1560963.0243133819</v>
      </c>
      <c r="V865" s="4">
        <f t="shared" si="352"/>
        <v>25.189238940289911</v>
      </c>
      <c r="W865" s="4">
        <f t="shared" si="337"/>
        <v>1516671.5956785285</v>
      </c>
      <c r="X865" s="4">
        <f t="shared" si="341"/>
        <v>-2655.8698544877116</v>
      </c>
      <c r="Y865" s="9">
        <f>SUM($X$6:X865)</f>
        <v>516671.59567852854</v>
      </c>
      <c r="Z865" s="16">
        <f t="shared" si="342"/>
        <v>0.51667159567852849</v>
      </c>
      <c r="AA865" s="16">
        <f t="shared" si="338"/>
        <v>0.64114450378212473</v>
      </c>
      <c r="AB865" s="16">
        <f t="shared" si="339"/>
        <v>-1.7480562385252276E-3</v>
      </c>
      <c r="AC865" s="16">
        <f t="shared" si="340"/>
        <v>-8.6231770944197768E-3</v>
      </c>
    </row>
    <row r="866" spans="1:29" x14ac:dyDescent="0.15">
      <c r="A866" s="8">
        <v>42160</v>
      </c>
      <c r="B866" s="4">
        <v>2092.83</v>
      </c>
      <c r="C866" s="1">
        <v>13.629799999999999</v>
      </c>
      <c r="D866" s="1">
        <v>2.06</v>
      </c>
      <c r="E866" s="1">
        <v>0.28739999999999999</v>
      </c>
      <c r="F866" s="4">
        <f t="shared" si="330"/>
        <v>0.136298</v>
      </c>
      <c r="G866" s="4">
        <f t="shared" si="331"/>
        <v>2.06E-2</v>
      </c>
      <c r="H866" s="4">
        <f t="shared" si="332"/>
        <v>2.8739999999999998E-3</v>
      </c>
      <c r="I866" s="3">
        <f t="shared" si="333"/>
        <v>61.374352146392468</v>
      </c>
      <c r="J866" s="4">
        <f t="shared" si="343"/>
        <v>1560963.0243133819</v>
      </c>
      <c r="K866" s="1">
        <f t="shared" si="344"/>
        <v>2095.84</v>
      </c>
      <c r="L866" s="5">
        <f t="shared" si="345"/>
        <v>0.24657534246575344</v>
      </c>
      <c r="M866" s="5">
        <f t="shared" si="346"/>
        <v>-0.5180872353363466</v>
      </c>
      <c r="N866" s="5">
        <f t="shared" si="347"/>
        <v>62.646226048110606</v>
      </c>
      <c r="O866" s="1">
        <f t="shared" si="348"/>
        <v>0</v>
      </c>
      <c r="P866" s="1">
        <f t="shared" si="349"/>
        <v>2095.84</v>
      </c>
      <c r="Q866" s="5">
        <f t="shared" si="350"/>
        <v>0.24657534246575344</v>
      </c>
      <c r="R866" s="5">
        <f t="shared" si="351"/>
        <v>-0.5180872353363466</v>
      </c>
      <c r="S866" s="5">
        <f t="shared" si="334"/>
        <v>62.646226048110606</v>
      </c>
      <c r="T866" s="5">
        <f t="shared" si="335"/>
        <v>-723.64639599873306</v>
      </c>
      <c r="U866" s="4">
        <f t="shared" si="336"/>
        <v>1560988.2135523222</v>
      </c>
      <c r="V866" s="4">
        <f t="shared" si="352"/>
        <v>25.189645418693633</v>
      </c>
      <c r="W866" s="4">
        <f t="shared" si="337"/>
        <v>1515654.4978496851</v>
      </c>
      <c r="X866" s="4">
        <f t="shared" si="341"/>
        <v>-1017.097828843398</v>
      </c>
      <c r="Y866" s="9">
        <f>SUM($X$6:X866)</f>
        <v>515654.49784968514</v>
      </c>
      <c r="Z866" s="16">
        <f t="shared" si="342"/>
        <v>0.51565449784968509</v>
      </c>
      <c r="AA866" s="16">
        <f t="shared" si="338"/>
        <v>0.63878752760246194</v>
      </c>
      <c r="AB866" s="16">
        <f t="shared" si="339"/>
        <v>-6.7061177366374341E-4</v>
      </c>
      <c r="AC866" s="16">
        <f t="shared" si="340"/>
        <v>-1.4361783342240907E-3</v>
      </c>
    </row>
    <row r="867" spans="1:29" x14ac:dyDescent="0.15">
      <c r="A867" s="8">
        <v>42163</v>
      </c>
      <c r="B867" s="4">
        <v>2079.2800000000002</v>
      </c>
      <c r="C867" s="1">
        <v>14.2631</v>
      </c>
      <c r="D867" s="1">
        <v>2.08</v>
      </c>
      <c r="E867" s="1">
        <v>0.28849999999999998</v>
      </c>
      <c r="F867" s="4">
        <f t="shared" si="330"/>
        <v>0.14263100000000001</v>
      </c>
      <c r="G867" s="4">
        <f t="shared" si="331"/>
        <v>2.0799999999999999E-2</v>
      </c>
      <c r="H867" s="4">
        <f t="shared" si="332"/>
        <v>2.885E-3</v>
      </c>
      <c r="I867" s="3">
        <f t="shared" si="333"/>
        <v>63.635128402563865</v>
      </c>
      <c r="J867" s="4">
        <f t="shared" si="343"/>
        <v>1560988.2135523222</v>
      </c>
      <c r="K867" s="1">
        <f t="shared" si="344"/>
        <v>2095.84</v>
      </c>
      <c r="L867" s="5">
        <f t="shared" si="345"/>
        <v>0.23835616438356166</v>
      </c>
      <c r="M867" s="5">
        <f t="shared" si="346"/>
        <v>-0.55308842795748614</v>
      </c>
      <c r="N867" s="5">
        <f t="shared" si="347"/>
        <v>71.404916729041886</v>
      </c>
      <c r="O867" s="1">
        <f t="shared" si="348"/>
        <v>0</v>
      </c>
      <c r="P867" s="1">
        <f t="shared" si="349"/>
        <v>2095.84</v>
      </c>
      <c r="Q867" s="5">
        <f t="shared" si="350"/>
        <v>0.23835616438356166</v>
      </c>
      <c r="R867" s="5">
        <f t="shared" si="351"/>
        <v>-0.55308842795748614</v>
      </c>
      <c r="S867" s="5">
        <f t="shared" si="334"/>
        <v>71.404916729041886</v>
      </c>
      <c r="T867" s="5">
        <f t="shared" si="335"/>
        <v>-723.64639599873306</v>
      </c>
      <c r="U867" s="4">
        <f t="shared" si="336"/>
        <v>1561013.4031977409</v>
      </c>
      <c r="V867" s="4">
        <f t="shared" si="352"/>
        <v>75.57015571097007</v>
      </c>
      <c r="W867" s="4">
        <f t="shared" si="337"/>
        <v>1509341.4925501801</v>
      </c>
      <c r="X867" s="4">
        <f t="shared" si="341"/>
        <v>-6313.0052995050792</v>
      </c>
      <c r="Y867" s="9">
        <f>SUM($X$6:X867)</f>
        <v>509341.49255018006</v>
      </c>
      <c r="Z867" s="16">
        <f t="shared" si="342"/>
        <v>0.50934149255018002</v>
      </c>
      <c r="AA867" s="16">
        <f t="shared" si="338"/>
        <v>0.6281772195511568</v>
      </c>
      <c r="AB867" s="16">
        <f t="shared" si="339"/>
        <v>-4.1652007818810764E-3</v>
      </c>
      <c r="AC867" s="16">
        <f t="shared" si="340"/>
        <v>-6.4744866998273764E-3</v>
      </c>
    </row>
    <row r="868" spans="1:29" x14ac:dyDescent="0.15">
      <c r="A868" s="8">
        <v>42164</v>
      </c>
      <c r="B868" s="4">
        <v>2080.15</v>
      </c>
      <c r="C868" s="1">
        <v>14.0314</v>
      </c>
      <c r="D868" s="1">
        <v>2.0699999999999998</v>
      </c>
      <c r="E868" s="1">
        <v>0.2918</v>
      </c>
      <c r="F868" s="4">
        <f t="shared" si="330"/>
        <v>0.14031399999999999</v>
      </c>
      <c r="G868" s="4">
        <f t="shared" si="331"/>
        <v>2.07E-2</v>
      </c>
      <c r="H868" s="4">
        <f t="shared" si="332"/>
        <v>2.918E-3</v>
      </c>
      <c r="I868" s="3">
        <f t="shared" si="333"/>
        <v>62.671412216034703</v>
      </c>
      <c r="J868" s="4">
        <f t="shared" si="343"/>
        <v>1561013.4031977409</v>
      </c>
      <c r="K868" s="1">
        <f t="shared" si="344"/>
        <v>2095.84</v>
      </c>
      <c r="L868" s="5">
        <f t="shared" si="345"/>
        <v>0.23561643835616441</v>
      </c>
      <c r="M868" s="5">
        <f t="shared" si="346"/>
        <v>-0.55209761180552552</v>
      </c>
      <c r="N868" s="5">
        <f t="shared" si="347"/>
        <v>69.583957131686503</v>
      </c>
      <c r="O868" s="1">
        <f t="shared" si="348"/>
        <v>0</v>
      </c>
      <c r="P868" s="1">
        <f t="shared" si="349"/>
        <v>2095.84</v>
      </c>
      <c r="Q868" s="5">
        <f t="shared" si="350"/>
        <v>0.23561643835616441</v>
      </c>
      <c r="R868" s="5">
        <f t="shared" si="351"/>
        <v>-0.55209761180552552</v>
      </c>
      <c r="S868" s="5">
        <f t="shared" si="334"/>
        <v>69.583957131686503</v>
      </c>
      <c r="T868" s="5">
        <f t="shared" si="335"/>
        <v>-723.64639599873306</v>
      </c>
      <c r="U868" s="4">
        <f t="shared" si="336"/>
        <v>1561088.9733534518</v>
      </c>
      <c r="V868" s="4">
        <f t="shared" si="352"/>
        <v>25.191271378224194</v>
      </c>
      <c r="W868" s="4">
        <f t="shared" si="337"/>
        <v>1510734.7935557766</v>
      </c>
      <c r="X868" s="4">
        <f t="shared" si="341"/>
        <v>1393.3010055965278</v>
      </c>
      <c r="Y868" s="9">
        <f>SUM($X$6:X868)</f>
        <v>510734.79355577659</v>
      </c>
      <c r="Z868" s="16">
        <f t="shared" si="342"/>
        <v>0.51073479355577656</v>
      </c>
      <c r="AA868" s="16">
        <f t="shared" si="338"/>
        <v>0.62885847180242138</v>
      </c>
      <c r="AB868" s="16">
        <f t="shared" si="339"/>
        <v>9.2311846753938341E-4</v>
      </c>
      <c r="AC868" s="16">
        <f t="shared" si="340"/>
        <v>4.1841406640755012E-4</v>
      </c>
    </row>
    <row r="869" spans="1:29" x14ac:dyDescent="0.15">
      <c r="A869" s="8">
        <v>42165</v>
      </c>
      <c r="B869" s="4">
        <v>2105.1999999999998</v>
      </c>
      <c r="C869" s="1">
        <v>13.0189</v>
      </c>
      <c r="D869" s="1">
        <v>2.0499999999999998</v>
      </c>
      <c r="E869" s="1">
        <v>0.29409999999999997</v>
      </c>
      <c r="F869" s="4">
        <f t="shared" si="330"/>
        <v>0.130189</v>
      </c>
      <c r="G869" s="4">
        <f t="shared" si="331"/>
        <v>2.0499999999999997E-2</v>
      </c>
      <c r="H869" s="4">
        <f t="shared" si="332"/>
        <v>2.9409999999999996E-3</v>
      </c>
      <c r="I869" s="3">
        <f t="shared" si="333"/>
        <v>59.144014181968664</v>
      </c>
      <c r="J869" s="4">
        <f t="shared" si="343"/>
        <v>1561088.9733534518</v>
      </c>
      <c r="K869" s="1">
        <f t="shared" si="344"/>
        <v>2095.84</v>
      </c>
      <c r="L869" s="5">
        <f t="shared" si="345"/>
        <v>0.23287671232876717</v>
      </c>
      <c r="M869" s="5">
        <f t="shared" si="346"/>
        <v>-0.48283077153613352</v>
      </c>
      <c r="N869" s="5">
        <f t="shared" si="347"/>
        <v>52.111345093961702</v>
      </c>
      <c r="O869" s="1">
        <f t="shared" si="348"/>
        <v>0</v>
      </c>
      <c r="P869" s="1">
        <f t="shared" si="349"/>
        <v>2095.84</v>
      </c>
      <c r="Q869" s="5">
        <f t="shared" si="350"/>
        <v>0.23287671232876717</v>
      </c>
      <c r="R869" s="5">
        <f t="shared" si="351"/>
        <v>-0.48283077153613352</v>
      </c>
      <c r="S869" s="5">
        <f t="shared" si="334"/>
        <v>52.111345093961702</v>
      </c>
      <c r="T869" s="5">
        <f t="shared" si="335"/>
        <v>-723.64639599873306</v>
      </c>
      <c r="U869" s="4">
        <f t="shared" si="336"/>
        <v>1561114.16462483</v>
      </c>
      <c r="V869" s="4">
        <f t="shared" si="352"/>
        <v>25.191677889425335</v>
      </c>
      <c r="W869" s="4">
        <f t="shared" si="337"/>
        <v>1523403.9775569383</v>
      </c>
      <c r="X869" s="4">
        <f t="shared" si="341"/>
        <v>12669.184001161717</v>
      </c>
      <c r="Y869" s="9">
        <f>SUM($X$6:X869)</f>
        <v>523403.97755693831</v>
      </c>
      <c r="Z869" s="16">
        <f t="shared" si="342"/>
        <v>0.52340397755693835</v>
      </c>
      <c r="AA869" s="16">
        <f t="shared" si="338"/>
        <v>0.6484738383474542</v>
      </c>
      <c r="AB869" s="16">
        <f t="shared" si="339"/>
        <v>8.3861072474160688E-3</v>
      </c>
      <c r="AC869" s="16">
        <f t="shared" si="340"/>
        <v>1.204240078840455E-2</v>
      </c>
    </row>
    <row r="870" spans="1:29" x14ac:dyDescent="0.15">
      <c r="A870" s="8">
        <v>42166</v>
      </c>
      <c r="B870" s="4">
        <v>2108.86</v>
      </c>
      <c r="C870" s="1">
        <v>12.6531</v>
      </c>
      <c r="D870" s="1">
        <v>2.0499999999999998</v>
      </c>
      <c r="E870" s="1">
        <v>0.29220000000000002</v>
      </c>
      <c r="F870" s="4">
        <f t="shared" si="330"/>
        <v>0.126531</v>
      </c>
      <c r="G870" s="4">
        <f t="shared" si="331"/>
        <v>2.0499999999999997E-2</v>
      </c>
      <c r="H870" s="4">
        <f t="shared" si="332"/>
        <v>2.9220000000000001E-3</v>
      </c>
      <c r="I870" s="3">
        <f t="shared" si="333"/>
        <v>57.724417706388017</v>
      </c>
      <c r="J870" s="4">
        <f t="shared" si="343"/>
        <v>1561114.16462483</v>
      </c>
      <c r="K870" s="1">
        <f t="shared" si="344"/>
        <v>2095.84</v>
      </c>
      <c r="L870" s="5">
        <f t="shared" si="345"/>
        <v>0.23013698630136992</v>
      </c>
      <c r="M870" s="5">
        <f t="shared" si="346"/>
        <v>-0.47156523886390239</v>
      </c>
      <c r="N870" s="5">
        <f t="shared" si="347"/>
        <v>48.545416820825629</v>
      </c>
      <c r="O870" s="1">
        <f t="shared" si="348"/>
        <v>0</v>
      </c>
      <c r="P870" s="1">
        <f t="shared" si="349"/>
        <v>2095.84</v>
      </c>
      <c r="Q870" s="5">
        <f t="shared" si="350"/>
        <v>0.23013698630136992</v>
      </c>
      <c r="R870" s="5">
        <f t="shared" si="351"/>
        <v>-0.47156523886390239</v>
      </c>
      <c r="S870" s="5">
        <f t="shared" si="334"/>
        <v>48.545416820825629</v>
      </c>
      <c r="T870" s="5">
        <f t="shared" si="335"/>
        <v>-723.64639599873306</v>
      </c>
      <c r="U870" s="4">
        <f t="shared" si="336"/>
        <v>1561139.3563027193</v>
      </c>
      <c r="V870" s="4">
        <f t="shared" si="352"/>
        <v>25.192084407186346</v>
      </c>
      <c r="W870" s="4">
        <f t="shared" si="337"/>
        <v>1526009.6403780726</v>
      </c>
      <c r="X870" s="4">
        <f t="shared" si="341"/>
        <v>2605.6628211343195</v>
      </c>
      <c r="Y870" s="9">
        <f>SUM($X$6:X870)</f>
        <v>526009.64037807263</v>
      </c>
      <c r="Z870" s="16">
        <f t="shared" si="342"/>
        <v>0.52600964037807263</v>
      </c>
      <c r="AA870" s="16">
        <f t="shared" si="338"/>
        <v>0.65133979609415393</v>
      </c>
      <c r="AB870" s="16">
        <f t="shared" si="339"/>
        <v>1.7104214374659731E-3</v>
      </c>
      <c r="AC870" s="16">
        <f t="shared" si="340"/>
        <v>1.738552156564844E-3</v>
      </c>
    </row>
    <row r="871" spans="1:29" x14ac:dyDescent="0.15">
      <c r="A871" s="8">
        <v>42167</v>
      </c>
      <c r="B871" s="4">
        <v>2094.11</v>
      </c>
      <c r="C871" s="1">
        <v>13.250500000000001</v>
      </c>
      <c r="D871" s="1">
        <v>2.06</v>
      </c>
      <c r="E871" s="1">
        <v>0.29239999999999999</v>
      </c>
      <c r="F871" s="4">
        <f t="shared" si="330"/>
        <v>0.13250500000000001</v>
      </c>
      <c r="G871" s="4">
        <f t="shared" si="331"/>
        <v>2.06E-2</v>
      </c>
      <c r="H871" s="4">
        <f t="shared" si="332"/>
        <v>2.9239999999999999E-3</v>
      </c>
      <c r="I871" s="3">
        <f t="shared" si="333"/>
        <v>59.824517498107127</v>
      </c>
      <c r="J871" s="4">
        <f t="shared" si="343"/>
        <v>1561139.3563027193</v>
      </c>
      <c r="K871" s="1">
        <f t="shared" si="344"/>
        <v>2095.84</v>
      </c>
      <c r="L871" s="5">
        <f t="shared" si="345"/>
        <v>0.22739726027397267</v>
      </c>
      <c r="M871" s="5">
        <f t="shared" si="346"/>
        <v>-0.51556085947540131</v>
      </c>
      <c r="N871" s="5">
        <f t="shared" si="347"/>
        <v>57.876534067348608</v>
      </c>
      <c r="O871" s="1">
        <f t="shared" si="348"/>
        <v>0</v>
      </c>
      <c r="P871" s="1">
        <f t="shared" si="349"/>
        <v>2095.84</v>
      </c>
      <c r="Q871" s="5">
        <f t="shared" si="350"/>
        <v>0.22739726027397267</v>
      </c>
      <c r="R871" s="5">
        <f t="shared" si="351"/>
        <v>-0.51556085947540131</v>
      </c>
      <c r="S871" s="5">
        <f t="shared" si="334"/>
        <v>57.876534067348608</v>
      </c>
      <c r="T871" s="5">
        <f t="shared" si="335"/>
        <v>-723.64639599873306</v>
      </c>
      <c r="U871" s="4">
        <f t="shared" si="336"/>
        <v>1561164.5483871265</v>
      </c>
      <c r="V871" s="4">
        <f t="shared" si="352"/>
        <v>25.192490931507326</v>
      </c>
      <c r="W871" s="4">
        <f t="shared" si="337"/>
        <v>1519282.4030963918</v>
      </c>
      <c r="X871" s="4">
        <f t="shared" si="341"/>
        <v>-6727.2372816808056</v>
      </c>
      <c r="Y871" s="9">
        <f>SUM($X$6:X871)</f>
        <v>519282.40309639182</v>
      </c>
      <c r="Z871" s="16">
        <f t="shared" si="342"/>
        <v>0.51928240309639184</v>
      </c>
      <c r="AA871" s="16">
        <f t="shared" si="338"/>
        <v>0.63978982976524224</v>
      </c>
      <c r="AB871" s="16">
        <f t="shared" si="339"/>
        <v>-4.4083845237138323E-3</v>
      </c>
      <c r="AC871" s="16">
        <f t="shared" si="340"/>
        <v>-6.9943002380433023E-3</v>
      </c>
    </row>
    <row r="872" spans="1:29" x14ac:dyDescent="0.15">
      <c r="A872" s="8">
        <v>42170</v>
      </c>
      <c r="B872" s="4">
        <v>2084.4299999999998</v>
      </c>
      <c r="C872" s="1">
        <v>14.013299999999999</v>
      </c>
      <c r="D872" s="1">
        <v>2.0699999999999998</v>
      </c>
      <c r="E872" s="1">
        <v>0.28949999999999998</v>
      </c>
      <c r="F872" s="4">
        <f t="shared" si="330"/>
        <v>0.14013299999999998</v>
      </c>
      <c r="G872" s="4">
        <f t="shared" si="331"/>
        <v>2.07E-2</v>
      </c>
      <c r="H872" s="4">
        <f t="shared" si="332"/>
        <v>2.895E-3</v>
      </c>
      <c r="I872" s="3">
        <f t="shared" si="333"/>
        <v>62.732064577530515</v>
      </c>
      <c r="J872" s="4">
        <f t="shared" si="343"/>
        <v>1561164.5483871265</v>
      </c>
      <c r="K872" s="1">
        <f t="shared" si="344"/>
        <v>2095.84</v>
      </c>
      <c r="L872" s="5">
        <f t="shared" si="345"/>
        <v>0.21917808219178089</v>
      </c>
      <c r="M872" s="5">
        <f t="shared" si="346"/>
        <v>-0.541290655898231</v>
      </c>
      <c r="N872" s="5">
        <f t="shared" si="347"/>
        <v>64.866225744470881</v>
      </c>
      <c r="O872" s="1">
        <f t="shared" si="348"/>
        <v>0</v>
      </c>
      <c r="P872" s="1">
        <f t="shared" si="349"/>
        <v>2095.84</v>
      </c>
      <c r="Q872" s="5">
        <f t="shared" si="350"/>
        <v>0.21917808219178089</v>
      </c>
      <c r="R872" s="5">
        <f t="shared" si="351"/>
        <v>-0.541290655898231</v>
      </c>
      <c r="S872" s="5">
        <f t="shared" si="334"/>
        <v>64.866225744470881</v>
      </c>
      <c r="T872" s="5">
        <f t="shared" si="335"/>
        <v>-723.64639599873306</v>
      </c>
      <c r="U872" s="4">
        <f t="shared" si="336"/>
        <v>1561189.7408780581</v>
      </c>
      <c r="V872" s="4">
        <f t="shared" si="352"/>
        <v>75.578692387165162</v>
      </c>
      <c r="W872" s="4">
        <f t="shared" si="337"/>
        <v>1514249.5303960314</v>
      </c>
      <c r="X872" s="4">
        <f t="shared" si="341"/>
        <v>-5032.8727003603708</v>
      </c>
      <c r="Y872" s="9">
        <f>SUM($X$6:X872)</f>
        <v>514249.53039603145</v>
      </c>
      <c r="Z872" s="16">
        <f t="shared" si="342"/>
        <v>0.5142495303960315</v>
      </c>
      <c r="AA872" s="16">
        <f t="shared" si="338"/>
        <v>0.63220991965921725</v>
      </c>
      <c r="AB872" s="16">
        <f t="shared" si="339"/>
        <v>-3.3126643803041908E-3</v>
      </c>
      <c r="AC872" s="16">
        <f t="shared" si="340"/>
        <v>-4.6224887899872927E-3</v>
      </c>
    </row>
    <row r="873" spans="1:29" x14ac:dyDescent="0.15">
      <c r="A873" s="8">
        <v>42171</v>
      </c>
      <c r="B873" s="4">
        <v>2096.29</v>
      </c>
      <c r="C873" s="1">
        <v>13.4727</v>
      </c>
      <c r="D873" s="1">
        <v>2.06</v>
      </c>
      <c r="E873" s="1">
        <v>0.29260000000000003</v>
      </c>
      <c r="F873" s="4">
        <f t="shared" si="330"/>
        <v>0.13472699999999999</v>
      </c>
      <c r="G873" s="4">
        <f t="shared" si="331"/>
        <v>2.06E-2</v>
      </c>
      <c r="H873" s="4">
        <f t="shared" si="332"/>
        <v>2.9260000000000002E-3</v>
      </c>
      <c r="I873" s="3">
        <f t="shared" si="333"/>
        <v>60.808839871672951</v>
      </c>
      <c r="J873" s="4">
        <f t="shared" si="343"/>
        <v>1561189.7408780581</v>
      </c>
      <c r="K873" s="1">
        <f t="shared" si="344"/>
        <v>2095.84</v>
      </c>
      <c r="L873" s="5">
        <f t="shared" si="345"/>
        <v>0.21643835616438364</v>
      </c>
      <c r="M873" s="5">
        <f t="shared" si="346"/>
        <v>-0.5082064009163384</v>
      </c>
      <c r="N873" s="5">
        <f t="shared" si="347"/>
        <v>56.132087861318624</v>
      </c>
      <c r="O873" s="1">
        <f t="shared" si="348"/>
        <v>0</v>
      </c>
      <c r="P873" s="1">
        <f t="shared" si="349"/>
        <v>2095.84</v>
      </c>
      <c r="Q873" s="5">
        <f t="shared" si="350"/>
        <v>0.21643835616438364</v>
      </c>
      <c r="R873" s="5">
        <f t="shared" si="351"/>
        <v>-0.5082064009163384</v>
      </c>
      <c r="S873" s="5">
        <f t="shared" si="334"/>
        <v>56.132087861318624</v>
      </c>
      <c r="T873" s="5">
        <f t="shared" si="335"/>
        <v>-723.64639599873306</v>
      </c>
      <c r="U873" s="4">
        <f t="shared" si="336"/>
        <v>1561265.3195704452</v>
      </c>
      <c r="V873" s="4">
        <f t="shared" si="352"/>
        <v>25.194117074712114</v>
      </c>
      <c r="W873" s="4">
        <f t="shared" si="337"/>
        <v>1520645.5364897177</v>
      </c>
      <c r="X873" s="4">
        <f t="shared" si="341"/>
        <v>6396.0060936862137</v>
      </c>
      <c r="Y873" s="9">
        <f>SUM($X$6:X873)</f>
        <v>520645.53648971766</v>
      </c>
      <c r="Z873" s="16">
        <f t="shared" si="342"/>
        <v>0.52064553648971768</v>
      </c>
      <c r="AA873" s="16">
        <f t="shared" si="338"/>
        <v>0.64149687563622704</v>
      </c>
      <c r="AB873" s="16">
        <f t="shared" si="339"/>
        <v>4.2238785387065138E-3</v>
      </c>
      <c r="AC873" s="16">
        <f t="shared" si="340"/>
        <v>5.6898048867076983E-3</v>
      </c>
    </row>
    <row r="874" spans="1:29" x14ac:dyDescent="0.15">
      <c r="A874" s="8">
        <v>42172</v>
      </c>
      <c r="B874" s="4">
        <v>2100.44</v>
      </c>
      <c r="C874" s="1">
        <v>13.5395</v>
      </c>
      <c r="D874" s="1">
        <v>2.0499999999999998</v>
      </c>
      <c r="E874" s="1">
        <v>0.29189999999999999</v>
      </c>
      <c r="F874" s="4">
        <f t="shared" si="330"/>
        <v>0.13539500000000002</v>
      </c>
      <c r="G874" s="4">
        <f t="shared" si="331"/>
        <v>2.0499999999999997E-2</v>
      </c>
      <c r="H874" s="4">
        <f t="shared" si="332"/>
        <v>2.9189999999999997E-3</v>
      </c>
      <c r="I874" s="3">
        <f t="shared" si="333"/>
        <v>61.182422168042429</v>
      </c>
      <c r="J874" s="4">
        <f t="shared" si="343"/>
        <v>1561265.3195704452</v>
      </c>
      <c r="K874" s="1">
        <f t="shared" si="344"/>
        <v>2095.84</v>
      </c>
      <c r="L874" s="5">
        <f t="shared" si="345"/>
        <v>0.21369863013698639</v>
      </c>
      <c r="M874" s="5">
        <f t="shared" si="346"/>
        <v>-0.49531326146852439</v>
      </c>
      <c r="N874" s="5">
        <f t="shared" si="347"/>
        <v>53.904087829810926</v>
      </c>
      <c r="O874" s="1">
        <f t="shared" si="348"/>
        <v>0</v>
      </c>
      <c r="P874" s="1">
        <f t="shared" si="349"/>
        <v>2095.84</v>
      </c>
      <c r="Q874" s="5">
        <f t="shared" si="350"/>
        <v>0.21369863013698639</v>
      </c>
      <c r="R874" s="5">
        <f t="shared" si="351"/>
        <v>-0.49531326146852439</v>
      </c>
      <c r="S874" s="5">
        <f t="shared" si="334"/>
        <v>53.904087829810926</v>
      </c>
      <c r="T874" s="5">
        <f t="shared" si="335"/>
        <v>-723.64639599873306</v>
      </c>
      <c r="U874" s="4">
        <f t="shared" si="336"/>
        <v>1561290.5136875198</v>
      </c>
      <c r="V874" s="4">
        <f t="shared" si="352"/>
        <v>25.194523631834219</v>
      </c>
      <c r="W874" s="4">
        <f t="shared" si="337"/>
        <v>1522283.014799878</v>
      </c>
      <c r="X874" s="4">
        <f t="shared" si="341"/>
        <v>1637.4783101603389</v>
      </c>
      <c r="Y874" s="9">
        <f>SUM($X$6:X874)</f>
        <v>522283.014799878</v>
      </c>
      <c r="Z874" s="16">
        <f t="shared" si="342"/>
        <v>0.52228301479987804</v>
      </c>
      <c r="AA874" s="16">
        <f t="shared" si="338"/>
        <v>0.64474652717961578</v>
      </c>
      <c r="AB874" s="16">
        <f t="shared" si="339"/>
        <v>1.0768310371267191E-3</v>
      </c>
      <c r="AC874" s="16">
        <f t="shared" si="340"/>
        <v>1.9796879248577684E-3</v>
      </c>
    </row>
    <row r="875" spans="1:29" x14ac:dyDescent="0.15">
      <c r="A875" s="8">
        <v>42173</v>
      </c>
      <c r="B875" s="4">
        <v>2121.2399999999998</v>
      </c>
      <c r="C875" s="1">
        <v>12.789199999999999</v>
      </c>
      <c r="D875" s="1">
        <v>2.0299999999999998</v>
      </c>
      <c r="E875" s="1">
        <v>0.28699999999999998</v>
      </c>
      <c r="F875" s="4">
        <f t="shared" si="330"/>
        <v>0.12789200000000001</v>
      </c>
      <c r="G875" s="4">
        <f t="shared" si="331"/>
        <v>2.0299999999999999E-2</v>
      </c>
      <c r="H875" s="4">
        <f t="shared" si="332"/>
        <v>2.8699999999999997E-3</v>
      </c>
      <c r="I875" s="3">
        <f t="shared" si="333"/>
        <v>58.595736322657991</v>
      </c>
      <c r="J875" s="4">
        <f t="shared" si="343"/>
        <v>1561290.5136875198</v>
      </c>
      <c r="K875" s="1">
        <f t="shared" si="344"/>
        <v>2095.84</v>
      </c>
      <c r="L875" s="5">
        <f t="shared" si="345"/>
        <v>0.21095890410958915</v>
      </c>
      <c r="M875" s="5">
        <f t="shared" si="346"/>
        <v>-0.42993274964788125</v>
      </c>
      <c r="N875" s="5">
        <f t="shared" si="347"/>
        <v>40.981373140690664</v>
      </c>
      <c r="O875" s="1">
        <f t="shared" si="348"/>
        <v>0</v>
      </c>
      <c r="P875" s="1">
        <f t="shared" si="349"/>
        <v>2095.84</v>
      </c>
      <c r="Q875" s="5">
        <f t="shared" si="350"/>
        <v>0.21095890410958915</v>
      </c>
      <c r="R875" s="5">
        <f t="shared" si="351"/>
        <v>-0.42993274964788125</v>
      </c>
      <c r="S875" s="5">
        <f t="shared" si="334"/>
        <v>40.981373140690664</v>
      </c>
      <c r="T875" s="5">
        <f t="shared" si="335"/>
        <v>-723.64639599873306</v>
      </c>
      <c r="U875" s="4">
        <f t="shared" si="336"/>
        <v>1561315.7082111517</v>
      </c>
      <c r="V875" s="4">
        <f t="shared" si="352"/>
        <v>25.194930195516939</v>
      </c>
      <c r="W875" s="4">
        <f t="shared" si="337"/>
        <v>1531659.6852348116</v>
      </c>
      <c r="X875" s="4">
        <f t="shared" si="341"/>
        <v>9376.6704349336214</v>
      </c>
      <c r="Y875" s="9">
        <f>SUM($X$6:X875)</f>
        <v>531659.68523481162</v>
      </c>
      <c r="Z875" s="16">
        <f t="shared" si="342"/>
        <v>0.53165968523481166</v>
      </c>
      <c r="AA875" s="16">
        <f t="shared" si="338"/>
        <v>0.66103393732479276</v>
      </c>
      <c r="AB875" s="16">
        <f t="shared" si="339"/>
        <v>6.1596104954020625E-3</v>
      </c>
      <c r="AC875" s="16">
        <f t="shared" si="340"/>
        <v>9.9026870560452694E-3</v>
      </c>
    </row>
    <row r="876" spans="1:29" x14ac:dyDescent="0.15">
      <c r="A876" s="8">
        <v>42174</v>
      </c>
      <c r="B876" s="4">
        <v>2109.9899999999998</v>
      </c>
      <c r="C876" s="1">
        <v>13.292</v>
      </c>
      <c r="D876" s="1">
        <v>2.04</v>
      </c>
      <c r="E876" s="1">
        <v>0.28760000000000002</v>
      </c>
      <c r="F876" s="4">
        <f t="shared" si="330"/>
        <v>0.13292000000000001</v>
      </c>
      <c r="G876" s="4">
        <f t="shared" si="331"/>
        <v>2.0400000000000001E-2</v>
      </c>
      <c r="H876" s="4">
        <f t="shared" si="332"/>
        <v>2.8760000000000001E-3</v>
      </c>
      <c r="I876" s="3">
        <f t="shared" si="333"/>
        <v>60.411515840217632</v>
      </c>
      <c r="J876" s="4">
        <f t="shared" si="343"/>
        <v>1561315.7082111517</v>
      </c>
      <c r="K876" s="1">
        <f t="shared" si="344"/>
        <v>2095.84</v>
      </c>
      <c r="L876" s="5">
        <f t="shared" si="345"/>
        <v>0.2082191780821919</v>
      </c>
      <c r="M876" s="5">
        <f t="shared" si="346"/>
        <v>-0.46569634331774329</v>
      </c>
      <c r="N876" s="5">
        <f t="shared" si="347"/>
        <v>47.587805170850416</v>
      </c>
      <c r="O876" s="1">
        <f t="shared" si="348"/>
        <v>0</v>
      </c>
      <c r="P876" s="1">
        <f t="shared" si="349"/>
        <v>2095.84</v>
      </c>
      <c r="Q876" s="5">
        <f t="shared" si="350"/>
        <v>0.2082191780821919</v>
      </c>
      <c r="R876" s="5">
        <f t="shared" si="351"/>
        <v>-0.46569634331774329</v>
      </c>
      <c r="S876" s="5">
        <f t="shared" si="334"/>
        <v>47.587805170850416</v>
      </c>
      <c r="T876" s="5">
        <f t="shared" si="335"/>
        <v>-723.64639599873306</v>
      </c>
      <c r="U876" s="4">
        <f t="shared" si="336"/>
        <v>1561340.9031413472</v>
      </c>
      <c r="V876" s="4">
        <f t="shared" si="352"/>
        <v>25.19533676576037</v>
      </c>
      <c r="W876" s="4">
        <f t="shared" si="337"/>
        <v>1526904.1594359714</v>
      </c>
      <c r="X876" s="4">
        <f t="shared" si="341"/>
        <v>-4755.5257988402154</v>
      </c>
      <c r="Y876" s="9">
        <f>SUM($X$6:X876)</f>
        <v>526904.15943597141</v>
      </c>
      <c r="Z876" s="16">
        <f t="shared" si="342"/>
        <v>0.52690415943597135</v>
      </c>
      <c r="AA876" s="16">
        <f t="shared" si="338"/>
        <v>0.65222464097223298</v>
      </c>
      <c r="AB876" s="16">
        <f t="shared" si="339"/>
        <v>-3.1048188084360057E-3</v>
      </c>
      <c r="AC876" s="16">
        <f t="shared" si="340"/>
        <v>-5.3035017254058955E-3</v>
      </c>
    </row>
    <row r="877" spans="1:29" x14ac:dyDescent="0.15">
      <c r="A877" s="8">
        <v>42177</v>
      </c>
      <c r="B877" s="4">
        <v>2122.85</v>
      </c>
      <c r="C877" s="1">
        <v>12.5816</v>
      </c>
      <c r="D877" s="1">
        <v>2.0299999999999998</v>
      </c>
      <c r="E877" s="1">
        <v>0.28849999999999998</v>
      </c>
      <c r="F877" s="4">
        <f t="shared" si="330"/>
        <v>0.12581600000000001</v>
      </c>
      <c r="G877" s="4">
        <f t="shared" si="331"/>
        <v>2.0299999999999999E-2</v>
      </c>
      <c r="H877" s="4">
        <f t="shared" si="332"/>
        <v>2.885E-3</v>
      </c>
      <c r="I877" s="3">
        <f t="shared" si="333"/>
        <v>57.763081570460422</v>
      </c>
      <c r="J877" s="4">
        <f t="shared" si="343"/>
        <v>1561340.9031413472</v>
      </c>
      <c r="K877" s="1">
        <f t="shared" si="344"/>
        <v>2095.84</v>
      </c>
      <c r="L877" s="5">
        <f t="shared" si="345"/>
        <v>0.20000000000000012</v>
      </c>
      <c r="M877" s="5">
        <f t="shared" si="346"/>
        <v>-0.42144756649654325</v>
      </c>
      <c r="N877" s="5">
        <f t="shared" si="347"/>
        <v>38.070175873752433</v>
      </c>
      <c r="O877" s="1">
        <f t="shared" si="348"/>
        <v>0</v>
      </c>
      <c r="P877" s="1">
        <f t="shared" si="349"/>
        <v>2095.84</v>
      </c>
      <c r="Q877" s="5">
        <f t="shared" si="350"/>
        <v>0.20000000000000012</v>
      </c>
      <c r="R877" s="5">
        <f t="shared" si="351"/>
        <v>-0.42144756649654325</v>
      </c>
      <c r="S877" s="5">
        <f t="shared" si="334"/>
        <v>38.070175873752433</v>
      </c>
      <c r="T877" s="5">
        <f t="shared" si="335"/>
        <v>-723.64639599873306</v>
      </c>
      <c r="U877" s="4">
        <f t="shared" si="336"/>
        <v>1561366.0984781131</v>
      </c>
      <c r="V877" s="4">
        <f t="shared" si="352"/>
        <v>75.587230027693849</v>
      </c>
      <c r="W877" s="4">
        <f t="shared" si="337"/>
        <v>1533816.7529120343</v>
      </c>
      <c r="X877" s="4">
        <f t="shared" si="341"/>
        <v>6912.5934760628734</v>
      </c>
      <c r="Y877" s="9">
        <f>SUM($X$6:X877)</f>
        <v>533816.75291203428</v>
      </c>
      <c r="Z877" s="16">
        <f t="shared" si="342"/>
        <v>0.53381675291203423</v>
      </c>
      <c r="AA877" s="16">
        <f t="shared" si="338"/>
        <v>0.66229464551391481</v>
      </c>
      <c r="AB877" s="16">
        <f t="shared" si="339"/>
        <v>4.5271953929422399E-3</v>
      </c>
      <c r="AC877" s="16">
        <f t="shared" si="340"/>
        <v>6.094815615239944E-3</v>
      </c>
    </row>
    <row r="878" spans="1:29" x14ac:dyDescent="0.15">
      <c r="A878" s="8">
        <v>42178</v>
      </c>
      <c r="B878" s="4">
        <v>2124.1999999999998</v>
      </c>
      <c r="C878" s="1">
        <v>12.135199999999999</v>
      </c>
      <c r="D878" s="1">
        <v>2.0299999999999998</v>
      </c>
      <c r="E878" s="1">
        <v>0.28699999999999998</v>
      </c>
      <c r="F878" s="4">
        <f t="shared" si="330"/>
        <v>0.12135199999999999</v>
      </c>
      <c r="G878" s="4">
        <f t="shared" si="331"/>
        <v>2.0299999999999999E-2</v>
      </c>
      <c r="H878" s="4">
        <f t="shared" si="332"/>
        <v>2.8699999999999997E-3</v>
      </c>
      <c r="I878" s="3">
        <f t="shared" si="333"/>
        <v>55.926232147922711</v>
      </c>
      <c r="J878" s="4">
        <f t="shared" si="343"/>
        <v>1561366.0984781131</v>
      </c>
      <c r="K878" s="1">
        <f t="shared" si="344"/>
        <v>2095.84</v>
      </c>
      <c r="L878" s="5">
        <f t="shared" si="345"/>
        <v>0.19726027397260287</v>
      </c>
      <c r="M878" s="5">
        <f t="shared" si="346"/>
        <v>-0.4141830478982616</v>
      </c>
      <c r="N878" s="5">
        <f t="shared" si="347"/>
        <v>35.50839440205602</v>
      </c>
      <c r="O878" s="1">
        <f t="shared" si="348"/>
        <v>0</v>
      </c>
      <c r="P878" s="1">
        <f t="shared" si="349"/>
        <v>2095.84</v>
      </c>
      <c r="Q878" s="5">
        <f t="shared" si="350"/>
        <v>0.19726027397260287</v>
      </c>
      <c r="R878" s="5">
        <f t="shared" si="351"/>
        <v>-0.4141830478982616</v>
      </c>
      <c r="S878" s="5">
        <f t="shared" si="334"/>
        <v>35.50839440205602</v>
      </c>
      <c r="T878" s="5">
        <f t="shared" si="335"/>
        <v>-723.64639599873306</v>
      </c>
      <c r="U878" s="4">
        <f t="shared" si="336"/>
        <v>1561441.6857081407</v>
      </c>
      <c r="V878" s="4">
        <f t="shared" si="352"/>
        <v>25.19696309266013</v>
      </c>
      <c r="W878" s="4">
        <f t="shared" si="337"/>
        <v>1535746.1640713913</v>
      </c>
      <c r="X878" s="4">
        <f t="shared" si="341"/>
        <v>1929.411159357056</v>
      </c>
      <c r="Y878" s="9">
        <f>SUM($X$6:X878)</f>
        <v>535746.16407139134</v>
      </c>
      <c r="Z878" s="16">
        <f t="shared" si="342"/>
        <v>0.53574616407139131</v>
      </c>
      <c r="AA878" s="16">
        <f t="shared" si="338"/>
        <v>0.66335176107622185</v>
      </c>
      <c r="AB878" s="16">
        <f t="shared" si="339"/>
        <v>1.2579150382168954E-3</v>
      </c>
      <c r="AC878" s="16">
        <f t="shared" si="340"/>
        <v>6.3593753680189801E-4</v>
      </c>
    </row>
    <row r="879" spans="1:29" x14ac:dyDescent="0.15">
      <c r="A879" s="8">
        <v>42179</v>
      </c>
      <c r="B879" s="4">
        <v>2108.58</v>
      </c>
      <c r="C879" s="1">
        <v>12.803900000000001</v>
      </c>
      <c r="D879" s="1">
        <v>2.04</v>
      </c>
      <c r="E879" s="1">
        <v>0.28689999999999999</v>
      </c>
      <c r="F879" s="4">
        <f t="shared" si="330"/>
        <v>0.12803900000000001</v>
      </c>
      <c r="G879" s="4">
        <f t="shared" si="331"/>
        <v>2.0400000000000001E-2</v>
      </c>
      <c r="H879" s="4">
        <f t="shared" si="332"/>
        <v>2.869E-3</v>
      </c>
      <c r="I879" s="3">
        <f t="shared" si="333"/>
        <v>58.334607645234136</v>
      </c>
      <c r="J879" s="4">
        <f t="shared" si="343"/>
        <v>1561441.6857081407</v>
      </c>
      <c r="K879" s="1">
        <f t="shared" si="344"/>
        <v>2095.84</v>
      </c>
      <c r="L879" s="5">
        <f t="shared" si="345"/>
        <v>0.19452054794520562</v>
      </c>
      <c r="M879" s="5">
        <f t="shared" si="346"/>
        <v>-0.46818009130495819</v>
      </c>
      <c r="N879" s="5">
        <f t="shared" si="347"/>
        <v>44.519138022373042</v>
      </c>
      <c r="O879" s="1">
        <f t="shared" si="348"/>
        <v>0</v>
      </c>
      <c r="P879" s="1">
        <f t="shared" si="349"/>
        <v>2095.84</v>
      </c>
      <c r="Q879" s="5">
        <f t="shared" si="350"/>
        <v>0.19452054794520562</v>
      </c>
      <c r="R879" s="5">
        <f t="shared" si="351"/>
        <v>-0.46818009130495819</v>
      </c>
      <c r="S879" s="5">
        <f t="shared" si="334"/>
        <v>44.519138022373042</v>
      </c>
      <c r="T879" s="5">
        <f t="shared" si="335"/>
        <v>-723.64639599873306</v>
      </c>
      <c r="U879" s="4">
        <f t="shared" si="336"/>
        <v>1561466.8826712333</v>
      </c>
      <c r="V879" s="4">
        <f t="shared" si="352"/>
        <v>25.197369695708392</v>
      </c>
      <c r="W879" s="4">
        <f t="shared" si="337"/>
        <v>1529250.7688883729</v>
      </c>
      <c r="X879" s="4">
        <f t="shared" si="341"/>
        <v>-6495.3951830184087</v>
      </c>
      <c r="Y879" s="9">
        <f>SUM($X$6:X879)</f>
        <v>529250.76888837293</v>
      </c>
      <c r="Z879" s="16">
        <f t="shared" si="342"/>
        <v>0.52925076888837297</v>
      </c>
      <c r="AA879" s="16">
        <f t="shared" si="338"/>
        <v>0.65112054249604567</v>
      </c>
      <c r="AB879" s="16">
        <f t="shared" si="339"/>
        <v>-4.2294718586817588E-3</v>
      </c>
      <c r="AC879" s="16">
        <f t="shared" si="340"/>
        <v>-7.3533565577628716E-3</v>
      </c>
    </row>
    <row r="880" spans="1:29" x14ac:dyDescent="0.15">
      <c r="A880" s="8">
        <v>42180</v>
      </c>
      <c r="B880" s="4">
        <v>2102.31</v>
      </c>
      <c r="C880" s="1">
        <v>13.0837</v>
      </c>
      <c r="D880" s="1">
        <v>2.0499999999999998</v>
      </c>
      <c r="E880" s="1">
        <v>0.2883</v>
      </c>
      <c r="F880" s="4">
        <f t="shared" si="330"/>
        <v>0.13083700000000001</v>
      </c>
      <c r="G880" s="4">
        <f t="shared" si="331"/>
        <v>2.0499999999999997E-2</v>
      </c>
      <c r="H880" s="4">
        <f t="shared" si="332"/>
        <v>2.8830000000000001E-3</v>
      </c>
      <c r="I880" s="3">
        <f t="shared" si="333"/>
        <v>59.349039567508974</v>
      </c>
      <c r="J880" s="4">
        <f t="shared" si="343"/>
        <v>1561466.8826712333</v>
      </c>
      <c r="K880" s="1">
        <f t="shared" si="344"/>
        <v>2095.84</v>
      </c>
      <c r="L880" s="5">
        <f t="shared" si="345"/>
        <v>0.19178082191780838</v>
      </c>
      <c r="M880" s="5">
        <f t="shared" si="346"/>
        <v>-0.48870955813614297</v>
      </c>
      <c r="N880" s="5">
        <f t="shared" si="347"/>
        <v>48.178052357916172</v>
      </c>
      <c r="O880" s="1">
        <f t="shared" si="348"/>
        <v>0</v>
      </c>
      <c r="P880" s="1">
        <f t="shared" si="349"/>
        <v>2095.84</v>
      </c>
      <c r="Q880" s="5">
        <f t="shared" si="350"/>
        <v>0.19178082191780838</v>
      </c>
      <c r="R880" s="5">
        <f t="shared" si="351"/>
        <v>-0.48870955813614297</v>
      </c>
      <c r="S880" s="5">
        <f t="shared" si="334"/>
        <v>48.178052357916172</v>
      </c>
      <c r="T880" s="5">
        <f t="shared" si="335"/>
        <v>-723.64639599873306</v>
      </c>
      <c r="U880" s="4">
        <f t="shared" si="336"/>
        <v>1561492.0800409289</v>
      </c>
      <c r="V880" s="4">
        <f t="shared" si="352"/>
        <v>25.197776305318001</v>
      </c>
      <c r="W880" s="4">
        <f t="shared" si="337"/>
        <v>1526628.2060858847</v>
      </c>
      <c r="X880" s="4">
        <f t="shared" si="341"/>
        <v>-2622.5628024882171</v>
      </c>
      <c r="Y880" s="9">
        <f>SUM($X$6:X880)</f>
        <v>526628.20608588471</v>
      </c>
      <c r="Z880" s="16">
        <f t="shared" si="342"/>
        <v>0.52662820608588468</v>
      </c>
      <c r="AA880" s="16">
        <f t="shared" si="338"/>
        <v>0.64621082799555229</v>
      </c>
      <c r="AB880" s="16">
        <f t="shared" si="339"/>
        <v>-1.7149331266281351E-3</v>
      </c>
      <c r="AC880" s="16">
        <f t="shared" si="340"/>
        <v>-2.9735651481091457E-3</v>
      </c>
    </row>
    <row r="881" spans="1:29" x14ac:dyDescent="0.15">
      <c r="A881" s="8">
        <v>42181</v>
      </c>
      <c r="B881" s="4">
        <v>2101.4899999999998</v>
      </c>
      <c r="C881" s="1">
        <v>13.0311</v>
      </c>
      <c r="D881" s="1">
        <v>2.0499999999999998</v>
      </c>
      <c r="E881" s="1">
        <v>0.28799999999999998</v>
      </c>
      <c r="F881" s="4">
        <f t="shared" si="330"/>
        <v>0.13031100000000001</v>
      </c>
      <c r="G881" s="4">
        <f t="shared" si="331"/>
        <v>2.0499999999999997E-2</v>
      </c>
      <c r="H881" s="4">
        <f t="shared" si="332"/>
        <v>2.8799999999999997E-3</v>
      </c>
      <c r="I881" s="3">
        <f t="shared" si="333"/>
        <v>59.107803541845108</v>
      </c>
      <c r="J881" s="4">
        <f t="shared" si="343"/>
        <v>1561492.0800409289</v>
      </c>
      <c r="K881" s="1">
        <f t="shared" si="344"/>
        <v>2095.84</v>
      </c>
      <c r="L881" s="5">
        <f t="shared" si="345"/>
        <v>0.18904109589041113</v>
      </c>
      <c r="M881" s="5">
        <f t="shared" si="346"/>
        <v>-0.49128850451903844</v>
      </c>
      <c r="N881" s="5">
        <f t="shared" si="347"/>
        <v>47.997137723205974</v>
      </c>
      <c r="O881" s="1">
        <f t="shared" si="348"/>
        <v>0</v>
      </c>
      <c r="P881" s="1">
        <f t="shared" si="349"/>
        <v>2095.84</v>
      </c>
      <c r="Q881" s="5">
        <f t="shared" si="350"/>
        <v>0.18904109589041113</v>
      </c>
      <c r="R881" s="5">
        <f t="shared" si="351"/>
        <v>-0.49128850451903844</v>
      </c>
      <c r="S881" s="5">
        <f t="shared" si="334"/>
        <v>47.997137723205974</v>
      </c>
      <c r="T881" s="5">
        <f t="shared" si="335"/>
        <v>-723.64639599873306</v>
      </c>
      <c r="U881" s="4">
        <f t="shared" si="336"/>
        <v>1561517.2778172342</v>
      </c>
      <c r="V881" s="4">
        <f t="shared" si="352"/>
        <v>25.19818292148906</v>
      </c>
      <c r="W881" s="4">
        <f t="shared" si="337"/>
        <v>1526784.3220855813</v>
      </c>
      <c r="X881" s="4">
        <f t="shared" si="341"/>
        <v>156.11599969654344</v>
      </c>
      <c r="Y881" s="9">
        <f>SUM($X$6:X881)</f>
        <v>526784.32208558125</v>
      </c>
      <c r="Z881" s="16">
        <f t="shared" si="342"/>
        <v>0.52678432208558124</v>
      </c>
      <c r="AA881" s="16">
        <f t="shared" si="338"/>
        <v>0.6455687281725212</v>
      </c>
      <c r="AB881" s="16">
        <f t="shared" si="339"/>
        <v>1.0226196468412474E-4</v>
      </c>
      <c r="AC881" s="16">
        <f t="shared" si="340"/>
        <v>-3.9004713862378229E-4</v>
      </c>
    </row>
    <row r="882" spans="1:29" x14ac:dyDescent="0.15">
      <c r="A882" s="8">
        <v>42184</v>
      </c>
      <c r="B882" s="4">
        <v>2057.64</v>
      </c>
      <c r="C882" s="1">
        <v>15.603999999999999</v>
      </c>
      <c r="D882" s="1">
        <v>2.09</v>
      </c>
      <c r="E882" s="1">
        <v>0.28999999999999998</v>
      </c>
      <c r="F882" s="4">
        <f t="shared" si="330"/>
        <v>0.15603999999999998</v>
      </c>
      <c r="G882" s="4">
        <f t="shared" si="331"/>
        <v>2.0899999999999998E-2</v>
      </c>
      <c r="H882" s="4">
        <f t="shared" si="332"/>
        <v>2.8999999999999998E-3</v>
      </c>
      <c r="I882" s="3">
        <f t="shared" si="333"/>
        <v>68.460797714883896</v>
      </c>
      <c r="J882" s="4">
        <f t="shared" si="343"/>
        <v>1561517.2778172342</v>
      </c>
      <c r="K882" s="1">
        <f t="shared" si="344"/>
        <v>2095.84</v>
      </c>
      <c r="L882" s="5">
        <f t="shared" si="345"/>
        <v>0.18082191780821935</v>
      </c>
      <c r="M882" s="5">
        <f t="shared" si="346"/>
        <v>-0.61295658859445468</v>
      </c>
      <c r="N882" s="5">
        <f t="shared" si="347"/>
        <v>80.170142784585124</v>
      </c>
      <c r="O882" s="1">
        <f t="shared" si="348"/>
        <v>0</v>
      </c>
      <c r="P882" s="1">
        <f t="shared" si="349"/>
        <v>2095.84</v>
      </c>
      <c r="Q882" s="5">
        <f t="shared" si="350"/>
        <v>0.18082191780821935</v>
      </c>
      <c r="R882" s="5">
        <f t="shared" si="351"/>
        <v>-0.61295658859445468</v>
      </c>
      <c r="S882" s="5">
        <f t="shared" si="334"/>
        <v>80.170142784585124</v>
      </c>
      <c r="T882" s="5">
        <f t="shared" si="335"/>
        <v>-723.64639599873306</v>
      </c>
      <c r="U882" s="4">
        <f t="shared" si="336"/>
        <v>1561542.4760001556</v>
      </c>
      <c r="V882" s="4">
        <f t="shared" si="352"/>
        <v>75.59576863266507</v>
      </c>
      <c r="W882" s="4">
        <f t="shared" si="337"/>
        <v>1503527.6411073867</v>
      </c>
      <c r="X882" s="4">
        <f t="shared" si="341"/>
        <v>-23256.680978194578</v>
      </c>
      <c r="Y882" s="9">
        <f>SUM($X$6:X882)</f>
        <v>503527.64110738668</v>
      </c>
      <c r="Z882" s="16">
        <f t="shared" si="342"/>
        <v>0.50352764110738668</v>
      </c>
      <c r="AA882" s="16">
        <f t="shared" si="338"/>
        <v>0.61123204861165481</v>
      </c>
      <c r="AB882" s="16">
        <f t="shared" si="339"/>
        <v>-1.5232459910530155E-2</v>
      </c>
      <c r="AC882" s="16">
        <f t="shared" si="340"/>
        <v>-2.0866147352592644E-2</v>
      </c>
    </row>
    <row r="883" spans="1:29" x14ac:dyDescent="0.15">
      <c r="A883" s="8">
        <v>42185</v>
      </c>
      <c r="B883" s="4">
        <v>2063.11</v>
      </c>
      <c r="C883" s="1">
        <v>15.280100000000001</v>
      </c>
      <c r="D883" s="1">
        <v>2.09</v>
      </c>
      <c r="E883" s="1">
        <v>0.28949999999999998</v>
      </c>
      <c r="F883" s="4">
        <f t="shared" si="330"/>
        <v>0.15280100000000002</v>
      </c>
      <c r="G883" s="4">
        <f t="shared" si="331"/>
        <v>2.0899999999999998E-2</v>
      </c>
      <c r="H883" s="4">
        <f t="shared" si="332"/>
        <v>2.895E-3</v>
      </c>
      <c r="I883" s="3">
        <f t="shared" si="333"/>
        <v>67.320229692582046</v>
      </c>
      <c r="J883" s="4">
        <f t="shared" si="343"/>
        <v>1561542.4760001556</v>
      </c>
      <c r="K883" s="1">
        <f t="shared" si="344"/>
        <v>2095.84</v>
      </c>
      <c r="L883" s="5">
        <f t="shared" si="345"/>
        <v>0.1780821917808221</v>
      </c>
      <c r="M883" s="5">
        <f t="shared" si="346"/>
        <v>-0.60093762564338193</v>
      </c>
      <c r="N883" s="5">
        <f t="shared" si="347"/>
        <v>75.315331268768404</v>
      </c>
      <c r="O883" s="1">
        <f t="shared" si="348"/>
        <v>0</v>
      </c>
      <c r="P883" s="1">
        <f t="shared" si="349"/>
        <v>2095.84</v>
      </c>
      <c r="Q883" s="5">
        <f t="shared" si="350"/>
        <v>0.1780821917808221</v>
      </c>
      <c r="R883" s="5">
        <f t="shared" si="351"/>
        <v>-0.60093762564338193</v>
      </c>
      <c r="S883" s="5">
        <f t="shared" si="334"/>
        <v>75.315331268768404</v>
      </c>
      <c r="T883" s="5">
        <f t="shared" si="335"/>
        <v>-723.64639599873306</v>
      </c>
      <c r="U883" s="4">
        <f t="shared" si="336"/>
        <v>1561618.0717687882</v>
      </c>
      <c r="V883" s="4">
        <f t="shared" si="352"/>
        <v>25.199809432104551</v>
      </c>
      <c r="W883" s="4">
        <f t="shared" si="337"/>
        <v>1507116.4037326933</v>
      </c>
      <c r="X883" s="4">
        <f t="shared" si="341"/>
        <v>3588.7626253066119</v>
      </c>
      <c r="Y883" s="9">
        <f>SUM($X$6:X883)</f>
        <v>507116.40373269329</v>
      </c>
      <c r="Z883" s="16">
        <f t="shared" si="342"/>
        <v>0.50711640373269329</v>
      </c>
      <c r="AA883" s="16">
        <f t="shared" si="338"/>
        <v>0.61551532426041078</v>
      </c>
      <c r="AB883" s="16">
        <f t="shared" si="339"/>
        <v>2.386895010898101E-3</v>
      </c>
      <c r="AC883" s="16">
        <f t="shared" si="340"/>
        <v>2.6583853346553599E-3</v>
      </c>
    </row>
    <row r="884" spans="1:29" x14ac:dyDescent="0.15">
      <c r="A884" s="8">
        <v>42186</v>
      </c>
      <c r="B884" s="4">
        <v>2077.42</v>
      </c>
      <c r="C884" s="1">
        <v>14.2402</v>
      </c>
      <c r="D884" s="1">
        <v>2.08</v>
      </c>
      <c r="E884" s="1">
        <v>0.2898</v>
      </c>
      <c r="F884" s="4">
        <f t="shared" si="330"/>
        <v>0.142402</v>
      </c>
      <c r="G884" s="4">
        <f t="shared" si="331"/>
        <v>2.0799999999999999E-2</v>
      </c>
      <c r="H884" s="4">
        <f t="shared" si="332"/>
        <v>2.898E-3</v>
      </c>
      <c r="I884" s="3">
        <f t="shared" si="333"/>
        <v>63.480337344617674</v>
      </c>
      <c r="J884" s="4">
        <f t="shared" si="343"/>
        <v>1561618.0717687882</v>
      </c>
      <c r="K884" s="1">
        <f t="shared" si="344"/>
        <v>2095.84</v>
      </c>
      <c r="L884" s="5">
        <f t="shared" si="345"/>
        <v>0.17534246575342485</v>
      </c>
      <c r="M884" s="5">
        <f t="shared" si="346"/>
        <v>-0.56576971686333044</v>
      </c>
      <c r="N884" s="5">
        <f t="shared" si="347"/>
        <v>62.980901537243177</v>
      </c>
      <c r="O884" s="1">
        <f t="shared" si="348"/>
        <v>0</v>
      </c>
      <c r="P884" s="1">
        <f t="shared" si="349"/>
        <v>2095.84</v>
      </c>
      <c r="Q884" s="5">
        <f t="shared" si="350"/>
        <v>0.17534246575342485</v>
      </c>
      <c r="R884" s="5">
        <f t="shared" si="351"/>
        <v>-0.56576971686333044</v>
      </c>
      <c r="S884" s="5">
        <f t="shared" si="334"/>
        <v>62.980901537243177</v>
      </c>
      <c r="T884" s="5">
        <f t="shared" si="335"/>
        <v>-723.64639599873306</v>
      </c>
      <c r="U884" s="4">
        <f t="shared" si="336"/>
        <v>1561643.2715782202</v>
      </c>
      <c r="V884" s="4">
        <f t="shared" si="352"/>
        <v>25.200216081084154</v>
      </c>
      <c r="W884" s="4">
        <f t="shared" si="337"/>
        <v>1516067.3691640431</v>
      </c>
      <c r="X884" s="4">
        <f t="shared" si="341"/>
        <v>8950.9654313498177</v>
      </c>
      <c r="Y884" s="9">
        <f>SUM($X$6:X884)</f>
        <v>516067.36916404311</v>
      </c>
      <c r="Z884" s="16">
        <f t="shared" si="342"/>
        <v>0.51606736916404305</v>
      </c>
      <c r="AA884" s="16">
        <f t="shared" si="338"/>
        <v>0.62672074922086685</v>
      </c>
      <c r="AB884" s="16">
        <f t="shared" si="339"/>
        <v>5.9391334399790585E-3</v>
      </c>
      <c r="AC884" s="16">
        <f t="shared" si="340"/>
        <v>6.9361304050680498E-3</v>
      </c>
    </row>
    <row r="885" spans="1:29" x14ac:dyDescent="0.15">
      <c r="A885" s="8">
        <v>42187</v>
      </c>
      <c r="B885" s="4">
        <v>2076.7800000000002</v>
      </c>
      <c r="C885" s="1">
        <v>14.7125</v>
      </c>
      <c r="D885" s="1">
        <v>2.08</v>
      </c>
      <c r="E885" s="1">
        <v>0.2898</v>
      </c>
      <c r="F885" s="4">
        <f t="shared" si="330"/>
        <v>0.14712500000000001</v>
      </c>
      <c r="G885" s="4">
        <f t="shared" si="331"/>
        <v>2.0799999999999999E-2</v>
      </c>
      <c r="H885" s="4">
        <f t="shared" si="332"/>
        <v>2.898E-3</v>
      </c>
      <c r="I885" s="3">
        <f t="shared" si="333"/>
        <v>65.403893435762825</v>
      </c>
      <c r="J885" s="4">
        <f t="shared" si="343"/>
        <v>1561643.2715782202</v>
      </c>
      <c r="K885" s="1">
        <f t="shared" si="344"/>
        <v>2095.84</v>
      </c>
      <c r="L885" s="5">
        <f t="shared" si="345"/>
        <v>0.1726027397260276</v>
      </c>
      <c r="M885" s="5">
        <f t="shared" si="346"/>
        <v>-0.56524734950051403</v>
      </c>
      <c r="N885" s="5">
        <f t="shared" si="347"/>
        <v>64.501924459763472</v>
      </c>
      <c r="O885" s="1">
        <f t="shared" si="348"/>
        <v>0</v>
      </c>
      <c r="P885" s="1">
        <f t="shared" si="349"/>
        <v>2095.84</v>
      </c>
      <c r="Q885" s="5">
        <f t="shared" si="350"/>
        <v>0.1726027397260276</v>
      </c>
      <c r="R885" s="5">
        <f t="shared" si="351"/>
        <v>-0.56524734950051403</v>
      </c>
      <c r="S885" s="5">
        <f t="shared" si="334"/>
        <v>64.501924459763472</v>
      </c>
      <c r="T885" s="5">
        <f t="shared" si="335"/>
        <v>-723.64639599873306</v>
      </c>
      <c r="U885" s="4">
        <f t="shared" si="336"/>
        <v>1561668.4717943012</v>
      </c>
      <c r="V885" s="4">
        <f t="shared" si="352"/>
        <v>25.200622736625842</v>
      </c>
      <c r="W885" s="4">
        <f t="shared" si="337"/>
        <v>1514991.8866240107</v>
      </c>
      <c r="X885" s="4">
        <f t="shared" si="341"/>
        <v>-1075.4825400323607</v>
      </c>
      <c r="Y885" s="9">
        <f>SUM($X$6:X885)</f>
        <v>514991.88662401075</v>
      </c>
      <c r="Z885" s="16">
        <f t="shared" si="342"/>
        <v>0.51499188662401074</v>
      </c>
      <c r="AA885" s="16">
        <f t="shared" si="338"/>
        <v>0.62621959813947681</v>
      </c>
      <c r="AB885" s="16">
        <f t="shared" si="339"/>
        <v>-7.0938967614966864E-4</v>
      </c>
      <c r="AC885" s="16">
        <f t="shared" si="340"/>
        <v>-3.0807443848613795E-4</v>
      </c>
    </row>
    <row r="886" spans="1:29" x14ac:dyDescent="0.15">
      <c r="A886" s="8">
        <v>42191</v>
      </c>
      <c r="B886" s="4">
        <v>2068.7600000000002</v>
      </c>
      <c r="C886" s="1">
        <v>15.2317</v>
      </c>
      <c r="D886" s="1">
        <v>2.09</v>
      </c>
      <c r="E886" s="1">
        <v>0.29060000000000002</v>
      </c>
      <c r="F886" s="4">
        <f t="shared" si="330"/>
        <v>0.15231700000000001</v>
      </c>
      <c r="G886" s="4">
        <f t="shared" si="331"/>
        <v>2.0899999999999998E-2</v>
      </c>
      <c r="H886" s="4">
        <f t="shared" si="332"/>
        <v>2.9060000000000002E-3</v>
      </c>
      <c r="I886" s="3">
        <f t="shared" si="333"/>
        <v>67.30316500082165</v>
      </c>
      <c r="J886" s="4">
        <f t="shared" si="343"/>
        <v>1561668.4717943012</v>
      </c>
      <c r="K886" s="1">
        <f t="shared" si="344"/>
        <v>2095.84</v>
      </c>
      <c r="L886" s="5">
        <f t="shared" si="345"/>
        <v>0.16164383561643855</v>
      </c>
      <c r="M886" s="5">
        <f t="shared" si="346"/>
        <v>-0.58866749444476552</v>
      </c>
      <c r="N886" s="5">
        <f t="shared" si="347"/>
        <v>69.007526218286714</v>
      </c>
      <c r="O886" s="1">
        <f t="shared" si="348"/>
        <v>0</v>
      </c>
      <c r="P886" s="1">
        <f t="shared" si="349"/>
        <v>2095.84</v>
      </c>
      <c r="Q886" s="5">
        <f t="shared" si="350"/>
        <v>0.16164383561643855</v>
      </c>
      <c r="R886" s="5">
        <f t="shared" si="351"/>
        <v>-0.58866749444476552</v>
      </c>
      <c r="S886" s="5">
        <f t="shared" si="334"/>
        <v>69.007526218286714</v>
      </c>
      <c r="T886" s="5">
        <f t="shared" si="335"/>
        <v>-723.64639599873306</v>
      </c>
      <c r="U886" s="4">
        <f t="shared" si="336"/>
        <v>1561693.6724170379</v>
      </c>
      <c r="V886" s="4">
        <f t="shared" si="352"/>
        <v>100.80411759491894</v>
      </c>
      <c r="W886" s="4">
        <f t="shared" si="337"/>
        <v>1511756.6247723866</v>
      </c>
      <c r="X886" s="4">
        <f t="shared" si="341"/>
        <v>-3235.26185162412</v>
      </c>
      <c r="Y886" s="9">
        <f>SUM($X$6:X886)</f>
        <v>511756.62477238663</v>
      </c>
      <c r="Z886" s="16">
        <f t="shared" si="342"/>
        <v>0.51175662477238659</v>
      </c>
      <c r="AA886" s="16">
        <f t="shared" si="338"/>
        <v>0.61993954865080758</v>
      </c>
      <c r="AB886" s="16">
        <f t="shared" si="339"/>
        <v>-2.1354978070764045E-3</v>
      </c>
      <c r="AC886" s="16">
        <f t="shared" si="340"/>
        <v>-3.8617475129768108E-3</v>
      </c>
    </row>
    <row r="887" spans="1:29" x14ac:dyDescent="0.15">
      <c r="A887" s="8">
        <v>42192</v>
      </c>
      <c r="B887" s="4">
        <v>2081.34</v>
      </c>
      <c r="C887" s="1">
        <v>14.648300000000001</v>
      </c>
      <c r="D887" s="1">
        <v>2.08</v>
      </c>
      <c r="E887" s="1">
        <v>0.28949999999999998</v>
      </c>
      <c r="F887" s="4">
        <f t="shared" si="330"/>
        <v>0.146483</v>
      </c>
      <c r="G887" s="4">
        <f t="shared" si="331"/>
        <v>2.0799999999999999E-2</v>
      </c>
      <c r="H887" s="4">
        <f t="shared" si="332"/>
        <v>2.895E-3</v>
      </c>
      <c r="I887" s="3">
        <f t="shared" si="333"/>
        <v>65.283621975900019</v>
      </c>
      <c r="J887" s="4">
        <f t="shared" si="343"/>
        <v>1561693.6724170379</v>
      </c>
      <c r="K887" s="1">
        <f t="shared" si="344"/>
        <v>2095.84</v>
      </c>
      <c r="L887" s="5">
        <f t="shared" si="345"/>
        <v>0.1589041095890413</v>
      </c>
      <c r="M887" s="5">
        <f t="shared" si="346"/>
        <v>-0.55321570686362831</v>
      </c>
      <c r="N887" s="5">
        <f t="shared" si="347"/>
        <v>59.438142287265514</v>
      </c>
      <c r="O887" s="1">
        <f t="shared" si="348"/>
        <v>0</v>
      </c>
      <c r="P887" s="1">
        <f t="shared" si="349"/>
        <v>2095.84</v>
      </c>
      <c r="Q887" s="5">
        <f t="shared" si="350"/>
        <v>0.1589041095890413</v>
      </c>
      <c r="R887" s="5">
        <f t="shared" si="351"/>
        <v>-0.55321570686362831</v>
      </c>
      <c r="S887" s="5">
        <f t="shared" si="334"/>
        <v>59.438142287265514</v>
      </c>
      <c r="T887" s="5">
        <f t="shared" si="335"/>
        <v>-723.64639599873306</v>
      </c>
      <c r="U887" s="4">
        <f t="shared" si="336"/>
        <v>1561794.4765346327</v>
      </c>
      <c r="V887" s="4">
        <f t="shared" si="352"/>
        <v>25.202656073394479</v>
      </c>
      <c r="W887" s="4">
        <f t="shared" si="337"/>
        <v>1518782.2790835931</v>
      </c>
      <c r="X887" s="4">
        <f t="shared" si="341"/>
        <v>7025.6543112064246</v>
      </c>
      <c r="Y887" s="9">
        <f>SUM($X$6:X887)</f>
        <v>518782.27908359305</v>
      </c>
      <c r="Z887" s="16">
        <f t="shared" si="342"/>
        <v>0.51878227908359309</v>
      </c>
      <c r="AA887" s="16">
        <f t="shared" si="338"/>
        <v>0.62979029959438104</v>
      </c>
      <c r="AB887" s="16">
        <f t="shared" si="339"/>
        <v>4.6473448146881592E-3</v>
      </c>
      <c r="AC887" s="16">
        <f t="shared" si="340"/>
        <v>6.0809373731123603E-3</v>
      </c>
    </row>
    <row r="888" spans="1:29" x14ac:dyDescent="0.15">
      <c r="A888" s="8">
        <v>42193</v>
      </c>
      <c r="B888" s="4">
        <v>2046.68</v>
      </c>
      <c r="C888" s="1">
        <v>16.505500000000001</v>
      </c>
      <c r="D888" s="1">
        <v>2.11</v>
      </c>
      <c r="E888" s="1">
        <v>0.28949999999999998</v>
      </c>
      <c r="F888" s="4">
        <f t="shared" si="330"/>
        <v>0.16505500000000001</v>
      </c>
      <c r="G888" s="4">
        <f t="shared" si="331"/>
        <v>2.1099999999999997E-2</v>
      </c>
      <c r="H888" s="4">
        <f t="shared" si="332"/>
        <v>2.895E-3</v>
      </c>
      <c r="I888" s="3">
        <f t="shared" si="333"/>
        <v>71.804615775634915</v>
      </c>
      <c r="J888" s="4">
        <f t="shared" si="343"/>
        <v>1561794.4765346327</v>
      </c>
      <c r="K888" s="1">
        <f t="shared" si="344"/>
        <v>2095.84</v>
      </c>
      <c r="L888" s="5">
        <f t="shared" si="345"/>
        <v>0.15616438356164405</v>
      </c>
      <c r="M888" s="5">
        <f t="shared" si="346"/>
        <v>-0.64399600705176419</v>
      </c>
      <c r="N888" s="5">
        <f t="shared" si="347"/>
        <v>85.663130472764408</v>
      </c>
      <c r="O888" s="1">
        <f t="shared" si="348"/>
        <v>0</v>
      </c>
      <c r="P888" s="1">
        <f t="shared" si="349"/>
        <v>2095.84</v>
      </c>
      <c r="Q888" s="5">
        <f t="shared" si="350"/>
        <v>0.15616438356164405</v>
      </c>
      <c r="R888" s="5">
        <f t="shared" si="351"/>
        <v>-0.64399600705176419</v>
      </c>
      <c r="S888" s="5">
        <f t="shared" si="334"/>
        <v>85.663130472764408</v>
      </c>
      <c r="T888" s="5">
        <f t="shared" si="335"/>
        <v>-723.64639599873306</v>
      </c>
      <c r="U888" s="4">
        <f t="shared" si="336"/>
        <v>1561819.6791907062</v>
      </c>
      <c r="V888" s="4">
        <f t="shared" si="352"/>
        <v>25.203062768310296</v>
      </c>
      <c r="W888" s="4">
        <f t="shared" si="337"/>
        <v>1499829.863554121</v>
      </c>
      <c r="X888" s="4">
        <f t="shared" si="341"/>
        <v>-18952.415529472055</v>
      </c>
      <c r="Y888" s="9">
        <f>SUM($X$6:X888)</f>
        <v>499829.863554121</v>
      </c>
      <c r="Z888" s="16">
        <f t="shared" si="342"/>
        <v>0.49982986355412101</v>
      </c>
      <c r="AA888" s="16">
        <f t="shared" si="338"/>
        <v>0.60264983634285008</v>
      </c>
      <c r="AB888" s="16">
        <f t="shared" si="339"/>
        <v>-1.2478691508639155E-2</v>
      </c>
      <c r="AC888" s="16">
        <f t="shared" si="340"/>
        <v>-1.6652733335255212E-2</v>
      </c>
    </row>
    <row r="889" spans="1:29" x14ac:dyDescent="0.15">
      <c r="A889" s="8">
        <v>42194</v>
      </c>
      <c r="B889" s="4">
        <v>2051.31</v>
      </c>
      <c r="C889" s="1">
        <v>16.6373</v>
      </c>
      <c r="D889" s="1">
        <v>2.11</v>
      </c>
      <c r="E889" s="1">
        <v>0.29239999999999999</v>
      </c>
      <c r="F889" s="4">
        <f t="shared" si="330"/>
        <v>0.16637299999999999</v>
      </c>
      <c r="G889" s="4">
        <f t="shared" si="331"/>
        <v>2.1099999999999997E-2</v>
      </c>
      <c r="H889" s="4">
        <f t="shared" si="332"/>
        <v>2.9239999999999999E-3</v>
      </c>
      <c r="I889" s="3">
        <f t="shared" si="333"/>
        <v>72.494756300608969</v>
      </c>
      <c r="J889" s="4">
        <f t="shared" si="343"/>
        <v>1561819.6791907062</v>
      </c>
      <c r="K889" s="1">
        <f t="shared" si="344"/>
        <v>2095.84</v>
      </c>
      <c r="L889" s="5">
        <f t="shared" si="345"/>
        <v>0.15342465753424681</v>
      </c>
      <c r="M889" s="5">
        <f t="shared" si="346"/>
        <v>-0.63093432919316328</v>
      </c>
      <c r="N889" s="5">
        <f t="shared" si="347"/>
        <v>82.596273646239538</v>
      </c>
      <c r="O889" s="1">
        <f t="shared" si="348"/>
        <v>0</v>
      </c>
      <c r="P889" s="1">
        <f t="shared" si="349"/>
        <v>2095.84</v>
      </c>
      <c r="Q889" s="5">
        <f t="shared" si="350"/>
        <v>0.15342465753424681</v>
      </c>
      <c r="R889" s="5">
        <f t="shared" si="351"/>
        <v>-0.63093432919316328</v>
      </c>
      <c r="S889" s="5">
        <f t="shared" si="334"/>
        <v>82.596273646239538</v>
      </c>
      <c r="T889" s="5">
        <f t="shared" si="335"/>
        <v>-723.64639599873306</v>
      </c>
      <c r="U889" s="4">
        <f t="shared" si="336"/>
        <v>1561844.8822534746</v>
      </c>
      <c r="V889" s="4">
        <f t="shared" si="352"/>
        <v>25.203469469788946</v>
      </c>
      <c r="W889" s="4">
        <f t="shared" si="337"/>
        <v>1502074.3865064483</v>
      </c>
      <c r="X889" s="4">
        <f t="shared" si="341"/>
        <v>2244.5229523272719</v>
      </c>
      <c r="Y889" s="9">
        <f>SUM($X$6:X889)</f>
        <v>502074.38650644827</v>
      </c>
      <c r="Z889" s="16">
        <f t="shared" si="342"/>
        <v>0.50207438650644831</v>
      </c>
      <c r="AA889" s="16">
        <f t="shared" si="338"/>
        <v>0.60627535119728126</v>
      </c>
      <c r="AB889" s="16">
        <f t="shared" si="339"/>
        <v>1.4965183764300203E-3</v>
      </c>
      <c r="AC889" s="16">
        <f t="shared" si="340"/>
        <v>2.2622002462524098E-3</v>
      </c>
    </row>
    <row r="890" spans="1:29" x14ac:dyDescent="0.15">
      <c r="A890" s="8">
        <v>42195</v>
      </c>
      <c r="B890" s="4">
        <v>2076.62</v>
      </c>
      <c r="C890" s="1">
        <v>14.9826</v>
      </c>
      <c r="D890" s="1">
        <v>2.08</v>
      </c>
      <c r="E890" s="1">
        <v>0.29220000000000002</v>
      </c>
      <c r="F890" s="4">
        <f t="shared" si="330"/>
        <v>0.14982599999999999</v>
      </c>
      <c r="G890" s="4">
        <f t="shared" si="331"/>
        <v>2.0799999999999999E-2</v>
      </c>
      <c r="H890" s="4">
        <f t="shared" si="332"/>
        <v>2.9220000000000001E-3</v>
      </c>
      <c r="I890" s="3">
        <f t="shared" si="333"/>
        <v>66.503379896949383</v>
      </c>
      <c r="J890" s="4">
        <f t="shared" si="343"/>
        <v>1561844.8822534746</v>
      </c>
      <c r="K890" s="1">
        <f t="shared" si="344"/>
        <v>2095.84</v>
      </c>
      <c r="L890" s="5">
        <f t="shared" si="345"/>
        <v>0.15068493150684956</v>
      </c>
      <c r="M890" s="5">
        <f t="shared" si="346"/>
        <v>-0.56793119968353201</v>
      </c>
      <c r="N890" s="5">
        <f t="shared" si="347"/>
        <v>61.719118497915446</v>
      </c>
      <c r="O890" s="1">
        <f t="shared" si="348"/>
        <v>0</v>
      </c>
      <c r="P890" s="1">
        <f t="shared" si="349"/>
        <v>2095.84</v>
      </c>
      <c r="Q890" s="5">
        <f t="shared" si="350"/>
        <v>0.15068493150684956</v>
      </c>
      <c r="R890" s="5">
        <f t="shared" si="351"/>
        <v>-0.56793119968353201</v>
      </c>
      <c r="S890" s="5">
        <f t="shared" si="334"/>
        <v>61.719118497915446</v>
      </c>
      <c r="T890" s="5">
        <f t="shared" si="335"/>
        <v>-723.64639599873306</v>
      </c>
      <c r="U890" s="4">
        <f t="shared" si="336"/>
        <v>1561870.0857229442</v>
      </c>
      <c r="V890" s="4">
        <f t="shared" si="352"/>
        <v>25.203876177830523</v>
      </c>
      <c r="W890" s="4">
        <f t="shared" si="337"/>
        <v>1517207.2680577091</v>
      </c>
      <c r="X890" s="4">
        <f t="shared" si="341"/>
        <v>15132.881551260827</v>
      </c>
      <c r="Y890" s="9">
        <f>SUM($X$6:X890)</f>
        <v>517207.26805770909</v>
      </c>
      <c r="Z890" s="16">
        <f t="shared" si="342"/>
        <v>0.51720726805770911</v>
      </c>
      <c r="AA890" s="16">
        <f t="shared" si="338"/>
        <v>0.6260943103691291</v>
      </c>
      <c r="AB890" s="16">
        <f t="shared" si="339"/>
        <v>1.0074655214950544E-2</v>
      </c>
      <c r="AC890" s="16">
        <f t="shared" si="340"/>
        <v>1.2338456888524868E-2</v>
      </c>
    </row>
    <row r="891" spans="1:29" x14ac:dyDescent="0.15">
      <c r="A891" s="8">
        <v>42198</v>
      </c>
      <c r="B891" s="4">
        <v>2099.6</v>
      </c>
      <c r="C891" s="1">
        <v>13.237399999999999</v>
      </c>
      <c r="D891" s="1">
        <v>2.06</v>
      </c>
      <c r="E891" s="1">
        <v>0.29520000000000002</v>
      </c>
      <c r="F891" s="4">
        <f t="shared" si="330"/>
        <v>0.13237399999999999</v>
      </c>
      <c r="G891" s="4">
        <f t="shared" si="331"/>
        <v>2.06E-2</v>
      </c>
      <c r="H891" s="4">
        <f t="shared" si="332"/>
        <v>2.9520000000000002E-3</v>
      </c>
      <c r="I891" s="3">
        <f t="shared" si="333"/>
        <v>59.918973804121471</v>
      </c>
      <c r="J891" s="4">
        <f t="shared" si="343"/>
        <v>1561870.0857229442</v>
      </c>
      <c r="K891" s="1">
        <f t="shared" si="344"/>
        <v>2095.84</v>
      </c>
      <c r="L891" s="5">
        <f t="shared" si="345"/>
        <v>0.14246575342465778</v>
      </c>
      <c r="M891" s="5">
        <f t="shared" si="346"/>
        <v>-0.49434412898308472</v>
      </c>
      <c r="N891" s="5">
        <f t="shared" si="347"/>
        <v>42.499122906026436</v>
      </c>
      <c r="O891" s="1">
        <f t="shared" si="348"/>
        <v>0</v>
      </c>
      <c r="P891" s="1">
        <f t="shared" si="349"/>
        <v>2095.84</v>
      </c>
      <c r="Q891" s="5">
        <f t="shared" si="350"/>
        <v>0.14246575342465778</v>
      </c>
      <c r="R891" s="5">
        <f t="shared" si="351"/>
        <v>-0.49434412898308472</v>
      </c>
      <c r="S891" s="5">
        <f t="shared" si="334"/>
        <v>42.499122906026436</v>
      </c>
      <c r="T891" s="5">
        <f t="shared" si="335"/>
        <v>-723.64639599873306</v>
      </c>
      <c r="U891" s="4">
        <f t="shared" si="336"/>
        <v>1561895.289599122</v>
      </c>
      <c r="V891" s="4">
        <f t="shared" si="352"/>
        <v>75.612848677305422</v>
      </c>
      <c r="W891" s="4">
        <f t="shared" si="337"/>
        <v>1531140.9524750689</v>
      </c>
      <c r="X891" s="4">
        <f t="shared" si="341"/>
        <v>13933.684417359764</v>
      </c>
      <c r="Y891" s="9">
        <f>SUM($X$6:X891)</f>
        <v>531140.95247506886</v>
      </c>
      <c r="Z891" s="16">
        <f t="shared" si="342"/>
        <v>0.53114095247506887</v>
      </c>
      <c r="AA891" s="16">
        <f t="shared" si="338"/>
        <v>0.64408876638529122</v>
      </c>
      <c r="AB891" s="16">
        <f t="shared" si="339"/>
        <v>9.1837712029927982E-3</v>
      </c>
      <c r="AC891" s="16">
        <f t="shared" si="340"/>
        <v>1.1066059269389691E-2</v>
      </c>
    </row>
    <row r="892" spans="1:29" x14ac:dyDescent="0.15">
      <c r="A892" s="8">
        <v>42199</v>
      </c>
      <c r="B892" s="4">
        <v>2108.9499999999998</v>
      </c>
      <c r="C892" s="1">
        <v>12.993600000000001</v>
      </c>
      <c r="D892" s="1">
        <v>2.0499999999999998</v>
      </c>
      <c r="E892" s="1">
        <v>0.2949</v>
      </c>
      <c r="F892" s="4">
        <f t="shared" si="330"/>
        <v>0.129936</v>
      </c>
      <c r="G892" s="4">
        <f t="shared" si="331"/>
        <v>2.0499999999999997E-2</v>
      </c>
      <c r="H892" s="4">
        <f t="shared" si="332"/>
        <v>2.9489999999999998E-3</v>
      </c>
      <c r="I892" s="3">
        <f t="shared" si="333"/>
        <v>59.141420309308295</v>
      </c>
      <c r="J892" s="4">
        <f t="shared" si="343"/>
        <v>1561895.289599122</v>
      </c>
      <c r="K892" s="1">
        <f t="shared" si="344"/>
        <v>2095.84</v>
      </c>
      <c r="L892" s="5">
        <f t="shared" si="345"/>
        <v>0.13972602739726053</v>
      </c>
      <c r="M892" s="5">
        <f t="shared" si="346"/>
        <v>-0.45799255199032674</v>
      </c>
      <c r="N892" s="5">
        <f t="shared" si="347"/>
        <v>36.819206148407488</v>
      </c>
      <c r="O892" s="1">
        <f t="shared" si="348"/>
        <v>0</v>
      </c>
      <c r="P892" s="1">
        <f t="shared" si="349"/>
        <v>2095.84</v>
      </c>
      <c r="Q892" s="5">
        <f t="shared" si="350"/>
        <v>0.13972602739726053</v>
      </c>
      <c r="R892" s="5">
        <f t="shared" si="351"/>
        <v>-0.45799255199032674</v>
      </c>
      <c r="S892" s="5">
        <f t="shared" si="334"/>
        <v>36.819206148407488</v>
      </c>
      <c r="T892" s="5">
        <f t="shared" si="335"/>
        <v>-723.64639599873306</v>
      </c>
      <c r="U892" s="4">
        <f t="shared" si="336"/>
        <v>1561970.9024477992</v>
      </c>
      <c r="V892" s="4">
        <f t="shared" si="352"/>
        <v>25.205503055938458</v>
      </c>
      <c r="W892" s="4">
        <f t="shared" si="337"/>
        <v>1535326.8166149696</v>
      </c>
      <c r="X892" s="4">
        <f t="shared" si="341"/>
        <v>4185.8641399007756</v>
      </c>
      <c r="Y892" s="9">
        <f>SUM($X$6:X892)</f>
        <v>535326.81661496963</v>
      </c>
      <c r="Z892" s="16">
        <f t="shared" si="342"/>
        <v>0.53532681661496961</v>
      </c>
      <c r="AA892" s="16">
        <f t="shared" si="338"/>
        <v>0.65141027046497413</v>
      </c>
      <c r="AB892" s="16">
        <f t="shared" si="339"/>
        <v>2.7338202489681843E-3</v>
      </c>
      <c r="AC892" s="16">
        <f t="shared" si="340"/>
        <v>4.4532291865116737E-3</v>
      </c>
    </row>
    <row r="893" spans="1:29" x14ac:dyDescent="0.15">
      <c r="A893" s="8">
        <v>42200</v>
      </c>
      <c r="B893" s="4">
        <v>2107.4</v>
      </c>
      <c r="C893" s="1">
        <v>12.8972</v>
      </c>
      <c r="D893" s="1">
        <v>2.0499999999999998</v>
      </c>
      <c r="E893" s="1">
        <v>0.29480000000000001</v>
      </c>
      <c r="F893" s="4">
        <f t="shared" si="330"/>
        <v>0.128972</v>
      </c>
      <c r="G893" s="4">
        <f t="shared" si="331"/>
        <v>2.0499999999999997E-2</v>
      </c>
      <c r="H893" s="4">
        <f t="shared" si="332"/>
        <v>2.9480000000000001E-3</v>
      </c>
      <c r="I893" s="3">
        <f t="shared" si="333"/>
        <v>58.695875061530614</v>
      </c>
      <c r="J893" s="4">
        <f t="shared" si="343"/>
        <v>1561970.9024477992</v>
      </c>
      <c r="K893" s="1">
        <f t="shared" si="344"/>
        <v>2095.84</v>
      </c>
      <c r="L893" s="5">
        <f t="shared" si="345"/>
        <v>0.13698630136986328</v>
      </c>
      <c r="M893" s="5">
        <f t="shared" si="346"/>
        <v>-0.46334565068866318</v>
      </c>
      <c r="N893" s="5">
        <f t="shared" si="347"/>
        <v>36.789596013689241</v>
      </c>
      <c r="O893" s="1">
        <f t="shared" si="348"/>
        <v>0</v>
      </c>
      <c r="P893" s="1">
        <f t="shared" si="349"/>
        <v>2095.84</v>
      </c>
      <c r="Q893" s="5">
        <f t="shared" si="350"/>
        <v>0.13698630136986328</v>
      </c>
      <c r="R893" s="5">
        <f t="shared" si="351"/>
        <v>-0.46334565068866318</v>
      </c>
      <c r="S893" s="5">
        <f t="shared" si="334"/>
        <v>36.789596013689241</v>
      </c>
      <c r="T893" s="5">
        <f t="shared" si="335"/>
        <v>-723.64639599873306</v>
      </c>
      <c r="U893" s="4">
        <f t="shared" si="336"/>
        <v>1561996.107950855</v>
      </c>
      <c r="V893" s="4">
        <f t="shared" si="352"/>
        <v>25.205909796795986</v>
      </c>
      <c r="W893" s="4">
        <f t="shared" si="337"/>
        <v>1535373.4493852996</v>
      </c>
      <c r="X893" s="4">
        <f t="shared" si="341"/>
        <v>46.632770329946652</v>
      </c>
      <c r="Y893" s="9">
        <f>SUM($X$6:X893)</f>
        <v>535373.44938529958</v>
      </c>
      <c r="Z893" s="16">
        <f t="shared" si="342"/>
        <v>0.53537344938529963</v>
      </c>
      <c r="AA893" s="16">
        <f t="shared" si="338"/>
        <v>0.6501965451897328</v>
      </c>
      <c r="AB893" s="16">
        <f t="shared" si="339"/>
        <v>3.0373188187229619E-5</v>
      </c>
      <c r="AC893" s="16">
        <f t="shared" si="340"/>
        <v>-7.349628962278514E-4</v>
      </c>
    </row>
    <row r="894" spans="1:29" x14ac:dyDescent="0.15">
      <c r="A894" s="8">
        <v>42201</v>
      </c>
      <c r="B894" s="4">
        <v>2124.29</v>
      </c>
      <c r="C894" s="1">
        <v>12.1165</v>
      </c>
      <c r="D894" s="1">
        <v>2.04</v>
      </c>
      <c r="E894" s="1">
        <v>0.29339999999999999</v>
      </c>
      <c r="F894" s="4">
        <f t="shared" si="330"/>
        <v>0.12116500000000001</v>
      </c>
      <c r="G894" s="4">
        <f t="shared" si="331"/>
        <v>2.0400000000000001E-2</v>
      </c>
      <c r="H894" s="4">
        <f t="shared" si="332"/>
        <v>2.934E-3</v>
      </c>
      <c r="I894" s="3">
        <f t="shared" si="333"/>
        <v>55.858847955264395</v>
      </c>
      <c r="J894" s="4">
        <f t="shared" si="343"/>
        <v>1561996.107950855</v>
      </c>
      <c r="K894" s="1">
        <f t="shared" si="344"/>
        <v>2095.84</v>
      </c>
      <c r="L894" s="5">
        <f t="shared" si="345"/>
        <v>0.13424657534246603</v>
      </c>
      <c r="M894" s="5">
        <f t="shared" si="346"/>
        <v>-0.39131713393366502</v>
      </c>
      <c r="N894" s="5">
        <f t="shared" si="347"/>
        <v>26.744315751960649</v>
      </c>
      <c r="O894" s="1">
        <f t="shared" si="348"/>
        <v>0</v>
      </c>
      <c r="P894" s="1">
        <f t="shared" si="349"/>
        <v>2095.84</v>
      </c>
      <c r="Q894" s="5">
        <f t="shared" si="350"/>
        <v>0.13424657534246603</v>
      </c>
      <c r="R894" s="5">
        <f t="shared" si="351"/>
        <v>-0.39131713393366502</v>
      </c>
      <c r="S894" s="5">
        <f t="shared" si="334"/>
        <v>26.744315751960649</v>
      </c>
      <c r="T894" s="5">
        <f t="shared" si="335"/>
        <v>-723.64639599873306</v>
      </c>
      <c r="U894" s="4">
        <f t="shared" si="336"/>
        <v>1562021.3138606518</v>
      </c>
      <c r="V894" s="4">
        <f t="shared" si="352"/>
        <v>25.206316544217092</v>
      </c>
      <c r="W894" s="4">
        <f t="shared" si="337"/>
        <v>1542667.8861532933</v>
      </c>
      <c r="X894" s="4">
        <f t="shared" si="341"/>
        <v>7294.4367679937277</v>
      </c>
      <c r="Y894" s="9">
        <f>SUM($X$6:X894)</f>
        <v>542667.88615329331</v>
      </c>
      <c r="Z894" s="16">
        <f t="shared" si="342"/>
        <v>0.54266788615329331</v>
      </c>
      <c r="AA894" s="16">
        <f t="shared" si="338"/>
        <v>0.66342223544704249</v>
      </c>
      <c r="AB894" s="16">
        <f t="shared" si="339"/>
        <v>4.7509202213403649E-3</v>
      </c>
      <c r="AC894" s="16">
        <f t="shared" si="340"/>
        <v>8.0146151656068487E-3</v>
      </c>
    </row>
    <row r="895" spans="1:29" x14ac:dyDescent="0.15">
      <c r="A895" s="8">
        <v>42202</v>
      </c>
      <c r="B895" s="4">
        <v>2126.64</v>
      </c>
      <c r="C895" s="1">
        <v>12.038500000000001</v>
      </c>
      <c r="D895" s="1">
        <v>2.04</v>
      </c>
      <c r="E895" s="1">
        <v>0.29820000000000002</v>
      </c>
      <c r="F895" s="4">
        <f t="shared" si="330"/>
        <v>0.12038500000000001</v>
      </c>
      <c r="G895" s="4">
        <f t="shared" si="331"/>
        <v>2.0400000000000001E-2</v>
      </c>
      <c r="H895" s="4">
        <f t="shared" si="332"/>
        <v>2.9820000000000003E-3</v>
      </c>
      <c r="I895" s="3">
        <f t="shared" si="333"/>
        <v>55.57843123946337</v>
      </c>
      <c r="J895" s="4">
        <f t="shared" si="343"/>
        <v>1562021.3138606518</v>
      </c>
      <c r="K895" s="1">
        <f t="shared" si="344"/>
        <v>2095.84</v>
      </c>
      <c r="L895" s="5">
        <f t="shared" si="345"/>
        <v>0.13150684931506879</v>
      </c>
      <c r="M895" s="5">
        <f t="shared" si="346"/>
        <v>-0.37972114952585956</v>
      </c>
      <c r="N895" s="5">
        <f t="shared" si="347"/>
        <v>25.195119232518991</v>
      </c>
      <c r="O895" s="1">
        <f t="shared" si="348"/>
        <v>0</v>
      </c>
      <c r="P895" s="1">
        <f t="shared" si="349"/>
        <v>2095.84</v>
      </c>
      <c r="Q895" s="5">
        <f t="shared" si="350"/>
        <v>0.13150684931506879</v>
      </c>
      <c r="R895" s="5">
        <f t="shared" si="351"/>
        <v>-0.37972114952585956</v>
      </c>
      <c r="S895" s="5">
        <f t="shared" si="334"/>
        <v>25.195119232518991</v>
      </c>
      <c r="T895" s="5">
        <f t="shared" si="335"/>
        <v>-723.64639599873306</v>
      </c>
      <c r="U895" s="4">
        <f t="shared" si="336"/>
        <v>1562046.520177196</v>
      </c>
      <c r="V895" s="4">
        <f t="shared" si="352"/>
        <v>25.206723298201876</v>
      </c>
      <c r="W895" s="4">
        <f t="shared" si="337"/>
        <v>1543814.1629478254</v>
      </c>
      <c r="X895" s="4">
        <f t="shared" si="341"/>
        <v>1146.2767945320811</v>
      </c>
      <c r="Y895" s="9">
        <f>SUM($X$6:X895)</f>
        <v>543814.16294782539</v>
      </c>
      <c r="Z895" s="16">
        <f t="shared" si="342"/>
        <v>0.54381416294782536</v>
      </c>
      <c r="AA895" s="16">
        <f t="shared" si="338"/>
        <v>0.66526239957402156</v>
      </c>
      <c r="AB895" s="16">
        <f t="shared" si="339"/>
        <v>7.4304832869138808E-4</v>
      </c>
      <c r="AC895" s="16">
        <f t="shared" si="340"/>
        <v>1.106251971246821E-3</v>
      </c>
    </row>
    <row r="896" spans="1:29" x14ac:dyDescent="0.15">
      <c r="A896" s="8">
        <v>42205</v>
      </c>
      <c r="B896" s="4">
        <v>2128.2800000000002</v>
      </c>
      <c r="C896" s="1">
        <v>12.0473</v>
      </c>
      <c r="D896" s="1">
        <v>2.0299999999999998</v>
      </c>
      <c r="E896" s="1">
        <v>0.30159999999999998</v>
      </c>
      <c r="F896" s="4">
        <f t="shared" si="330"/>
        <v>0.120473</v>
      </c>
      <c r="G896" s="4">
        <f t="shared" si="331"/>
        <v>2.0299999999999999E-2</v>
      </c>
      <c r="H896" s="4">
        <f t="shared" si="332"/>
        <v>3.0159999999999996E-3</v>
      </c>
      <c r="I896" s="3">
        <f t="shared" si="333"/>
        <v>55.621353760614888</v>
      </c>
      <c r="J896" s="4">
        <f t="shared" si="343"/>
        <v>1562046.520177196</v>
      </c>
      <c r="K896" s="1">
        <f t="shared" si="344"/>
        <v>2095.84</v>
      </c>
      <c r="L896" s="5">
        <f t="shared" si="345"/>
        <v>0.12328767123287701</v>
      </c>
      <c r="M896" s="5">
        <f t="shared" si="346"/>
        <v>-0.36831148763148169</v>
      </c>
      <c r="N896" s="5">
        <f t="shared" si="347"/>
        <v>23.364492635662867</v>
      </c>
      <c r="O896" s="1">
        <f t="shared" si="348"/>
        <v>0</v>
      </c>
      <c r="P896" s="1">
        <f t="shared" si="349"/>
        <v>2095.84</v>
      </c>
      <c r="Q896" s="5">
        <f t="shared" si="350"/>
        <v>0.12328767123287701</v>
      </c>
      <c r="R896" s="5">
        <f t="shared" si="351"/>
        <v>-0.36831148763148169</v>
      </c>
      <c r="S896" s="5">
        <f t="shared" si="334"/>
        <v>23.364492635662867</v>
      </c>
      <c r="T896" s="5">
        <f t="shared" si="335"/>
        <v>-723.64639599873306</v>
      </c>
      <c r="U896" s="4">
        <f t="shared" si="336"/>
        <v>1562071.7269004942</v>
      </c>
      <c r="V896" s="4">
        <f t="shared" si="352"/>
        <v>75.62139017625131</v>
      </c>
      <c r="W896" s="4">
        <f t="shared" si="337"/>
        <v>1545164.0960103578</v>
      </c>
      <c r="X896" s="4">
        <f t="shared" si="341"/>
        <v>1349.933062532451</v>
      </c>
      <c r="Y896" s="9">
        <f>SUM($X$6:X896)</f>
        <v>545164.09601035784</v>
      </c>
      <c r="Z896" s="16">
        <f t="shared" si="342"/>
        <v>0.54516409601035787</v>
      </c>
      <c r="AA896" s="16">
        <f t="shared" si="338"/>
        <v>0.66654659922008386</v>
      </c>
      <c r="AB896" s="16">
        <f t="shared" si="339"/>
        <v>8.7441422350655897E-4</v>
      </c>
      <c r="AC896" s="16">
        <f t="shared" si="340"/>
        <v>7.7116954444585238E-4</v>
      </c>
    </row>
    <row r="897" spans="1:29" x14ac:dyDescent="0.15">
      <c r="A897" s="8">
        <v>42206</v>
      </c>
      <c r="B897" s="4">
        <v>2119.21</v>
      </c>
      <c r="C897" s="1">
        <v>12.1022</v>
      </c>
      <c r="D897" s="1">
        <v>2.04</v>
      </c>
      <c r="E897" s="1">
        <v>0.30059999999999998</v>
      </c>
      <c r="F897" s="4">
        <f t="shared" si="330"/>
        <v>0.121022</v>
      </c>
      <c r="G897" s="4">
        <f t="shared" si="331"/>
        <v>2.0400000000000001E-2</v>
      </c>
      <c r="H897" s="4">
        <f t="shared" si="332"/>
        <v>3.006E-3</v>
      </c>
      <c r="I897" s="3">
        <f t="shared" si="333"/>
        <v>55.644707577146541</v>
      </c>
      <c r="J897" s="4">
        <f t="shared" si="343"/>
        <v>1562071.7269004942</v>
      </c>
      <c r="K897" s="1">
        <f t="shared" si="344"/>
        <v>2095.84</v>
      </c>
      <c r="L897" s="5">
        <f t="shared" si="345"/>
        <v>0.12054794520547975</v>
      </c>
      <c r="M897" s="5">
        <f t="shared" si="346"/>
        <v>-0.40609984857758286</v>
      </c>
      <c r="N897" s="5">
        <f t="shared" si="347"/>
        <v>26.618531929725915</v>
      </c>
      <c r="O897" s="1">
        <f t="shared" si="348"/>
        <v>0</v>
      </c>
      <c r="P897" s="1">
        <f t="shared" si="349"/>
        <v>2095.84</v>
      </c>
      <c r="Q897" s="5">
        <f t="shared" si="350"/>
        <v>0.12054794520547975</v>
      </c>
      <c r="R897" s="5">
        <f t="shared" si="351"/>
        <v>-0.40609984857758286</v>
      </c>
      <c r="S897" s="5">
        <f t="shared" si="334"/>
        <v>26.618531929725915</v>
      </c>
      <c r="T897" s="5">
        <f t="shared" si="335"/>
        <v>-723.64639599873306</v>
      </c>
      <c r="U897" s="4">
        <f t="shared" si="336"/>
        <v>1562147.3482906704</v>
      </c>
      <c r="V897" s="4">
        <f t="shared" si="352"/>
        <v>25.208350360087806</v>
      </c>
      <c r="W897" s="4">
        <f t="shared" si="337"/>
        <v>1542884.943592947</v>
      </c>
      <c r="X897" s="4">
        <f t="shared" si="341"/>
        <v>-2279.1524174108636</v>
      </c>
      <c r="Y897" s="9">
        <f>SUM($X$6:X897)</f>
        <v>542884.94359294698</v>
      </c>
      <c r="Z897" s="16">
        <f t="shared" si="342"/>
        <v>0.54288494359294692</v>
      </c>
      <c r="AA897" s="16">
        <f t="shared" si="338"/>
        <v>0.65944434873850888</v>
      </c>
      <c r="AB897" s="16">
        <f t="shared" si="339"/>
        <v>-1.4750228945234211E-3</v>
      </c>
      <c r="AC897" s="16">
        <f t="shared" si="340"/>
        <v>-4.2616573007311833E-3</v>
      </c>
    </row>
    <row r="898" spans="1:29" x14ac:dyDescent="0.15">
      <c r="A898" s="8">
        <v>42207</v>
      </c>
      <c r="B898" s="4">
        <v>2114.15</v>
      </c>
      <c r="C898" s="1">
        <v>12.167300000000001</v>
      </c>
      <c r="D898" s="1">
        <v>2.04</v>
      </c>
      <c r="E898" s="1">
        <v>0.2989</v>
      </c>
      <c r="F898" s="4">
        <f t="shared" si="330"/>
        <v>0.121673</v>
      </c>
      <c r="G898" s="4">
        <f t="shared" si="331"/>
        <v>2.0400000000000001E-2</v>
      </c>
      <c r="H898" s="4">
        <f t="shared" si="332"/>
        <v>2.9889999999999999E-3</v>
      </c>
      <c r="I898" s="3">
        <f t="shared" si="333"/>
        <v>55.789220606454123</v>
      </c>
      <c r="J898" s="4">
        <f t="shared" si="343"/>
        <v>1562147.3482906704</v>
      </c>
      <c r="K898" s="1">
        <f t="shared" si="344"/>
        <v>2095.84</v>
      </c>
      <c r="L898" s="5">
        <f t="shared" si="345"/>
        <v>0.11780821917808249</v>
      </c>
      <c r="M898" s="5">
        <f t="shared" si="346"/>
        <v>-0.4275276820416678</v>
      </c>
      <c r="N898" s="5">
        <f t="shared" si="347"/>
        <v>28.475706917304464</v>
      </c>
      <c r="O898" s="1">
        <f t="shared" si="348"/>
        <v>0</v>
      </c>
      <c r="P898" s="1">
        <f t="shared" si="349"/>
        <v>2095.84</v>
      </c>
      <c r="Q898" s="5">
        <f t="shared" si="350"/>
        <v>0.11780821917808249</v>
      </c>
      <c r="R898" s="5">
        <f t="shared" si="351"/>
        <v>-0.4275276820416678</v>
      </c>
      <c r="S898" s="5">
        <f t="shared" si="334"/>
        <v>28.475706917304464</v>
      </c>
      <c r="T898" s="5">
        <f t="shared" si="335"/>
        <v>-723.64639599873306</v>
      </c>
      <c r="U898" s="4">
        <f t="shared" si="336"/>
        <v>1562172.5566410306</v>
      </c>
      <c r="V898" s="4">
        <f t="shared" si="352"/>
        <v>25.208757146892243</v>
      </c>
      <c r="W898" s="4">
        <f t="shared" si="337"/>
        <v>1541566.213956807</v>
      </c>
      <c r="X898" s="4">
        <f t="shared" si="341"/>
        <v>-1318.7296361399349</v>
      </c>
      <c r="Y898" s="9">
        <f>SUM($X$6:X898)</f>
        <v>541566.21395680704</v>
      </c>
      <c r="Z898" s="16">
        <f t="shared" si="342"/>
        <v>0.54156621395680704</v>
      </c>
      <c r="AA898" s="16">
        <f t="shared" si="338"/>
        <v>0.65548212300126873</v>
      </c>
      <c r="AB898" s="16">
        <f t="shared" si="339"/>
        <v>-8.5471677043460082E-4</v>
      </c>
      <c r="AC898" s="16">
        <f t="shared" si="340"/>
        <v>-2.3876822023300879E-3</v>
      </c>
    </row>
    <row r="899" spans="1:29" x14ac:dyDescent="0.15">
      <c r="A899" s="8">
        <v>42208</v>
      </c>
      <c r="B899" s="4">
        <v>2102.15</v>
      </c>
      <c r="C899" s="1">
        <v>12.5685</v>
      </c>
      <c r="D899" s="1">
        <v>2.06</v>
      </c>
      <c r="E899" s="1">
        <v>0.30170000000000002</v>
      </c>
      <c r="F899" s="4">
        <f t="shared" si="330"/>
        <v>0.12568499999999999</v>
      </c>
      <c r="G899" s="4">
        <f t="shared" si="331"/>
        <v>2.06E-2</v>
      </c>
      <c r="H899" s="4">
        <f t="shared" si="332"/>
        <v>3.0170000000000002E-3</v>
      </c>
      <c r="I899" s="3">
        <f t="shared" si="333"/>
        <v>57.188543330683508</v>
      </c>
      <c r="J899" s="4">
        <f t="shared" si="343"/>
        <v>1562172.5566410306</v>
      </c>
      <c r="K899" s="1">
        <f t="shared" si="344"/>
        <v>2095.84</v>
      </c>
      <c r="L899" s="5">
        <f t="shared" si="345"/>
        <v>0.11506849315068522</v>
      </c>
      <c r="M899" s="5">
        <f t="shared" si="346"/>
        <v>-0.48116179579258228</v>
      </c>
      <c r="N899" s="5">
        <f t="shared" si="347"/>
        <v>34.629280354254362</v>
      </c>
      <c r="O899" s="1">
        <f t="shared" si="348"/>
        <v>0</v>
      </c>
      <c r="P899" s="1">
        <f t="shared" si="349"/>
        <v>2095.84</v>
      </c>
      <c r="Q899" s="5">
        <f t="shared" si="350"/>
        <v>0.11506849315068522</v>
      </c>
      <c r="R899" s="5">
        <f t="shared" si="351"/>
        <v>-0.48116179579258228</v>
      </c>
      <c r="S899" s="5">
        <f t="shared" si="334"/>
        <v>34.629280354254362</v>
      </c>
      <c r="T899" s="5">
        <f t="shared" si="335"/>
        <v>-723.64639599873306</v>
      </c>
      <c r="U899" s="4">
        <f t="shared" si="336"/>
        <v>1562197.7653981776</v>
      </c>
      <c r="V899" s="4">
        <f t="shared" si="352"/>
        <v>25.209163940260996</v>
      </c>
      <c r="W899" s="4">
        <f t="shared" si="337"/>
        <v>1537138.4114737916</v>
      </c>
      <c r="X899" s="4">
        <f t="shared" si="341"/>
        <v>-4427.8024830154609</v>
      </c>
      <c r="Y899" s="9">
        <f>SUM($X$6:X899)</f>
        <v>537138.41147379158</v>
      </c>
      <c r="Z899" s="16">
        <f t="shared" si="342"/>
        <v>0.5371384114737916</v>
      </c>
      <c r="AA899" s="16">
        <f t="shared" si="338"/>
        <v>0.64608554022520492</v>
      </c>
      <c r="AB899" s="16">
        <f t="shared" si="339"/>
        <v>-2.8722752502796634E-3</v>
      </c>
      <c r="AC899" s="16">
        <f t="shared" si="340"/>
        <v>-5.6760400160821133E-3</v>
      </c>
    </row>
    <row r="900" spans="1:29" x14ac:dyDescent="0.15">
      <c r="A900" s="8">
        <v>42209</v>
      </c>
      <c r="B900" s="4">
        <v>2079.65</v>
      </c>
      <c r="C900" s="1">
        <v>13.29</v>
      </c>
      <c r="D900" s="1">
        <v>2.08</v>
      </c>
      <c r="E900" s="1">
        <v>0.30009999999999998</v>
      </c>
      <c r="F900" s="4">
        <f t="shared" si="330"/>
        <v>0.13289999999999999</v>
      </c>
      <c r="G900" s="4">
        <f t="shared" si="331"/>
        <v>2.0799999999999999E-2</v>
      </c>
      <c r="H900" s="4">
        <f t="shared" si="332"/>
        <v>3.0009999999999998E-3</v>
      </c>
      <c r="I900" s="3">
        <f t="shared" si="333"/>
        <v>59.605554429127963</v>
      </c>
      <c r="J900" s="4">
        <f t="shared" si="343"/>
        <v>1562197.7653981776</v>
      </c>
      <c r="K900" s="1">
        <f t="shared" si="344"/>
        <v>2095.84</v>
      </c>
      <c r="L900" s="5">
        <f t="shared" si="345"/>
        <v>0.11232876712328796</v>
      </c>
      <c r="M900" s="5">
        <f t="shared" si="346"/>
        <v>-0.57662644734216062</v>
      </c>
      <c r="N900" s="5">
        <f t="shared" si="347"/>
        <v>48.099235525494898</v>
      </c>
      <c r="O900" s="1">
        <f t="shared" si="348"/>
        <v>0</v>
      </c>
      <c r="P900" s="1">
        <f t="shared" si="349"/>
        <v>2095.84</v>
      </c>
      <c r="Q900" s="5">
        <f t="shared" si="350"/>
        <v>0.11232876712328796</v>
      </c>
      <c r="R900" s="5">
        <f t="shared" si="351"/>
        <v>-0.57662644734216062</v>
      </c>
      <c r="S900" s="5">
        <f t="shared" si="334"/>
        <v>48.099235525494898</v>
      </c>
      <c r="T900" s="5">
        <f t="shared" si="335"/>
        <v>-723.64639599873306</v>
      </c>
      <c r="U900" s="4">
        <f t="shared" si="336"/>
        <v>1562222.9745621178</v>
      </c>
      <c r="V900" s="4">
        <f t="shared" si="352"/>
        <v>25.209570740194174</v>
      </c>
      <c r="W900" s="4">
        <f t="shared" si="337"/>
        <v>1527416.1361237993</v>
      </c>
      <c r="X900" s="4">
        <f t="shared" si="341"/>
        <v>-9722.2753499923274</v>
      </c>
      <c r="Y900" s="9">
        <f>SUM($X$6:X900)</f>
        <v>527416.13612379925</v>
      </c>
      <c r="Z900" s="16">
        <f t="shared" si="342"/>
        <v>0.52741613612379923</v>
      </c>
      <c r="AA900" s="16">
        <f t="shared" si="338"/>
        <v>0.62846694752008536</v>
      </c>
      <c r="AB900" s="16">
        <f t="shared" si="339"/>
        <v>-6.3249186133282013E-3</v>
      </c>
      <c r="AC900" s="16">
        <f t="shared" si="340"/>
        <v>-1.0703327545608068E-2</v>
      </c>
    </row>
    <row r="901" spans="1:29" x14ac:dyDescent="0.15">
      <c r="A901" s="8">
        <v>42212</v>
      </c>
      <c r="B901" s="4">
        <v>2067.64</v>
      </c>
      <c r="C901" s="1">
        <v>14.4483</v>
      </c>
      <c r="D901" s="1">
        <v>2.09</v>
      </c>
      <c r="E901" s="1">
        <v>0.30059999999999998</v>
      </c>
      <c r="F901" s="4">
        <f t="shared" si="330"/>
        <v>0.144483</v>
      </c>
      <c r="G901" s="4">
        <f t="shared" si="331"/>
        <v>2.0899999999999998E-2</v>
      </c>
      <c r="H901" s="4">
        <f t="shared" si="332"/>
        <v>3.006E-3</v>
      </c>
      <c r="I901" s="3">
        <f t="shared" si="333"/>
        <v>64.030036337318876</v>
      </c>
      <c r="J901" s="4">
        <f t="shared" si="343"/>
        <v>1562222.9745621178</v>
      </c>
      <c r="K901" s="1">
        <f t="shared" si="344"/>
        <v>2095.84</v>
      </c>
      <c r="L901" s="5">
        <f t="shared" si="345"/>
        <v>0.10410958904109618</v>
      </c>
      <c r="M901" s="5">
        <f t="shared" si="346"/>
        <v>-0.61931774977813281</v>
      </c>
      <c r="N901" s="5">
        <f t="shared" si="347"/>
        <v>56.777267804931043</v>
      </c>
      <c r="O901" s="1">
        <f t="shared" si="348"/>
        <v>0</v>
      </c>
      <c r="P901" s="1">
        <f t="shared" si="349"/>
        <v>2095.84</v>
      </c>
      <c r="Q901" s="5">
        <f t="shared" si="350"/>
        <v>0.10410958904109618</v>
      </c>
      <c r="R901" s="5">
        <f t="shared" si="351"/>
        <v>-0.61931774977813281</v>
      </c>
      <c r="S901" s="5">
        <f t="shared" si="334"/>
        <v>56.777267804931043</v>
      </c>
      <c r="T901" s="5">
        <f t="shared" si="335"/>
        <v>-723.64639599873306</v>
      </c>
      <c r="U901" s="4">
        <f t="shared" si="336"/>
        <v>1562248.1841328579</v>
      </c>
      <c r="V901" s="4">
        <f t="shared" si="352"/>
        <v>75.629932640075609</v>
      </c>
      <c r="W901" s="4">
        <f t="shared" si="337"/>
        <v>1521161.5189111647</v>
      </c>
      <c r="X901" s="4">
        <f t="shared" si="341"/>
        <v>-6254.6172126345336</v>
      </c>
      <c r="Y901" s="9">
        <f>SUM($X$6:X901)</f>
        <v>521161.51891116472</v>
      </c>
      <c r="Z901" s="16">
        <f t="shared" si="342"/>
        <v>0.52116151891116469</v>
      </c>
      <c r="AA901" s="16">
        <f t="shared" si="338"/>
        <v>0.61906253425837465</v>
      </c>
      <c r="AB901" s="16">
        <f t="shared" si="339"/>
        <v>-4.0949005740552082E-3</v>
      </c>
      <c r="AC901" s="16">
        <f t="shared" si="340"/>
        <v>-5.7750102180656442E-3</v>
      </c>
    </row>
    <row r="902" spans="1:29" x14ac:dyDescent="0.15">
      <c r="A902" s="8">
        <v>42213</v>
      </c>
      <c r="B902" s="4">
        <v>2093.25</v>
      </c>
      <c r="C902" s="1">
        <v>13.0525</v>
      </c>
      <c r="D902" s="1">
        <v>2.0699999999999998</v>
      </c>
      <c r="E902" s="1">
        <v>0.3034</v>
      </c>
      <c r="F902" s="4">
        <f t="shared" si="330"/>
        <v>0.130525</v>
      </c>
      <c r="G902" s="4">
        <f t="shared" si="331"/>
        <v>2.07E-2</v>
      </c>
      <c r="H902" s="4">
        <f t="shared" si="332"/>
        <v>3.0340000000000002E-3</v>
      </c>
      <c r="I902" s="3">
        <f t="shared" si="333"/>
        <v>58.97477310771378</v>
      </c>
      <c r="J902" s="4">
        <f t="shared" si="343"/>
        <v>1562248.1841328579</v>
      </c>
      <c r="K902" s="1">
        <f t="shared" si="344"/>
        <v>2095.84</v>
      </c>
      <c r="L902" s="5">
        <f t="shared" si="345"/>
        <v>0.10136986301369892</v>
      </c>
      <c r="M902" s="5">
        <f t="shared" si="346"/>
        <v>-0.51967141475878587</v>
      </c>
      <c r="N902" s="5">
        <f t="shared" si="347"/>
        <v>37.939853101310135</v>
      </c>
      <c r="O902" s="1">
        <f t="shared" si="348"/>
        <v>0</v>
      </c>
      <c r="P902" s="1">
        <f t="shared" si="349"/>
        <v>2095.84</v>
      </c>
      <c r="Q902" s="5">
        <f t="shared" si="350"/>
        <v>0.10136986301369892</v>
      </c>
      <c r="R902" s="5">
        <f t="shared" si="351"/>
        <v>-0.51967141475878587</v>
      </c>
      <c r="S902" s="5">
        <f t="shared" si="334"/>
        <v>37.939853101310135</v>
      </c>
      <c r="T902" s="5">
        <f t="shared" si="335"/>
        <v>-723.64639599873306</v>
      </c>
      <c r="U902" s="4">
        <f t="shared" si="336"/>
        <v>1562323.8140654981</v>
      </c>
      <c r="V902" s="4">
        <f t="shared" si="352"/>
        <v>25.211197985878858</v>
      </c>
      <c r="W902" s="4">
        <f t="shared" si="337"/>
        <v>1534868.7761040137</v>
      </c>
      <c r="X902" s="4">
        <f t="shared" si="341"/>
        <v>13707.257192848949</v>
      </c>
      <c r="Y902" s="9">
        <f>SUM($X$6:X902)</f>
        <v>534868.77610401367</v>
      </c>
      <c r="Z902" s="16">
        <f t="shared" si="342"/>
        <v>0.53486877610401362</v>
      </c>
      <c r="AA902" s="16">
        <f t="shared" si="338"/>
        <v>0.63911640799962421</v>
      </c>
      <c r="AB902" s="16">
        <f t="shared" si="339"/>
        <v>9.0110465078425683E-3</v>
      </c>
      <c r="AC902" s="16">
        <f t="shared" si="340"/>
        <v>1.2386102029366877E-2</v>
      </c>
    </row>
    <row r="903" spans="1:29" x14ac:dyDescent="0.15">
      <c r="A903" s="8">
        <v>42214</v>
      </c>
      <c r="B903" s="4">
        <v>2108.5700000000002</v>
      </c>
      <c r="C903" s="1">
        <v>12.545999999999999</v>
      </c>
      <c r="D903" s="1">
        <v>2.06</v>
      </c>
      <c r="E903" s="1">
        <v>0.30009999999999998</v>
      </c>
      <c r="F903" s="4">
        <f t="shared" ref="F903:F966" si="353">C903/100</f>
        <v>0.12545999999999999</v>
      </c>
      <c r="G903" s="4">
        <f t="shared" ref="G903:G966" si="354">D903/100</f>
        <v>2.06E-2</v>
      </c>
      <c r="H903" s="4">
        <f t="shared" ref="H903:H966" si="355">E903/100</f>
        <v>3.0009999999999998E-3</v>
      </c>
      <c r="I903" s="3">
        <f t="shared" ref="I903:I966" si="356">BSM_Put(B903,B903,F903,H903,G903,$B$3,$F$3)</f>
        <v>57.273788684334768</v>
      </c>
      <c r="J903" s="4">
        <f t="shared" si="343"/>
        <v>1562323.8140654981</v>
      </c>
      <c r="K903" s="1">
        <f t="shared" si="344"/>
        <v>2095.84</v>
      </c>
      <c r="L903" s="5">
        <f t="shared" si="345"/>
        <v>9.8630136986301659E-2</v>
      </c>
      <c r="M903" s="5">
        <f t="shared" si="346"/>
        <v>-0.44763545645329272</v>
      </c>
      <c r="N903" s="5">
        <f t="shared" si="347"/>
        <v>28.666452860980073</v>
      </c>
      <c r="O903" s="1">
        <f t="shared" si="348"/>
        <v>0</v>
      </c>
      <c r="P903" s="1">
        <f t="shared" si="349"/>
        <v>2095.84</v>
      </c>
      <c r="Q903" s="5">
        <f t="shared" si="350"/>
        <v>9.8630136986301659E-2</v>
      </c>
      <c r="R903" s="5">
        <f t="shared" si="351"/>
        <v>-0.44763545645329272</v>
      </c>
      <c r="S903" s="5">
        <f t="shared" ref="S903:S966" si="357">BSM_Put(B903,P903,F903,H903,G903,Q903,$F$3)</f>
        <v>28.666452860980073</v>
      </c>
      <c r="T903" s="5">
        <f t="shared" si="335"/>
        <v>-723.64639599873306</v>
      </c>
      <c r="U903" s="4">
        <f t="shared" si="336"/>
        <v>1562349.0252634839</v>
      </c>
      <c r="V903" s="4">
        <f t="shared" si="352"/>
        <v>25.211604818635394</v>
      </c>
      <c r="W903" s="4">
        <f t="shared" si="337"/>
        <v>1541604.649964568</v>
      </c>
      <c r="X903" s="4">
        <f t="shared" si="341"/>
        <v>6735.873860554304</v>
      </c>
      <c r="Y903" s="9">
        <f>SUM($X$6:X903)</f>
        <v>541604.64996456797</v>
      </c>
      <c r="Z903" s="16">
        <f t="shared" si="342"/>
        <v>0.54160464996456792</v>
      </c>
      <c r="AA903" s="16">
        <f t="shared" si="338"/>
        <v>0.65111271201039911</v>
      </c>
      <c r="AB903" s="16">
        <f t="shared" si="339"/>
        <v>4.3885666093567291E-3</v>
      </c>
      <c r="AC903" s="16">
        <f t="shared" si="340"/>
        <v>7.3187626895975938E-3</v>
      </c>
    </row>
    <row r="904" spans="1:29" x14ac:dyDescent="0.15">
      <c r="A904" s="8">
        <v>42215</v>
      </c>
      <c r="B904" s="4">
        <v>2108.63</v>
      </c>
      <c r="C904" s="1">
        <v>12.4786</v>
      </c>
      <c r="D904" s="1">
        <v>2.06</v>
      </c>
      <c r="E904" s="1">
        <v>0.30680000000000002</v>
      </c>
      <c r="F904" s="4">
        <f t="shared" si="353"/>
        <v>0.12478600000000001</v>
      </c>
      <c r="G904" s="4">
        <f t="shared" si="354"/>
        <v>2.06E-2</v>
      </c>
      <c r="H904" s="4">
        <f t="shared" si="355"/>
        <v>3.068E-3</v>
      </c>
      <c r="I904" s="3">
        <f t="shared" si="356"/>
        <v>56.974959662223746</v>
      </c>
      <c r="J904" s="4">
        <f t="shared" si="343"/>
        <v>1562349.0252634839</v>
      </c>
      <c r="K904" s="1">
        <f t="shared" si="344"/>
        <v>2095.84</v>
      </c>
      <c r="L904" s="5">
        <f t="shared" si="345"/>
        <v>9.5890410958904396E-2</v>
      </c>
      <c r="M904" s="5">
        <f t="shared" si="346"/>
        <v>-0.44611086643140474</v>
      </c>
      <c r="N904" s="5">
        <f t="shared" si="347"/>
        <v>27.955800661716452</v>
      </c>
      <c r="O904" s="1">
        <f t="shared" si="348"/>
        <v>0</v>
      </c>
      <c r="P904" s="1">
        <f t="shared" si="349"/>
        <v>2095.84</v>
      </c>
      <c r="Q904" s="5">
        <f t="shared" si="350"/>
        <v>9.5890410958904396E-2</v>
      </c>
      <c r="R904" s="5">
        <f t="shared" si="351"/>
        <v>-0.44611086643140474</v>
      </c>
      <c r="S904" s="5">
        <f t="shared" si="357"/>
        <v>27.955800661716452</v>
      </c>
      <c r="T904" s="5">
        <f t="shared" ref="T904:T967" si="358">IF(O904,-(J904+IF(L904&lt;=0.00001, MAX(K904-B904,0),N904)*T903)/P904,T903)</f>
        <v>-723.64639599873306</v>
      </c>
      <c r="U904" s="4">
        <f t="shared" ref="U904:U967" si="359">IF(O904,(J904+IF(L904&lt;=0.00001, MAX(K904-B904,0),N904)*T903)-(S904*T904),U903)+V903</f>
        <v>1562374.2368683026</v>
      </c>
      <c r="V904" s="4">
        <f t="shared" si="352"/>
        <v>25.212011657956992</v>
      </c>
      <c r="W904" s="4">
        <f t="shared" ref="W904:W967" si="360">S904*T904+U904</f>
        <v>1542144.1224721924</v>
      </c>
      <c r="X904" s="4">
        <f t="shared" si="341"/>
        <v>539.47250762442127</v>
      </c>
      <c r="Y904" s="9">
        <f>SUM($X$6:X904)</f>
        <v>542144.12247219239</v>
      </c>
      <c r="Z904" s="16">
        <f t="shared" si="342"/>
        <v>0.54214412247219235</v>
      </c>
      <c r="AA904" s="16">
        <f t="shared" ref="AA904:AA967" si="361">(B904-$B$6)/$B$6</f>
        <v>0.65115969492427939</v>
      </c>
      <c r="AB904" s="16">
        <f t="shared" ref="AB904:AB967" si="362">X904/W903</f>
        <v>3.4994219019566424E-4</v>
      </c>
      <c r="AC904" s="16">
        <f t="shared" ref="AC904:AC967" si="363">(B904-B903)/B903</f>
        <v>2.8455303831480779E-5</v>
      </c>
    </row>
    <row r="905" spans="1:29" x14ac:dyDescent="0.15">
      <c r="A905" s="8">
        <v>42216</v>
      </c>
      <c r="B905" s="4">
        <v>2103.84</v>
      </c>
      <c r="C905" s="1">
        <v>12.5786</v>
      </c>
      <c r="D905" s="1">
        <v>2.06</v>
      </c>
      <c r="E905" s="1">
        <v>0.3155</v>
      </c>
      <c r="F905" s="4">
        <f t="shared" si="353"/>
        <v>0.12578600000000001</v>
      </c>
      <c r="G905" s="4">
        <f t="shared" si="354"/>
        <v>2.06E-2</v>
      </c>
      <c r="H905" s="4">
        <f t="shared" si="355"/>
        <v>3.1549999999999998E-3</v>
      </c>
      <c r="I905" s="3">
        <f t="shared" si="356"/>
        <v>57.237527356578049</v>
      </c>
      <c r="J905" s="4">
        <f t="shared" si="343"/>
        <v>1562374.2368683026</v>
      </c>
      <c r="K905" s="1">
        <f t="shared" si="344"/>
        <v>2095.84</v>
      </c>
      <c r="L905" s="5">
        <f t="shared" si="345"/>
        <v>9.3150684931507133E-2</v>
      </c>
      <c r="M905" s="5">
        <f t="shared" si="346"/>
        <v>-0.4687673356167984</v>
      </c>
      <c r="N905" s="5">
        <f t="shared" si="347"/>
        <v>29.883505571544866</v>
      </c>
      <c r="O905" s="1">
        <f t="shared" si="348"/>
        <v>0</v>
      </c>
      <c r="P905" s="1">
        <f t="shared" si="349"/>
        <v>2095.84</v>
      </c>
      <c r="Q905" s="5">
        <f t="shared" si="350"/>
        <v>9.3150684931507133E-2</v>
      </c>
      <c r="R905" s="5">
        <f t="shared" si="351"/>
        <v>-0.4687673356167984</v>
      </c>
      <c r="S905" s="5">
        <f t="shared" si="357"/>
        <v>29.883505571544866</v>
      </c>
      <c r="T905" s="5">
        <f t="shared" si="358"/>
        <v>-723.64639599873306</v>
      </c>
      <c r="U905" s="4">
        <f t="shared" si="359"/>
        <v>1562399.4488799605</v>
      </c>
      <c r="V905" s="4">
        <f t="shared" si="352"/>
        <v>25.212418503843743</v>
      </c>
      <c r="W905" s="4">
        <f t="shared" si="360"/>
        <v>1540774.357773304</v>
      </c>
      <c r="X905" s="4">
        <f t="shared" ref="X905:X968" si="364">W905-W904</f>
        <v>-1369.764698888408</v>
      </c>
      <c r="Y905" s="9">
        <f>SUM($X$6:X905)</f>
        <v>540774.35777330399</v>
      </c>
      <c r="Z905" s="16">
        <f t="shared" si="342"/>
        <v>0.54077435777330396</v>
      </c>
      <c r="AA905" s="16">
        <f t="shared" si="361"/>
        <v>0.6474088922995006</v>
      </c>
      <c r="AB905" s="16">
        <f t="shared" si="362"/>
        <v>-8.8822093793189383E-4</v>
      </c>
      <c r="AC905" s="16">
        <f t="shared" si="363"/>
        <v>-2.2716171163266971E-3</v>
      </c>
    </row>
    <row r="906" spans="1:29" x14ac:dyDescent="0.15">
      <c r="A906" s="8">
        <v>42219</v>
      </c>
      <c r="B906" s="4">
        <v>2098.04</v>
      </c>
      <c r="C906" s="1">
        <v>12.7506</v>
      </c>
      <c r="D906" s="1">
        <v>2.0699999999999998</v>
      </c>
      <c r="E906" s="1">
        <v>0.31040000000000001</v>
      </c>
      <c r="F906" s="4">
        <f t="shared" si="353"/>
        <v>0.12750600000000001</v>
      </c>
      <c r="G906" s="4">
        <f t="shared" si="354"/>
        <v>2.07E-2</v>
      </c>
      <c r="H906" s="4">
        <f t="shared" si="355"/>
        <v>3.104E-3</v>
      </c>
      <c r="I906" s="3">
        <f t="shared" si="356"/>
        <v>57.835562801715199</v>
      </c>
      <c r="J906" s="4">
        <f t="shared" si="343"/>
        <v>1562399.4488799605</v>
      </c>
      <c r="K906" s="1">
        <f t="shared" si="344"/>
        <v>2095.84</v>
      </c>
      <c r="L906" s="5">
        <f t="shared" si="345"/>
        <v>8.4931506849315358E-2</v>
      </c>
      <c r="M906" s="5">
        <f t="shared" si="346"/>
        <v>-0.49649504935960914</v>
      </c>
      <c r="N906" s="5">
        <f t="shared" si="347"/>
        <v>31.521183809657725</v>
      </c>
      <c r="O906" s="1">
        <f t="shared" si="348"/>
        <v>0</v>
      </c>
      <c r="P906" s="1">
        <f t="shared" si="349"/>
        <v>2095.84</v>
      </c>
      <c r="Q906" s="5">
        <f t="shared" si="350"/>
        <v>8.4931506849315358E-2</v>
      </c>
      <c r="R906" s="5">
        <f t="shared" si="351"/>
        <v>-0.49649504935960914</v>
      </c>
      <c r="S906" s="5">
        <f t="shared" si="357"/>
        <v>31.521183809657725</v>
      </c>
      <c r="T906" s="5">
        <f t="shared" si="358"/>
        <v>-723.64639599873306</v>
      </c>
      <c r="U906" s="4">
        <f t="shared" si="359"/>
        <v>1562424.6612984643</v>
      </c>
      <c r="V906" s="4">
        <f t="shared" si="352"/>
        <v>75.6384760688873</v>
      </c>
      <c r="W906" s="4">
        <f t="shared" si="360"/>
        <v>1539614.4702369918</v>
      </c>
      <c r="X906" s="4">
        <f t="shared" si="364"/>
        <v>-1159.8875363122206</v>
      </c>
      <c r="Y906" s="9">
        <f>SUM($X$6:X906)</f>
        <v>539614.47023699176</v>
      </c>
      <c r="Z906" s="16">
        <f t="shared" si="342"/>
        <v>0.53961447023699172</v>
      </c>
      <c r="AA906" s="16">
        <f t="shared" si="361"/>
        <v>0.642867210624403</v>
      </c>
      <c r="AB906" s="16">
        <f t="shared" si="362"/>
        <v>-7.5279519707769976E-4</v>
      </c>
      <c r="AC906" s="16">
        <f t="shared" si="363"/>
        <v>-2.7568636398206049E-3</v>
      </c>
    </row>
    <row r="907" spans="1:29" x14ac:dyDescent="0.15">
      <c r="A907" s="8">
        <v>42220</v>
      </c>
      <c r="B907" s="4">
        <v>2093.3200000000002</v>
      </c>
      <c r="C907" s="1">
        <v>12.934200000000001</v>
      </c>
      <c r="D907" s="1">
        <v>2.08</v>
      </c>
      <c r="E907" s="1">
        <v>0.30780000000000002</v>
      </c>
      <c r="F907" s="4">
        <f t="shared" si="353"/>
        <v>0.12934200000000001</v>
      </c>
      <c r="G907" s="4">
        <f t="shared" si="354"/>
        <v>2.0799999999999999E-2</v>
      </c>
      <c r="H907" s="4">
        <f t="shared" si="355"/>
        <v>3.078E-3</v>
      </c>
      <c r="I907" s="3">
        <f t="shared" si="356"/>
        <v>58.500613765239478</v>
      </c>
      <c r="J907" s="4">
        <f t="shared" si="343"/>
        <v>1562424.6612984643</v>
      </c>
      <c r="K907" s="1">
        <f t="shared" si="344"/>
        <v>2095.84</v>
      </c>
      <c r="L907" s="5">
        <f t="shared" si="345"/>
        <v>8.2191780821918095E-2</v>
      </c>
      <c r="M907" s="5">
        <f t="shared" si="346"/>
        <v>-0.52031785161788613</v>
      </c>
      <c r="N907" s="5">
        <f t="shared" si="347"/>
        <v>33.815853858224465</v>
      </c>
      <c r="O907" s="1">
        <f t="shared" si="348"/>
        <v>0</v>
      </c>
      <c r="P907" s="1">
        <f t="shared" si="349"/>
        <v>2095.84</v>
      </c>
      <c r="Q907" s="5">
        <f t="shared" si="350"/>
        <v>8.2191780821918095E-2</v>
      </c>
      <c r="R907" s="5">
        <f t="shared" si="351"/>
        <v>-0.52031785161788613</v>
      </c>
      <c r="S907" s="5">
        <f t="shared" si="357"/>
        <v>33.815853858224465</v>
      </c>
      <c r="T907" s="5">
        <f t="shared" si="358"/>
        <v>-723.64639599873306</v>
      </c>
      <c r="U907" s="4">
        <f t="shared" si="359"/>
        <v>1562500.2997745331</v>
      </c>
      <c r="V907" s="4">
        <f t="shared" si="352"/>
        <v>25.214045933347943</v>
      </c>
      <c r="W907" s="4">
        <f t="shared" si="360"/>
        <v>1538029.5790024092</v>
      </c>
      <c r="X907" s="4">
        <f t="shared" si="364"/>
        <v>-1584.8912345825229</v>
      </c>
      <c r="Y907" s="9">
        <f>SUM($X$6:X907)</f>
        <v>538029.57900240924</v>
      </c>
      <c r="Z907" s="16">
        <f t="shared" si="342"/>
        <v>0.53802957900240922</v>
      </c>
      <c r="AA907" s="16">
        <f t="shared" si="361"/>
        <v>0.63917122139915139</v>
      </c>
      <c r="AB907" s="16">
        <f t="shared" si="362"/>
        <v>-1.02940785840923E-3</v>
      </c>
      <c r="AC907" s="16">
        <f t="shared" si="363"/>
        <v>-2.2497187851517608E-3</v>
      </c>
    </row>
    <row r="908" spans="1:29" x14ac:dyDescent="0.15">
      <c r="A908" s="8">
        <v>42221</v>
      </c>
      <c r="B908" s="4">
        <v>2099.84</v>
      </c>
      <c r="C908" s="1">
        <v>12.856299999999999</v>
      </c>
      <c r="D908" s="1">
        <v>2.0699999999999998</v>
      </c>
      <c r="E908" s="1">
        <v>0.31769999999999998</v>
      </c>
      <c r="F908" s="4">
        <f t="shared" si="353"/>
        <v>0.12856299999999998</v>
      </c>
      <c r="G908" s="4">
        <f t="shared" si="354"/>
        <v>2.07E-2</v>
      </c>
      <c r="H908" s="4">
        <f t="shared" si="355"/>
        <v>3.1769999999999997E-3</v>
      </c>
      <c r="I908" s="3">
        <f t="shared" si="356"/>
        <v>58.304117652460135</v>
      </c>
      <c r="J908" s="4">
        <f t="shared" si="343"/>
        <v>1562500.2997745331</v>
      </c>
      <c r="K908" s="1">
        <f t="shared" si="344"/>
        <v>2095.84</v>
      </c>
      <c r="L908" s="5">
        <f t="shared" si="345"/>
        <v>7.9452054794520832E-2</v>
      </c>
      <c r="M908" s="5">
        <f t="shared" si="346"/>
        <v>-0.48630937986108758</v>
      </c>
      <c r="N908" s="5">
        <f t="shared" si="347"/>
        <v>29.761990572940775</v>
      </c>
      <c r="O908" s="1">
        <f t="shared" si="348"/>
        <v>0</v>
      </c>
      <c r="P908" s="1">
        <f t="shared" si="349"/>
        <v>2095.84</v>
      </c>
      <c r="Q908" s="5">
        <f t="shared" si="350"/>
        <v>7.9452054794520832E-2</v>
      </c>
      <c r="R908" s="5">
        <f t="shared" si="351"/>
        <v>-0.48630937986108758</v>
      </c>
      <c r="S908" s="5">
        <f t="shared" si="357"/>
        <v>29.761990572940775</v>
      </c>
      <c r="T908" s="5">
        <f t="shared" si="358"/>
        <v>-723.64639599873306</v>
      </c>
      <c r="U908" s="4">
        <f t="shared" si="359"/>
        <v>1562525.5138204666</v>
      </c>
      <c r="V908" s="4">
        <f t="shared" si="352"/>
        <v>25.214452812061776</v>
      </c>
      <c r="W908" s="4">
        <f t="shared" si="360"/>
        <v>1540988.3566046096</v>
      </c>
      <c r="X908" s="4">
        <f t="shared" si="364"/>
        <v>2958.7776022003964</v>
      </c>
      <c r="Y908" s="9">
        <f>SUM($X$6:X908)</f>
        <v>540988.35660460964</v>
      </c>
      <c r="Z908" s="16">
        <f t="shared" si="342"/>
        <v>0.54098835660460964</v>
      </c>
      <c r="AA908" s="16">
        <f t="shared" si="361"/>
        <v>0.64427669804081267</v>
      </c>
      <c r="AB908" s="16">
        <f t="shared" si="362"/>
        <v>1.9237455784949903E-3</v>
      </c>
      <c r="AC908" s="16">
        <f t="shared" si="363"/>
        <v>3.1146695201880177E-3</v>
      </c>
    </row>
    <row r="909" spans="1:29" x14ac:dyDescent="0.15">
      <c r="A909" s="8">
        <v>42222</v>
      </c>
      <c r="B909" s="4">
        <v>2083.56</v>
      </c>
      <c r="C909" s="1">
        <v>13.487</v>
      </c>
      <c r="D909" s="1">
        <v>2.09</v>
      </c>
      <c r="E909" s="1">
        <v>0.31830000000000003</v>
      </c>
      <c r="F909" s="4">
        <f t="shared" si="353"/>
        <v>0.13486999999999999</v>
      </c>
      <c r="G909" s="4">
        <f t="shared" si="354"/>
        <v>2.0899999999999998E-2</v>
      </c>
      <c r="H909" s="4">
        <f t="shared" si="355"/>
        <v>3.1830000000000001E-3</v>
      </c>
      <c r="I909" s="3">
        <f t="shared" si="356"/>
        <v>60.506103385464826</v>
      </c>
      <c r="J909" s="4">
        <f t="shared" si="343"/>
        <v>1562525.5138204666</v>
      </c>
      <c r="K909" s="1">
        <f t="shared" si="344"/>
        <v>2095.84</v>
      </c>
      <c r="L909" s="5">
        <f t="shared" si="345"/>
        <v>7.6712328767123569E-2</v>
      </c>
      <c r="M909" s="5">
        <f t="shared" si="346"/>
        <v>-0.56855591222153046</v>
      </c>
      <c r="N909" s="5">
        <f t="shared" si="347"/>
        <v>39.246010029996008</v>
      </c>
      <c r="O909" s="1">
        <f t="shared" si="348"/>
        <v>0</v>
      </c>
      <c r="P909" s="1">
        <f t="shared" si="349"/>
        <v>2095.84</v>
      </c>
      <c r="Q909" s="5">
        <f t="shared" si="350"/>
        <v>7.6712328767123569E-2</v>
      </c>
      <c r="R909" s="5">
        <f t="shared" si="351"/>
        <v>-0.56855591222153046</v>
      </c>
      <c r="S909" s="5">
        <f t="shared" si="357"/>
        <v>39.246010029996008</v>
      </c>
      <c r="T909" s="5">
        <f t="shared" si="358"/>
        <v>-723.64639599873306</v>
      </c>
      <c r="U909" s="4">
        <f t="shared" si="359"/>
        <v>1562550.7282732786</v>
      </c>
      <c r="V909" s="4">
        <f t="shared" si="352"/>
        <v>25.214859697341396</v>
      </c>
      <c r="W909" s="4">
        <f t="shared" si="360"/>
        <v>1534150.4945577418</v>
      </c>
      <c r="X909" s="4">
        <f t="shared" si="364"/>
        <v>-6837.8620468678419</v>
      </c>
      <c r="Y909" s="9">
        <f>SUM($X$6:X909)</f>
        <v>534150.4945577418</v>
      </c>
      <c r="Z909" s="16">
        <f t="shared" si="342"/>
        <v>0.53415049455774177</v>
      </c>
      <c r="AA909" s="16">
        <f t="shared" si="361"/>
        <v>0.63152866740795266</v>
      </c>
      <c r="AB909" s="16">
        <f t="shared" si="362"/>
        <v>-4.4373223311915755E-3</v>
      </c>
      <c r="AC909" s="16">
        <f t="shared" si="363"/>
        <v>-7.7529716549833315E-3</v>
      </c>
    </row>
    <row r="910" spans="1:29" x14ac:dyDescent="0.15">
      <c r="A910" s="8">
        <v>42223</v>
      </c>
      <c r="B910" s="4">
        <v>2077.5700000000002</v>
      </c>
      <c r="C910" s="1">
        <v>13.531000000000001</v>
      </c>
      <c r="D910" s="1">
        <v>2.09</v>
      </c>
      <c r="E910" s="1">
        <v>0.31840000000000002</v>
      </c>
      <c r="F910" s="4">
        <f t="shared" si="353"/>
        <v>0.13531000000000001</v>
      </c>
      <c r="G910" s="4">
        <f t="shared" si="354"/>
        <v>2.0899999999999998E-2</v>
      </c>
      <c r="H910" s="4">
        <f t="shared" si="355"/>
        <v>3.1840000000000002E-3</v>
      </c>
      <c r="I910" s="3">
        <f t="shared" si="356"/>
        <v>60.512931008347536</v>
      </c>
      <c r="J910" s="4">
        <f t="shared" si="343"/>
        <v>1562550.7282732786</v>
      </c>
      <c r="K910" s="1">
        <f t="shared" si="344"/>
        <v>2095.84</v>
      </c>
      <c r="L910" s="5">
        <f t="shared" si="345"/>
        <v>7.3972602739726306E-2</v>
      </c>
      <c r="M910" s="5">
        <f t="shared" si="346"/>
        <v>-0.59975699356886958</v>
      </c>
      <c r="N910" s="5">
        <f t="shared" si="347"/>
        <v>42.23806584216986</v>
      </c>
      <c r="O910" s="1">
        <f t="shared" si="348"/>
        <v>0</v>
      </c>
      <c r="P910" s="1">
        <f t="shared" si="349"/>
        <v>2095.84</v>
      </c>
      <c r="Q910" s="5">
        <f t="shared" si="350"/>
        <v>7.3972602739726306E-2</v>
      </c>
      <c r="R910" s="5">
        <f t="shared" si="351"/>
        <v>-0.59975699356886958</v>
      </c>
      <c r="S910" s="5">
        <f t="shared" si="357"/>
        <v>42.23806584216986</v>
      </c>
      <c r="T910" s="5">
        <f t="shared" si="358"/>
        <v>-723.64639599873306</v>
      </c>
      <c r="U910" s="4">
        <f t="shared" si="359"/>
        <v>1562575.9431329758</v>
      </c>
      <c r="V910" s="4">
        <f t="shared" si="352"/>
        <v>25.215266589186925</v>
      </c>
      <c r="W910" s="4">
        <f t="shared" si="360"/>
        <v>1532010.5190123324</v>
      </c>
      <c r="X910" s="4">
        <f t="shared" si="364"/>
        <v>-2139.9755454093684</v>
      </c>
      <c r="Y910" s="9">
        <f>SUM($X$6:X910)</f>
        <v>532010.51901233243</v>
      </c>
      <c r="Z910" s="16">
        <f t="shared" si="342"/>
        <v>0.53201051901233243</v>
      </c>
      <c r="AA910" s="16">
        <f t="shared" si="361"/>
        <v>0.62683820650556765</v>
      </c>
      <c r="AB910" s="16">
        <f t="shared" si="362"/>
        <v>-1.3948928433036624E-3</v>
      </c>
      <c r="AC910" s="16">
        <f t="shared" si="363"/>
        <v>-2.8748872122712002E-3</v>
      </c>
    </row>
    <row r="911" spans="1:29" x14ac:dyDescent="0.15">
      <c r="A911" s="8">
        <v>42226</v>
      </c>
      <c r="B911" s="4">
        <v>2104.1799999999998</v>
      </c>
      <c r="C911" s="1">
        <v>12.737299999999999</v>
      </c>
      <c r="D911" s="1">
        <v>2.06</v>
      </c>
      <c r="E911" s="1">
        <v>0.32119999999999999</v>
      </c>
      <c r="F911" s="4">
        <f t="shared" si="353"/>
        <v>0.12737299999999999</v>
      </c>
      <c r="G911" s="4">
        <f t="shared" si="354"/>
        <v>2.06E-2</v>
      </c>
      <c r="H911" s="4">
        <f t="shared" si="355"/>
        <v>3.212E-3</v>
      </c>
      <c r="I911" s="3">
        <f t="shared" si="356"/>
        <v>57.89196913727595</v>
      </c>
      <c r="J911" s="4">
        <f t="shared" si="343"/>
        <v>1562575.9431329758</v>
      </c>
      <c r="K911" s="1">
        <f t="shared" si="344"/>
        <v>2095.84</v>
      </c>
      <c r="L911" s="5">
        <f t="shared" si="345"/>
        <v>6.5753424657534532E-2</v>
      </c>
      <c r="M911" s="5">
        <f t="shared" si="346"/>
        <v>-0.45839242929562474</v>
      </c>
      <c r="N911" s="5">
        <f t="shared" si="347"/>
        <v>24.475849881135364</v>
      </c>
      <c r="O911" s="1">
        <f t="shared" si="348"/>
        <v>0</v>
      </c>
      <c r="P911" s="1">
        <f t="shared" si="349"/>
        <v>2095.84</v>
      </c>
      <c r="Q911" s="5">
        <f t="shared" si="350"/>
        <v>6.5753424657534532E-2</v>
      </c>
      <c r="R911" s="5">
        <f t="shared" si="351"/>
        <v>-0.45839242929562474</v>
      </c>
      <c r="S911" s="5">
        <f t="shared" si="357"/>
        <v>24.475849881135364</v>
      </c>
      <c r="T911" s="5">
        <f t="shared" si="358"/>
        <v>-723.64639599873306</v>
      </c>
      <c r="U911" s="4">
        <f t="shared" si="359"/>
        <v>1562601.1583995649</v>
      </c>
      <c r="V911" s="4">
        <f t="shared" si="352"/>
        <v>75.647020462795368</v>
      </c>
      <c r="W911" s="4">
        <f t="shared" si="360"/>
        <v>1544889.2978440754</v>
      </c>
      <c r="X911" s="4">
        <f t="shared" si="364"/>
        <v>12878.778831742937</v>
      </c>
      <c r="Y911" s="9">
        <f>SUM($X$6:X911)</f>
        <v>544889.29784407536</v>
      </c>
      <c r="Z911" s="16">
        <f t="shared" si="342"/>
        <v>0.54488929784407536</v>
      </c>
      <c r="AA911" s="16">
        <f t="shared" si="361"/>
        <v>0.64767512881148881</v>
      </c>
      <c r="AB911" s="16">
        <f t="shared" si="362"/>
        <v>8.4064558773693804E-3</v>
      </c>
      <c r="AC911" s="16">
        <f t="shared" si="363"/>
        <v>1.2808232694927087E-2</v>
      </c>
    </row>
    <row r="912" spans="1:29" x14ac:dyDescent="0.15">
      <c r="A912" s="8">
        <v>42227</v>
      </c>
      <c r="B912" s="4">
        <v>2084.0700000000002</v>
      </c>
      <c r="C912" s="1">
        <v>13.7631</v>
      </c>
      <c r="D912" s="1">
        <v>2.08</v>
      </c>
      <c r="E912" s="1">
        <v>0.32129999999999997</v>
      </c>
      <c r="F912" s="4">
        <f t="shared" si="353"/>
        <v>0.137631</v>
      </c>
      <c r="G912" s="4">
        <f t="shared" si="354"/>
        <v>2.0799999999999999E-2</v>
      </c>
      <c r="H912" s="4">
        <f t="shared" si="355"/>
        <v>3.2129999999999997E-3</v>
      </c>
      <c r="I912" s="3">
        <f t="shared" si="356"/>
        <v>61.625763913346425</v>
      </c>
      <c r="J912" s="4">
        <f t="shared" si="343"/>
        <v>1562601.1583995649</v>
      </c>
      <c r="K912" s="1">
        <f t="shared" si="344"/>
        <v>2095.84</v>
      </c>
      <c r="L912" s="5">
        <f t="shared" si="345"/>
        <v>6.3013698630137269E-2</v>
      </c>
      <c r="M912" s="5">
        <f t="shared" si="346"/>
        <v>-0.56981647100169741</v>
      </c>
      <c r="N912" s="5">
        <f t="shared" si="347"/>
        <v>36.366343608584586</v>
      </c>
      <c r="O912" s="1">
        <f t="shared" si="348"/>
        <v>0</v>
      </c>
      <c r="P912" s="1">
        <f t="shared" si="349"/>
        <v>2095.84</v>
      </c>
      <c r="Q912" s="5">
        <f t="shared" si="350"/>
        <v>6.3013698630137269E-2</v>
      </c>
      <c r="R912" s="5">
        <f t="shared" si="351"/>
        <v>-0.56981647100169741</v>
      </c>
      <c r="S912" s="5">
        <f t="shared" si="357"/>
        <v>36.366343608584586</v>
      </c>
      <c r="T912" s="5">
        <f t="shared" si="358"/>
        <v>-723.64639599873306</v>
      </c>
      <c r="U912" s="4">
        <f t="shared" si="359"/>
        <v>1562676.8054200278</v>
      </c>
      <c r="V912" s="4">
        <f t="shared" si="352"/>
        <v>25.216894202531403</v>
      </c>
      <c r="W912" s="4">
        <f t="shared" si="360"/>
        <v>1536360.431932024</v>
      </c>
      <c r="X912" s="4">
        <f t="shared" si="364"/>
        <v>-8528.8659120514058</v>
      </c>
      <c r="Y912" s="9">
        <f>SUM($X$6:X912)</f>
        <v>536360.43193202396</v>
      </c>
      <c r="Z912" s="16">
        <f t="shared" si="342"/>
        <v>0.53636043193202398</v>
      </c>
      <c r="AA912" s="16">
        <f t="shared" si="361"/>
        <v>0.63192802217593558</v>
      </c>
      <c r="AB912" s="16">
        <f t="shared" si="362"/>
        <v>-5.520697129531296E-3</v>
      </c>
      <c r="AC912" s="16">
        <f t="shared" si="363"/>
        <v>-9.557167162504954E-3</v>
      </c>
    </row>
    <row r="913" spans="1:29" x14ac:dyDescent="0.15">
      <c r="A913" s="8">
        <v>42228</v>
      </c>
      <c r="B913" s="4">
        <v>2086.0500000000002</v>
      </c>
      <c r="C913" s="1">
        <v>13.719200000000001</v>
      </c>
      <c r="D913" s="1">
        <v>2.08</v>
      </c>
      <c r="E913" s="1">
        <v>0.316</v>
      </c>
      <c r="F913" s="4">
        <f t="shared" si="353"/>
        <v>0.13719200000000001</v>
      </c>
      <c r="G913" s="4">
        <f t="shared" si="354"/>
        <v>2.0799999999999999E-2</v>
      </c>
      <c r="H913" s="4">
        <f t="shared" si="355"/>
        <v>3.16E-3</v>
      </c>
      <c r="I913" s="3">
        <f t="shared" si="356"/>
        <v>61.517765152006895</v>
      </c>
      <c r="J913" s="4">
        <f t="shared" si="343"/>
        <v>1562676.8054200278</v>
      </c>
      <c r="K913" s="1">
        <f t="shared" si="344"/>
        <v>2095.84</v>
      </c>
      <c r="L913" s="5">
        <f t="shared" si="345"/>
        <v>6.0273972602740006E-2</v>
      </c>
      <c r="M913" s="5">
        <f t="shared" si="346"/>
        <v>-0.56038829942267687</v>
      </c>
      <c r="N913" s="5">
        <f t="shared" si="347"/>
        <v>34.484209282127097</v>
      </c>
      <c r="O913" s="1">
        <f t="shared" si="348"/>
        <v>0</v>
      </c>
      <c r="P913" s="1">
        <f t="shared" si="349"/>
        <v>2095.84</v>
      </c>
      <c r="Q913" s="5">
        <f t="shared" si="350"/>
        <v>6.0273972602740006E-2</v>
      </c>
      <c r="R913" s="5">
        <f t="shared" si="351"/>
        <v>-0.56038829942267687</v>
      </c>
      <c r="S913" s="5">
        <f t="shared" si="357"/>
        <v>34.484209282127097</v>
      </c>
      <c r="T913" s="5">
        <f t="shared" si="358"/>
        <v>-723.64639599873306</v>
      </c>
      <c r="U913" s="4">
        <f t="shared" si="359"/>
        <v>1562702.0223142304</v>
      </c>
      <c r="V913" s="4">
        <f t="shared" si="352"/>
        <v>25.217301127207715</v>
      </c>
      <c r="W913" s="4">
        <f t="shared" si="360"/>
        <v>1537747.648548353</v>
      </c>
      <c r="X913" s="4">
        <f t="shared" si="364"/>
        <v>1387.2166163290385</v>
      </c>
      <c r="Y913" s="9">
        <f>SUM($X$6:X913)</f>
        <v>537747.648548353</v>
      </c>
      <c r="Z913" s="16">
        <f t="shared" si="342"/>
        <v>0.537747648548353</v>
      </c>
      <c r="AA913" s="16">
        <f t="shared" si="361"/>
        <v>0.63347845833398608</v>
      </c>
      <c r="AB913" s="16">
        <f t="shared" si="362"/>
        <v>9.0292394121642915E-4</v>
      </c>
      <c r="AC913" s="16">
        <f t="shared" si="363"/>
        <v>9.5006405734932996E-4</v>
      </c>
    </row>
    <row r="914" spans="1:29" x14ac:dyDescent="0.15">
      <c r="A914" s="8">
        <v>42229</v>
      </c>
      <c r="B914" s="4">
        <v>2083.39</v>
      </c>
      <c r="C914" s="1">
        <v>13.6243</v>
      </c>
      <c r="D914" s="1">
        <v>2.08</v>
      </c>
      <c r="E914" s="1">
        <v>0.3276</v>
      </c>
      <c r="F914" s="4">
        <f t="shared" si="353"/>
        <v>0.136243</v>
      </c>
      <c r="G914" s="4">
        <f t="shared" si="354"/>
        <v>2.0799999999999999E-2</v>
      </c>
      <c r="H914" s="4">
        <f t="shared" si="355"/>
        <v>3.2759999999999998E-3</v>
      </c>
      <c r="I914" s="3">
        <f t="shared" si="356"/>
        <v>61.015234190076008</v>
      </c>
      <c r="J914" s="4">
        <f t="shared" si="343"/>
        <v>1562702.0223142304</v>
      </c>
      <c r="K914" s="1">
        <f t="shared" si="344"/>
        <v>2095.84</v>
      </c>
      <c r="L914" s="5">
        <f t="shared" si="345"/>
        <v>5.7534246575342743E-2</v>
      </c>
      <c r="M914" s="5">
        <f t="shared" si="346"/>
        <v>-0.57732801531592515</v>
      </c>
      <c r="N914" s="5">
        <f t="shared" si="347"/>
        <v>35.112393100730174</v>
      </c>
      <c r="O914" s="1">
        <f t="shared" si="348"/>
        <v>0</v>
      </c>
      <c r="P914" s="1">
        <f t="shared" si="349"/>
        <v>2095.84</v>
      </c>
      <c r="Q914" s="5">
        <f t="shared" si="350"/>
        <v>5.7534246575342743E-2</v>
      </c>
      <c r="R914" s="5">
        <f t="shared" si="351"/>
        <v>-0.57732801531592515</v>
      </c>
      <c r="S914" s="5">
        <f t="shared" si="357"/>
        <v>35.112393100730174</v>
      </c>
      <c r="T914" s="5">
        <f t="shared" si="358"/>
        <v>-723.64639599873306</v>
      </c>
      <c r="U914" s="4">
        <f t="shared" si="359"/>
        <v>1562727.2396153577</v>
      </c>
      <c r="V914" s="4">
        <f t="shared" si="352"/>
        <v>25.217708058450562</v>
      </c>
      <c r="W914" s="4">
        <f t="shared" si="360"/>
        <v>1537318.2828931236</v>
      </c>
      <c r="X914" s="4">
        <f t="shared" si="364"/>
        <v>-429.36565522942692</v>
      </c>
      <c r="Y914" s="9">
        <f>SUM($X$6:X914)</f>
        <v>537318.28289312357</v>
      </c>
      <c r="Z914" s="16">
        <f t="shared" ref="Z914:Z977" si="365">Y914/$H$3</f>
        <v>0.53731828289312356</v>
      </c>
      <c r="AA914" s="16">
        <f t="shared" si="361"/>
        <v>0.63139554915195839</v>
      </c>
      <c r="AB914" s="16">
        <f t="shared" si="362"/>
        <v>-2.7921724064072009E-4</v>
      </c>
      <c r="AC914" s="16">
        <f t="shared" si="363"/>
        <v>-1.2751372210638809E-3</v>
      </c>
    </row>
    <row r="915" spans="1:29" x14ac:dyDescent="0.15">
      <c r="A915" s="8">
        <v>42230</v>
      </c>
      <c r="B915" s="4">
        <v>2091.54</v>
      </c>
      <c r="C915" s="1">
        <v>13.3903</v>
      </c>
      <c r="D915" s="1">
        <v>2.08</v>
      </c>
      <c r="E915" s="1">
        <v>0.33169999999999999</v>
      </c>
      <c r="F915" s="4">
        <f t="shared" si="353"/>
        <v>0.13390299999999999</v>
      </c>
      <c r="G915" s="4">
        <f t="shared" si="354"/>
        <v>2.0799999999999999E-2</v>
      </c>
      <c r="H915" s="4">
        <f t="shared" si="355"/>
        <v>3.3170000000000001E-3</v>
      </c>
      <c r="I915" s="3">
        <f t="shared" si="356"/>
        <v>60.272994800324973</v>
      </c>
      <c r="J915" s="4">
        <f t="shared" si="343"/>
        <v>1562727.2396153577</v>
      </c>
      <c r="K915" s="1">
        <f t="shared" si="344"/>
        <v>2095.84</v>
      </c>
      <c r="L915" s="5">
        <f t="shared" si="345"/>
        <v>5.479452054794548E-2</v>
      </c>
      <c r="M915" s="5">
        <f t="shared" si="346"/>
        <v>-0.53144006399535548</v>
      </c>
      <c r="N915" s="5">
        <f t="shared" si="347"/>
        <v>29.433792805368753</v>
      </c>
      <c r="O915" s="1">
        <f t="shared" si="348"/>
        <v>0</v>
      </c>
      <c r="P915" s="1">
        <f t="shared" si="349"/>
        <v>2095.84</v>
      </c>
      <c r="Q915" s="5">
        <f t="shared" si="350"/>
        <v>5.479452054794548E-2</v>
      </c>
      <c r="R915" s="5">
        <f t="shared" si="351"/>
        <v>-0.53144006399535548</v>
      </c>
      <c r="S915" s="5">
        <f t="shared" si="357"/>
        <v>29.433792805368753</v>
      </c>
      <c r="T915" s="5">
        <f t="shared" si="358"/>
        <v>-723.64639599873306</v>
      </c>
      <c r="U915" s="4">
        <f t="shared" si="359"/>
        <v>1562752.4573234161</v>
      </c>
      <c r="V915" s="4">
        <f t="shared" si="352"/>
        <v>25.218114996260059</v>
      </c>
      <c r="W915" s="4">
        <f t="shared" si="360"/>
        <v>1541452.7992392376</v>
      </c>
      <c r="X915" s="4">
        <f t="shared" si="364"/>
        <v>4134.5163461139891</v>
      </c>
      <c r="Y915" s="9">
        <f>SUM($X$6:X915)</f>
        <v>541452.79923923756</v>
      </c>
      <c r="Z915" s="16">
        <f t="shared" si="365"/>
        <v>0.54145279923923761</v>
      </c>
      <c r="AA915" s="16">
        <f t="shared" si="361"/>
        <v>0.63777739495403507</v>
      </c>
      <c r="AB915" s="16">
        <f t="shared" si="362"/>
        <v>2.6894341868706094E-3</v>
      </c>
      <c r="AC915" s="16">
        <f t="shared" si="363"/>
        <v>3.9118935964942191E-3</v>
      </c>
    </row>
    <row r="916" spans="1:29" x14ac:dyDescent="0.15">
      <c r="A916" s="8">
        <v>42233</v>
      </c>
      <c r="B916" s="4">
        <v>2102.44</v>
      </c>
      <c r="C916" s="1">
        <v>12.913</v>
      </c>
      <c r="D916" s="1">
        <v>2.06</v>
      </c>
      <c r="E916" s="1">
        <v>0.3402</v>
      </c>
      <c r="F916" s="4">
        <f t="shared" si="353"/>
        <v>0.12912999999999999</v>
      </c>
      <c r="G916" s="4">
        <f t="shared" si="354"/>
        <v>2.06E-2</v>
      </c>
      <c r="H916" s="4">
        <f t="shared" si="355"/>
        <v>3.4020000000000001E-3</v>
      </c>
      <c r="I916" s="3">
        <f t="shared" si="356"/>
        <v>58.52201215918145</v>
      </c>
      <c r="J916" s="4">
        <f t="shared" si="343"/>
        <v>1562752.4573234161</v>
      </c>
      <c r="K916" s="1">
        <f t="shared" si="344"/>
        <v>2095.84</v>
      </c>
      <c r="L916" s="5">
        <f t="shared" si="345"/>
        <v>4.6575342465753698E-2</v>
      </c>
      <c r="M916" s="5">
        <f t="shared" si="346"/>
        <v>-0.46051844598410868</v>
      </c>
      <c r="N916" s="5">
        <f t="shared" si="347"/>
        <v>20.948288324367965</v>
      </c>
      <c r="O916" s="1">
        <f t="shared" si="348"/>
        <v>0</v>
      </c>
      <c r="P916" s="1">
        <f t="shared" si="349"/>
        <v>2095.84</v>
      </c>
      <c r="Q916" s="5">
        <f t="shared" si="350"/>
        <v>4.6575342465753698E-2</v>
      </c>
      <c r="R916" s="5">
        <f t="shared" si="351"/>
        <v>-0.46051844598410868</v>
      </c>
      <c r="S916" s="5">
        <f t="shared" si="357"/>
        <v>20.948288324367965</v>
      </c>
      <c r="T916" s="5">
        <f t="shared" si="358"/>
        <v>-723.64639599873306</v>
      </c>
      <c r="U916" s="4">
        <f t="shared" si="359"/>
        <v>1562777.6754384125</v>
      </c>
      <c r="V916" s="4">
        <f t="shared" si="352"/>
        <v>75.655565821908894</v>
      </c>
      <c r="W916" s="4">
        <f t="shared" si="360"/>
        <v>1547618.5220901412</v>
      </c>
      <c r="X916" s="4">
        <f t="shared" si="364"/>
        <v>6165.7228509036358</v>
      </c>
      <c r="Y916" s="9">
        <f>SUM($X$6:X916)</f>
        <v>547618.5220901412</v>
      </c>
      <c r="Z916" s="16">
        <f t="shared" si="365"/>
        <v>0.54761852209014117</v>
      </c>
      <c r="AA916" s="16">
        <f t="shared" si="361"/>
        <v>0.64631262430895975</v>
      </c>
      <c r="AB916" s="16">
        <f t="shared" si="362"/>
        <v>3.9999426865010993E-3</v>
      </c>
      <c r="AC916" s="16">
        <f t="shared" si="363"/>
        <v>5.2114709735410708E-3</v>
      </c>
    </row>
    <row r="917" spans="1:29" x14ac:dyDescent="0.15">
      <c r="A917" s="8">
        <v>42234</v>
      </c>
      <c r="B917" s="4">
        <v>2096.92</v>
      </c>
      <c r="C917" s="1">
        <v>13.273199999999999</v>
      </c>
      <c r="D917" s="1">
        <v>2.0699999999999998</v>
      </c>
      <c r="E917" s="1">
        <v>0.3402</v>
      </c>
      <c r="F917" s="4">
        <f t="shared" si="353"/>
        <v>0.13273199999999999</v>
      </c>
      <c r="G917" s="4">
        <f t="shared" si="354"/>
        <v>2.07E-2</v>
      </c>
      <c r="H917" s="4">
        <f t="shared" si="355"/>
        <v>3.4020000000000001E-3</v>
      </c>
      <c r="I917" s="3">
        <f t="shared" si="356"/>
        <v>59.891068914351813</v>
      </c>
      <c r="J917" s="4">
        <f t="shared" si="343"/>
        <v>1562777.6754384125</v>
      </c>
      <c r="K917" s="1">
        <f t="shared" si="344"/>
        <v>2095.84</v>
      </c>
      <c r="L917" s="5">
        <f t="shared" si="345"/>
        <v>4.3835616438356435E-2</v>
      </c>
      <c r="M917" s="5">
        <f t="shared" si="346"/>
        <v>-0.49749483395563271</v>
      </c>
      <c r="N917" s="5">
        <f t="shared" si="347"/>
        <v>23.484314779301094</v>
      </c>
      <c r="O917" s="1">
        <f t="shared" si="348"/>
        <v>0</v>
      </c>
      <c r="P917" s="1">
        <f t="shared" si="349"/>
        <v>2095.84</v>
      </c>
      <c r="Q917" s="5">
        <f t="shared" si="350"/>
        <v>4.3835616438356435E-2</v>
      </c>
      <c r="R917" s="5">
        <f t="shared" si="351"/>
        <v>-0.49749483395563271</v>
      </c>
      <c r="S917" s="5">
        <f t="shared" si="357"/>
        <v>23.484314779301094</v>
      </c>
      <c r="T917" s="5">
        <f t="shared" si="358"/>
        <v>-723.64639599873306</v>
      </c>
      <c r="U917" s="4">
        <f t="shared" si="359"/>
        <v>1562853.3310042343</v>
      </c>
      <c r="V917" s="4">
        <f t="shared" si="352"/>
        <v>25.219742793465585</v>
      </c>
      <c r="W917" s="4">
        <f t="shared" si="360"/>
        <v>1545858.9912516933</v>
      </c>
      <c r="X917" s="4">
        <f t="shared" si="364"/>
        <v>-1759.5308384478558</v>
      </c>
      <c r="Y917" s="9">
        <f>SUM($X$6:X917)</f>
        <v>545858.99125169334</v>
      </c>
      <c r="Z917" s="16">
        <f t="shared" si="365"/>
        <v>0.54585899125169335</v>
      </c>
      <c r="AA917" s="16">
        <f t="shared" si="361"/>
        <v>0.6419901962319704</v>
      </c>
      <c r="AB917" s="16">
        <f t="shared" si="362"/>
        <v>-1.1369280047588961E-3</v>
      </c>
      <c r="AC917" s="16">
        <f t="shared" si="363"/>
        <v>-2.6255208234242031E-3</v>
      </c>
    </row>
    <row r="918" spans="1:29" x14ac:dyDescent="0.15">
      <c r="A918" s="8">
        <v>42235</v>
      </c>
      <c r="B918" s="4">
        <v>2079.61</v>
      </c>
      <c r="C918" s="1">
        <v>13.9739</v>
      </c>
      <c r="D918" s="1">
        <v>2.09</v>
      </c>
      <c r="E918" s="1">
        <v>0.34060000000000001</v>
      </c>
      <c r="F918" s="4">
        <f t="shared" si="353"/>
        <v>0.139739</v>
      </c>
      <c r="G918" s="4">
        <f t="shared" si="354"/>
        <v>2.0899999999999998E-2</v>
      </c>
      <c r="H918" s="4">
        <f t="shared" si="355"/>
        <v>3.4060000000000002E-3</v>
      </c>
      <c r="I918" s="3">
        <f t="shared" si="356"/>
        <v>62.334738120746472</v>
      </c>
      <c r="J918" s="4">
        <f t="shared" si="343"/>
        <v>1562853.3310042343</v>
      </c>
      <c r="K918" s="1">
        <f t="shared" si="344"/>
        <v>2095.84</v>
      </c>
      <c r="L918" s="5">
        <f t="shared" si="345"/>
        <v>4.1095890410959172E-2</v>
      </c>
      <c r="M918" s="5">
        <f t="shared" si="346"/>
        <v>-0.61189885636051844</v>
      </c>
      <c r="N918" s="5">
        <f t="shared" si="347"/>
        <v>33.494289167509606</v>
      </c>
      <c r="O918" s="1">
        <f t="shared" si="348"/>
        <v>0</v>
      </c>
      <c r="P918" s="1">
        <f t="shared" si="349"/>
        <v>2095.84</v>
      </c>
      <c r="Q918" s="5">
        <f t="shared" si="350"/>
        <v>4.1095890410959172E-2</v>
      </c>
      <c r="R918" s="5">
        <f t="shared" si="351"/>
        <v>-0.61189885636051844</v>
      </c>
      <c r="S918" s="5">
        <f t="shared" si="357"/>
        <v>33.494289167509606</v>
      </c>
      <c r="T918" s="5">
        <f t="shared" si="358"/>
        <v>-723.64639599873306</v>
      </c>
      <c r="U918" s="4">
        <f t="shared" si="359"/>
        <v>1562878.5507470276</v>
      </c>
      <c r="V918" s="4">
        <f t="shared" si="352"/>
        <v>25.220149764109568</v>
      </c>
      <c r="W918" s="4">
        <f t="shared" si="360"/>
        <v>1538640.52910442</v>
      </c>
      <c r="X918" s="4">
        <f t="shared" si="364"/>
        <v>-7218.4621472733561</v>
      </c>
      <c r="Y918" s="9">
        <f>SUM($X$6:X918)</f>
        <v>538640.52910441998</v>
      </c>
      <c r="Z918" s="16">
        <f t="shared" si="365"/>
        <v>0.53864052910441995</v>
      </c>
      <c r="AA918" s="16">
        <f t="shared" si="361"/>
        <v>0.62843562557749844</v>
      </c>
      <c r="AB918" s="16">
        <f t="shared" si="362"/>
        <v>-4.6695476030634035E-3</v>
      </c>
      <c r="AC918" s="16">
        <f t="shared" si="363"/>
        <v>-8.254964424012334E-3</v>
      </c>
    </row>
    <row r="919" spans="1:29" x14ac:dyDescent="0.15">
      <c r="A919" s="8">
        <v>42236</v>
      </c>
      <c r="B919" s="4">
        <v>2035.73</v>
      </c>
      <c r="C919" s="1">
        <v>15.9613</v>
      </c>
      <c r="D919" s="1">
        <v>2.13</v>
      </c>
      <c r="E919" s="1">
        <v>0.33639999999999998</v>
      </c>
      <c r="F919" s="4">
        <f t="shared" si="353"/>
        <v>0.159613</v>
      </c>
      <c r="G919" s="4">
        <f t="shared" si="354"/>
        <v>2.1299999999999999E-2</v>
      </c>
      <c r="H919" s="4">
        <f t="shared" si="355"/>
        <v>3.3639999999999998E-3</v>
      </c>
      <c r="I919" s="3">
        <f t="shared" si="356"/>
        <v>69.148596053944232</v>
      </c>
      <c r="J919" s="4">
        <f t="shared" si="343"/>
        <v>1562878.5507470276</v>
      </c>
      <c r="K919" s="1">
        <f t="shared" si="344"/>
        <v>2095.84</v>
      </c>
      <c r="L919" s="5">
        <f t="shared" si="345"/>
        <v>3.835616438356191E-2</v>
      </c>
      <c r="M919" s="5">
        <f t="shared" si="346"/>
        <v>-0.82501972325738482</v>
      </c>
      <c r="N919" s="5">
        <f t="shared" si="347"/>
        <v>67.378395593209859</v>
      </c>
      <c r="O919" s="1">
        <f t="shared" si="348"/>
        <v>0</v>
      </c>
      <c r="P919" s="1">
        <f t="shared" si="349"/>
        <v>2095.84</v>
      </c>
      <c r="Q919" s="5">
        <f t="shared" si="350"/>
        <v>3.835616438356191E-2</v>
      </c>
      <c r="R919" s="5">
        <f t="shared" si="351"/>
        <v>-0.82501972325738482</v>
      </c>
      <c r="S919" s="5">
        <f t="shared" si="357"/>
        <v>67.378395593209859</v>
      </c>
      <c r="T919" s="5">
        <f t="shared" si="358"/>
        <v>-723.64639599873306</v>
      </c>
      <c r="U919" s="4">
        <f t="shared" si="359"/>
        <v>1562903.7708967917</v>
      </c>
      <c r="V919" s="4">
        <f t="shared" si="352"/>
        <v>25.220556741320831</v>
      </c>
      <c r="W919" s="4">
        <f t="shared" si="360"/>
        <v>1514145.6377575884</v>
      </c>
      <c r="X919" s="4">
        <f t="shared" si="364"/>
        <v>-24494.891346831573</v>
      </c>
      <c r="Y919" s="9">
        <f>SUM($X$6:X919)</f>
        <v>514145.63775758841</v>
      </c>
      <c r="Z919" s="16">
        <f t="shared" si="365"/>
        <v>0.51414563775758837</v>
      </c>
      <c r="AA919" s="16">
        <f t="shared" si="361"/>
        <v>0.59407545455969191</v>
      </c>
      <c r="AB919" s="16">
        <f t="shared" si="362"/>
        <v>-1.5919827200372171E-2</v>
      </c>
      <c r="AC919" s="16">
        <f t="shared" si="363"/>
        <v>-2.1100110116800797E-2</v>
      </c>
    </row>
    <row r="920" spans="1:29" x14ac:dyDescent="0.15">
      <c r="A920" s="8">
        <v>42237</v>
      </c>
      <c r="B920" s="4">
        <v>1970.89</v>
      </c>
      <c r="C920" s="1">
        <v>19.493200000000002</v>
      </c>
      <c r="D920" s="1">
        <v>2.2000000000000002</v>
      </c>
      <c r="E920" s="1">
        <v>0.33639999999999998</v>
      </c>
      <c r="F920" s="4">
        <f t="shared" si="353"/>
        <v>0.19493200000000002</v>
      </c>
      <c r="G920" s="4">
        <f t="shared" si="354"/>
        <v>2.2000000000000002E-2</v>
      </c>
      <c r="H920" s="4">
        <f t="shared" si="355"/>
        <v>3.3639999999999998E-3</v>
      </c>
      <c r="I920" s="3">
        <f t="shared" si="356"/>
        <v>80.90914455924792</v>
      </c>
      <c r="J920" s="4">
        <f t="shared" si="343"/>
        <v>1562903.7708967917</v>
      </c>
      <c r="K920" s="1">
        <f t="shared" si="344"/>
        <v>2095.84</v>
      </c>
      <c r="L920" s="5">
        <f t="shared" si="345"/>
        <v>3.5616438356164647E-2</v>
      </c>
      <c r="M920" s="5">
        <f t="shared" si="346"/>
        <v>-0.95184795374981757</v>
      </c>
      <c r="N920" s="5">
        <f t="shared" si="347"/>
        <v>127.64644522699399</v>
      </c>
      <c r="O920" s="1">
        <f t="shared" si="348"/>
        <v>0</v>
      </c>
      <c r="P920" s="1">
        <f t="shared" si="349"/>
        <v>2095.84</v>
      </c>
      <c r="Q920" s="5">
        <f t="shared" si="350"/>
        <v>3.5616438356164647E-2</v>
      </c>
      <c r="R920" s="5">
        <f t="shared" si="351"/>
        <v>-0.95184795374981757</v>
      </c>
      <c r="S920" s="5">
        <f t="shared" si="357"/>
        <v>127.64644522699399</v>
      </c>
      <c r="T920" s="5">
        <f t="shared" si="358"/>
        <v>-723.64639599873306</v>
      </c>
      <c r="U920" s="4">
        <f t="shared" si="359"/>
        <v>1562928.9914535331</v>
      </c>
      <c r="V920" s="4">
        <f t="shared" si="352"/>
        <v>25.220963725099477</v>
      </c>
      <c r="W920" s="4">
        <f t="shared" si="360"/>
        <v>1470558.1014029691</v>
      </c>
      <c r="X920" s="4">
        <f t="shared" si="364"/>
        <v>-43587.536354619311</v>
      </c>
      <c r="Y920" s="9">
        <f>SUM($X$6:X920)</f>
        <v>470558.1014029691</v>
      </c>
      <c r="Z920" s="16">
        <f t="shared" si="365"/>
        <v>0.47055810140296911</v>
      </c>
      <c r="AA920" s="16">
        <f t="shared" si="361"/>
        <v>0.54330258562636069</v>
      </c>
      <c r="AB920" s="16">
        <f t="shared" si="362"/>
        <v>-2.8786885004781545E-2</v>
      </c>
      <c r="AC920" s="16">
        <f t="shared" si="363"/>
        <v>-3.1850982202944356E-2</v>
      </c>
    </row>
    <row r="921" spans="1:29" x14ac:dyDescent="0.15">
      <c r="A921" s="8">
        <v>42240</v>
      </c>
      <c r="B921" s="4">
        <v>1893.21</v>
      </c>
      <c r="C921" s="1">
        <v>24.703800000000001</v>
      </c>
      <c r="D921" s="1">
        <v>2.29</v>
      </c>
      <c r="E921" s="1">
        <v>0.33889999999999998</v>
      </c>
      <c r="F921" s="4">
        <f t="shared" si="353"/>
        <v>0.24703800000000001</v>
      </c>
      <c r="G921" s="4">
        <f t="shared" si="354"/>
        <v>2.29E-2</v>
      </c>
      <c r="H921" s="4">
        <f t="shared" si="355"/>
        <v>3.3889999999999997E-3</v>
      </c>
      <c r="I921" s="3">
        <f t="shared" si="356"/>
        <v>97.462013826659344</v>
      </c>
      <c r="J921" s="4">
        <f t="shared" si="343"/>
        <v>1562928.9914535331</v>
      </c>
      <c r="K921" s="1">
        <f t="shared" si="344"/>
        <v>2095.84</v>
      </c>
      <c r="L921" s="5">
        <f t="shared" si="345"/>
        <v>2.7397260273972865E-2</v>
      </c>
      <c r="M921" s="5">
        <f t="shared" si="346"/>
        <v>-0.9927951488681801</v>
      </c>
      <c r="N921" s="5">
        <f t="shared" si="347"/>
        <v>203.78610770373277</v>
      </c>
      <c r="O921" s="1">
        <f t="shared" si="348"/>
        <v>0</v>
      </c>
      <c r="P921" s="1">
        <f t="shared" si="349"/>
        <v>2095.84</v>
      </c>
      <c r="Q921" s="5">
        <f t="shared" si="350"/>
        <v>2.7397260273972865E-2</v>
      </c>
      <c r="R921" s="5">
        <f t="shared" si="351"/>
        <v>-0.9927951488681801</v>
      </c>
      <c r="S921" s="5">
        <f t="shared" si="357"/>
        <v>203.78610770373277</v>
      </c>
      <c r="T921" s="5">
        <f t="shared" si="358"/>
        <v>-723.64639599873306</v>
      </c>
      <c r="U921" s="4">
        <f t="shared" si="359"/>
        <v>1562954.2124172582</v>
      </c>
      <c r="V921" s="4">
        <f t="shared" si="352"/>
        <v>75.664112146336848</v>
      </c>
      <c r="W921" s="4">
        <f t="shared" si="360"/>
        <v>1415485.1300228424</v>
      </c>
      <c r="X921" s="4">
        <f t="shared" si="364"/>
        <v>-55072.971380126663</v>
      </c>
      <c r="Y921" s="9">
        <f>SUM($X$6:X921)</f>
        <v>415485.13002284244</v>
      </c>
      <c r="Z921" s="16">
        <f t="shared" si="365"/>
        <v>0.41548513002284243</v>
      </c>
      <c r="AA921" s="16">
        <f t="shared" si="361"/>
        <v>0.48247537312264116</v>
      </c>
      <c r="AB921" s="16">
        <f t="shared" si="362"/>
        <v>-3.7450387936107339E-2</v>
      </c>
      <c r="AC921" s="16">
        <f t="shared" si="363"/>
        <v>-3.9413665907280494E-2</v>
      </c>
    </row>
    <row r="922" spans="1:29" x14ac:dyDescent="0.15">
      <c r="A922" s="8">
        <v>42241</v>
      </c>
      <c r="B922" s="4">
        <v>1867.61</v>
      </c>
      <c r="C922" s="1">
        <v>24.1904</v>
      </c>
      <c r="D922" s="1">
        <v>2.3199999999999998</v>
      </c>
      <c r="E922" s="1">
        <v>0.33429999999999999</v>
      </c>
      <c r="F922" s="4">
        <f t="shared" si="353"/>
        <v>0.24190400000000001</v>
      </c>
      <c r="G922" s="4">
        <f t="shared" si="354"/>
        <v>2.3199999999999998E-2</v>
      </c>
      <c r="H922" s="4">
        <f t="shared" si="355"/>
        <v>3.3430000000000001E-3</v>
      </c>
      <c r="I922" s="3">
        <f t="shared" si="356"/>
        <v>94.325372059885794</v>
      </c>
      <c r="J922" s="4">
        <f t="shared" si="343"/>
        <v>1562954.2124172582</v>
      </c>
      <c r="K922" s="1">
        <f t="shared" si="344"/>
        <v>2095.84</v>
      </c>
      <c r="L922" s="5">
        <f t="shared" si="345"/>
        <v>2.4657534246575605E-2</v>
      </c>
      <c r="M922" s="5">
        <f t="shared" si="346"/>
        <v>-0.99820251881167732</v>
      </c>
      <c r="N922" s="5">
        <f t="shared" si="347"/>
        <v>229.14951004365039</v>
      </c>
      <c r="O922" s="1">
        <f t="shared" si="348"/>
        <v>0</v>
      </c>
      <c r="P922" s="1">
        <f t="shared" si="349"/>
        <v>2095.84</v>
      </c>
      <c r="Q922" s="5">
        <f t="shared" si="350"/>
        <v>2.4657534246575605E-2</v>
      </c>
      <c r="R922" s="5">
        <f t="shared" si="351"/>
        <v>-0.99820251881167732</v>
      </c>
      <c r="S922" s="5">
        <f t="shared" si="357"/>
        <v>229.14951004365039</v>
      </c>
      <c r="T922" s="5">
        <f t="shared" si="358"/>
        <v>-723.64639599873306</v>
      </c>
      <c r="U922" s="4">
        <f t="shared" si="359"/>
        <v>1563029.8765294044</v>
      </c>
      <c r="V922" s="4">
        <f t="shared" si="352"/>
        <v>25.222591706186826</v>
      </c>
      <c r="W922" s="4">
        <f t="shared" si="360"/>
        <v>1397206.6594414413</v>
      </c>
      <c r="X922" s="4">
        <f t="shared" si="364"/>
        <v>-18278.470581401139</v>
      </c>
      <c r="Y922" s="9">
        <f>SUM($X$6:X922)</f>
        <v>397206.6594414413</v>
      </c>
      <c r="Z922" s="16">
        <f t="shared" si="365"/>
        <v>0.39720665944144129</v>
      </c>
      <c r="AA922" s="16">
        <f t="shared" si="361"/>
        <v>0.46242932986703833</v>
      </c>
      <c r="AB922" s="16">
        <f t="shared" si="362"/>
        <v>-1.2913219781479562E-2</v>
      </c>
      <c r="AC922" s="16">
        <f t="shared" si="363"/>
        <v>-1.3522007595565277E-2</v>
      </c>
    </row>
    <row r="923" spans="1:29" x14ac:dyDescent="0.15">
      <c r="A923" s="8">
        <v>42242</v>
      </c>
      <c r="B923" s="4">
        <v>1940.51</v>
      </c>
      <c r="C923" s="1">
        <v>21.090599999999998</v>
      </c>
      <c r="D923" s="1">
        <v>2.2400000000000002</v>
      </c>
      <c r="E923" s="1">
        <v>0.33229999999999998</v>
      </c>
      <c r="F923" s="4">
        <f t="shared" si="353"/>
        <v>0.21090599999999998</v>
      </c>
      <c r="G923" s="4">
        <f t="shared" si="354"/>
        <v>2.2400000000000003E-2</v>
      </c>
      <c r="H923" s="4">
        <f t="shared" si="355"/>
        <v>3.323E-3</v>
      </c>
      <c r="I923" s="3">
        <f t="shared" si="356"/>
        <v>85.909082538453447</v>
      </c>
      <c r="J923" s="4">
        <f t="shared" si="343"/>
        <v>1563029.8765294044</v>
      </c>
      <c r="K923" s="1">
        <f t="shared" si="344"/>
        <v>2095.84</v>
      </c>
      <c r="L923" s="5">
        <f t="shared" si="345"/>
        <v>2.1917808219178346E-2</v>
      </c>
      <c r="M923" s="5">
        <f t="shared" si="346"/>
        <v>-0.99264181400918794</v>
      </c>
      <c r="N923" s="5">
        <f t="shared" si="347"/>
        <v>156.26420779973159</v>
      </c>
      <c r="O923" s="1">
        <f t="shared" si="348"/>
        <v>0</v>
      </c>
      <c r="P923" s="1">
        <f t="shared" si="349"/>
        <v>2095.84</v>
      </c>
      <c r="Q923" s="5">
        <f t="shared" si="350"/>
        <v>2.1917808219178346E-2</v>
      </c>
      <c r="R923" s="5">
        <f t="shared" si="351"/>
        <v>-0.99264181400918794</v>
      </c>
      <c r="S923" s="5">
        <f t="shared" si="357"/>
        <v>156.26420779973159</v>
      </c>
      <c r="T923" s="5">
        <f t="shared" si="358"/>
        <v>-723.64639599873306</v>
      </c>
      <c r="U923" s="4">
        <f t="shared" si="359"/>
        <v>1563055.0991211105</v>
      </c>
      <c r="V923" s="4">
        <f t="shared" si="352"/>
        <v>25.222998722803673</v>
      </c>
      <c r="W923" s="4">
        <f t="shared" si="360"/>
        <v>1449975.0683232376</v>
      </c>
      <c r="X923" s="4">
        <f t="shared" si="364"/>
        <v>52768.408881796291</v>
      </c>
      <c r="Y923" s="9">
        <f>SUM($X$6:X923)</f>
        <v>449975.06832323759</v>
      </c>
      <c r="Z923" s="16">
        <f t="shared" si="365"/>
        <v>0.44997506832323758</v>
      </c>
      <c r="AA923" s="16">
        <f t="shared" si="361"/>
        <v>0.51951357023162581</v>
      </c>
      <c r="AB923" s="16">
        <f t="shared" si="362"/>
        <v>3.7767075131814376E-2</v>
      </c>
      <c r="AC923" s="16">
        <f t="shared" si="363"/>
        <v>3.9033845395987435E-2</v>
      </c>
    </row>
    <row r="924" spans="1:29" x14ac:dyDescent="0.15">
      <c r="A924" s="8">
        <v>42243</v>
      </c>
      <c r="B924" s="4">
        <v>1987.66</v>
      </c>
      <c r="C924" s="1">
        <v>19.629000000000001</v>
      </c>
      <c r="D924" s="1">
        <v>2.1800000000000002</v>
      </c>
      <c r="E924" s="1">
        <v>0.32800000000000001</v>
      </c>
      <c r="F924" s="4">
        <f t="shared" si="353"/>
        <v>0.19629000000000002</v>
      </c>
      <c r="G924" s="4">
        <f t="shared" si="354"/>
        <v>2.18E-2</v>
      </c>
      <c r="H924" s="4">
        <f t="shared" si="355"/>
        <v>3.2799999999999999E-3</v>
      </c>
      <c r="I924" s="3">
        <f t="shared" si="356"/>
        <v>82.105503399209027</v>
      </c>
      <c r="J924" s="4">
        <f t="shared" ref="J924:J987" si="366">U923</f>
        <v>1563055.0991211105</v>
      </c>
      <c r="K924" s="1">
        <f t="shared" ref="K924:K987" si="367">P923</f>
        <v>2095.84</v>
      </c>
      <c r="L924" s="5">
        <f t="shared" ref="L924:L987" si="368">Q923-(A924-A923)/365</f>
        <v>1.9178082191781087E-2</v>
      </c>
      <c r="M924" s="5">
        <f t="shared" ref="M924:M987" si="369">BSM_Put(B924,K924,F924,H924,G924,L924,$G$3)</f>
        <v>-0.97394939521524171</v>
      </c>
      <c r="N924" s="5">
        <f t="shared" ref="N924:N987" si="370">BSM_Put(B924,K924,F924,H924,G924,L924,$F$3)</f>
        <v>109.39918121635198</v>
      </c>
      <c r="O924" s="1">
        <f t="shared" ref="O924:O987" si="371">IF(OR(M924&gt;-0.05,L924&lt;=0.00001),1,0)</f>
        <v>0</v>
      </c>
      <c r="P924" s="1">
        <f t="shared" ref="P924:P987" si="372">IF(O924,B924,K924)</f>
        <v>2095.84</v>
      </c>
      <c r="Q924" s="5">
        <f t="shared" ref="Q924:Q987" si="373">IF(O924,$B$3,L924)</f>
        <v>1.9178082191781087E-2</v>
      </c>
      <c r="R924" s="5">
        <f t="shared" ref="R924:R987" si="374">IF(O924,BSM_Put(B924,P924,F924,H924,G924,Q924,$G$3),M924)</f>
        <v>-0.97394939521524171</v>
      </c>
      <c r="S924" s="5">
        <f t="shared" si="357"/>
        <v>109.39918121635198</v>
      </c>
      <c r="T924" s="5">
        <f t="shared" si="358"/>
        <v>-723.64639599873306</v>
      </c>
      <c r="U924" s="4">
        <f t="shared" si="359"/>
        <v>1563080.3221198332</v>
      </c>
      <c r="V924" s="4">
        <f t="shared" ref="V924:V987" si="375">U924*$H$6*(A924-A923)/365</f>
        <v>25.223405745988536</v>
      </c>
      <c r="W924" s="4">
        <f t="shared" si="360"/>
        <v>1483913.9989074077</v>
      </c>
      <c r="X924" s="4">
        <f t="shared" si="364"/>
        <v>33938.930584170157</v>
      </c>
      <c r="Y924" s="9">
        <f>SUM($X$6:X924)</f>
        <v>483913.99890740775</v>
      </c>
      <c r="Z924" s="16">
        <f t="shared" si="365"/>
        <v>0.48391399890740777</v>
      </c>
      <c r="AA924" s="16">
        <f t="shared" si="361"/>
        <v>0.55643431005590982</v>
      </c>
      <c r="AB924" s="16">
        <f t="shared" si="362"/>
        <v>2.3406561482065619E-2</v>
      </c>
      <c r="AC924" s="16">
        <f t="shared" si="363"/>
        <v>2.429773616214299E-2</v>
      </c>
    </row>
    <row r="925" spans="1:29" x14ac:dyDescent="0.15">
      <c r="A925" s="8">
        <v>42244</v>
      </c>
      <c r="B925" s="4">
        <v>1988.87</v>
      </c>
      <c r="C925" s="1">
        <v>19.861499999999999</v>
      </c>
      <c r="D925" s="1">
        <v>2.1800000000000002</v>
      </c>
      <c r="E925" s="1">
        <v>0.3327</v>
      </c>
      <c r="F925" s="4">
        <f t="shared" si="353"/>
        <v>0.19861499999999999</v>
      </c>
      <c r="G925" s="4">
        <f t="shared" si="354"/>
        <v>2.18E-2</v>
      </c>
      <c r="H925" s="4">
        <f t="shared" si="355"/>
        <v>3.3270000000000001E-3</v>
      </c>
      <c r="I925" s="3">
        <f t="shared" si="356"/>
        <v>83.05907044401107</v>
      </c>
      <c r="J925" s="4">
        <f t="shared" si="366"/>
        <v>1563080.3221198332</v>
      </c>
      <c r="K925" s="1">
        <f t="shared" si="367"/>
        <v>2095.84</v>
      </c>
      <c r="L925" s="5">
        <f t="shared" si="368"/>
        <v>1.6438356164383827E-2</v>
      </c>
      <c r="M925" s="5">
        <f t="shared" si="369"/>
        <v>-0.97977928634968248</v>
      </c>
      <c r="N925" s="5">
        <f t="shared" si="370"/>
        <v>107.9338997180476</v>
      </c>
      <c r="O925" s="1">
        <f t="shared" si="371"/>
        <v>0</v>
      </c>
      <c r="P925" s="1">
        <f t="shared" si="372"/>
        <v>2095.84</v>
      </c>
      <c r="Q925" s="5">
        <f t="shared" si="373"/>
        <v>1.6438356164383827E-2</v>
      </c>
      <c r="R925" s="5">
        <f t="shared" si="374"/>
        <v>-0.97977928634968248</v>
      </c>
      <c r="S925" s="5">
        <f t="shared" si="357"/>
        <v>107.9338997180476</v>
      </c>
      <c r="T925" s="5">
        <f t="shared" si="358"/>
        <v>-723.64639599873306</v>
      </c>
      <c r="U925" s="4">
        <f t="shared" si="359"/>
        <v>1563105.5455255792</v>
      </c>
      <c r="V925" s="4">
        <f t="shared" si="375"/>
        <v>25.223812775741536</v>
      </c>
      <c r="W925" s="4">
        <f t="shared" si="360"/>
        <v>1484999.5679885254</v>
      </c>
      <c r="X925" s="4">
        <f t="shared" si="364"/>
        <v>1085.5690811176319</v>
      </c>
      <c r="Y925" s="9">
        <f>SUM($X$6:X925)</f>
        <v>484999.56798852538</v>
      </c>
      <c r="Z925" s="16">
        <f t="shared" si="365"/>
        <v>0.48499956798852539</v>
      </c>
      <c r="AA925" s="16">
        <f t="shared" si="361"/>
        <v>0.55738179881916272</v>
      </c>
      <c r="AB925" s="16">
        <f t="shared" si="362"/>
        <v>7.315579487200245E-4</v>
      </c>
      <c r="AC925" s="16">
        <f t="shared" si="363"/>
        <v>6.0875602467213154E-4</v>
      </c>
    </row>
    <row r="926" spans="1:29" x14ac:dyDescent="0.15">
      <c r="A926" s="8">
        <v>42247</v>
      </c>
      <c r="B926" s="4">
        <v>1972.18</v>
      </c>
      <c r="C926" s="1">
        <v>21.0808</v>
      </c>
      <c r="D926" s="1">
        <v>2.2000000000000002</v>
      </c>
      <c r="E926" s="1">
        <v>0.3327</v>
      </c>
      <c r="F926" s="4">
        <f t="shared" si="353"/>
        <v>0.210808</v>
      </c>
      <c r="G926" s="4">
        <f t="shared" si="354"/>
        <v>2.2000000000000002E-2</v>
      </c>
      <c r="H926" s="4">
        <f t="shared" si="355"/>
        <v>3.3270000000000001E-3</v>
      </c>
      <c r="I926" s="3">
        <f t="shared" si="356"/>
        <v>87.174636790619161</v>
      </c>
      <c r="J926" s="4">
        <f t="shared" si="366"/>
        <v>1563105.5455255792</v>
      </c>
      <c r="K926" s="1">
        <f t="shared" si="367"/>
        <v>2095.84</v>
      </c>
      <c r="L926" s="5">
        <f t="shared" si="368"/>
        <v>8.2191780821920472E-3</v>
      </c>
      <c r="M926" s="5">
        <f t="shared" si="369"/>
        <v>-0.9990843155585899</v>
      </c>
      <c r="N926" s="5">
        <f t="shared" si="370"/>
        <v>123.96673664317869</v>
      </c>
      <c r="O926" s="1">
        <f t="shared" si="371"/>
        <v>0</v>
      </c>
      <c r="P926" s="1">
        <f t="shared" si="372"/>
        <v>2095.84</v>
      </c>
      <c r="Q926" s="5">
        <f t="shared" si="373"/>
        <v>8.2191780821920472E-3</v>
      </c>
      <c r="R926" s="5">
        <f t="shared" si="374"/>
        <v>-0.9990843155585899</v>
      </c>
      <c r="S926" s="5">
        <f t="shared" si="357"/>
        <v>123.96673664317869</v>
      </c>
      <c r="T926" s="5">
        <f t="shared" si="358"/>
        <v>-723.64639599873306</v>
      </c>
      <c r="U926" s="4">
        <f t="shared" si="359"/>
        <v>1563130.7693383549</v>
      </c>
      <c r="V926" s="4">
        <f t="shared" si="375"/>
        <v>75.672659436188312</v>
      </c>
      <c r="W926" s="4">
        <f t="shared" si="360"/>
        <v>1473422.6871427945</v>
      </c>
      <c r="X926" s="4">
        <f t="shared" si="364"/>
        <v>-11576.880845730891</v>
      </c>
      <c r="Y926" s="9">
        <f>SUM($X$6:X926)</f>
        <v>473422.68714279449</v>
      </c>
      <c r="Z926" s="16">
        <f t="shared" si="365"/>
        <v>0.47342268714279451</v>
      </c>
      <c r="AA926" s="16">
        <f t="shared" si="361"/>
        <v>0.54431271827478755</v>
      </c>
      <c r="AB926" s="16">
        <f t="shared" si="362"/>
        <v>-7.795881625347615E-3</v>
      </c>
      <c r="AC926" s="16">
        <f t="shared" si="363"/>
        <v>-8.391699809439445E-3</v>
      </c>
    </row>
    <row r="927" spans="1:29" x14ac:dyDescent="0.15">
      <c r="A927" s="8">
        <v>42248</v>
      </c>
      <c r="B927" s="4">
        <v>1913.85</v>
      </c>
      <c r="C927" s="1">
        <v>23.8675</v>
      </c>
      <c r="D927" s="1">
        <v>2.27</v>
      </c>
      <c r="E927" s="1">
        <v>0.3377</v>
      </c>
      <c r="F927" s="4">
        <f t="shared" si="353"/>
        <v>0.238675</v>
      </c>
      <c r="G927" s="4">
        <f t="shared" si="354"/>
        <v>2.2700000000000001E-2</v>
      </c>
      <c r="H927" s="4">
        <f t="shared" si="355"/>
        <v>3.3769999999999998E-3</v>
      </c>
      <c r="I927" s="3">
        <f t="shared" si="356"/>
        <v>95.311473331129008</v>
      </c>
      <c r="J927" s="4">
        <f t="shared" si="366"/>
        <v>1563130.7693383549</v>
      </c>
      <c r="K927" s="1">
        <f t="shared" si="367"/>
        <v>2095.84</v>
      </c>
      <c r="L927" s="5">
        <f t="shared" si="368"/>
        <v>5.4794520547947869E-3</v>
      </c>
      <c r="M927" s="5">
        <f t="shared" si="369"/>
        <v>-0.99987548583686114</v>
      </c>
      <c r="N927" s="5">
        <f t="shared" si="370"/>
        <v>182.18925622999197</v>
      </c>
      <c r="O927" s="1">
        <f t="shared" si="371"/>
        <v>0</v>
      </c>
      <c r="P927" s="1">
        <f t="shared" si="372"/>
        <v>2095.84</v>
      </c>
      <c r="Q927" s="5">
        <f t="shared" si="373"/>
        <v>5.4794520547947869E-3</v>
      </c>
      <c r="R927" s="5">
        <f t="shared" si="374"/>
        <v>-0.99987548583686114</v>
      </c>
      <c r="S927" s="5">
        <f t="shared" si="357"/>
        <v>182.18925622999197</v>
      </c>
      <c r="T927" s="5">
        <f t="shared" si="358"/>
        <v>-723.64639599873306</v>
      </c>
      <c r="U927" s="4">
        <f t="shared" si="359"/>
        <v>1563206.4419977912</v>
      </c>
      <c r="V927" s="4">
        <f t="shared" si="375"/>
        <v>25.225440940731477</v>
      </c>
      <c r="W927" s="4">
        <f t="shared" si="360"/>
        <v>1431365.8433372676</v>
      </c>
      <c r="X927" s="4">
        <f t="shared" si="364"/>
        <v>-42056.843805526849</v>
      </c>
      <c r="Y927" s="9">
        <f>SUM($X$6:X927)</f>
        <v>431365.84333726764</v>
      </c>
      <c r="Z927" s="16">
        <f t="shared" si="365"/>
        <v>0.43136584333726763</v>
      </c>
      <c r="AA927" s="16">
        <f t="shared" si="361"/>
        <v>0.49863749549747077</v>
      </c>
      <c r="AB927" s="16">
        <f t="shared" si="362"/>
        <v>-2.8543638001856678E-2</v>
      </c>
      <c r="AC927" s="16">
        <f t="shared" si="363"/>
        <v>-2.9576407832956501E-2</v>
      </c>
    </row>
    <row r="928" spans="1:29" x14ac:dyDescent="0.15">
      <c r="A928" s="8">
        <v>42249</v>
      </c>
      <c r="B928" s="4">
        <v>1948.86</v>
      </c>
      <c r="C928" s="1">
        <v>21.282800000000002</v>
      </c>
      <c r="D928" s="1">
        <v>2.23</v>
      </c>
      <c r="E928" s="1">
        <v>0.3362</v>
      </c>
      <c r="F928" s="4">
        <f t="shared" si="353"/>
        <v>0.21282800000000002</v>
      </c>
      <c r="G928" s="4">
        <f t="shared" si="354"/>
        <v>2.23E-2</v>
      </c>
      <c r="H928" s="4">
        <f t="shared" si="355"/>
        <v>3.362E-3</v>
      </c>
      <c r="I928" s="3">
        <f t="shared" si="356"/>
        <v>86.986508457194944</v>
      </c>
      <c r="J928" s="4">
        <f t="shared" si="366"/>
        <v>1563206.4419977912</v>
      </c>
      <c r="K928" s="1">
        <f t="shared" si="367"/>
        <v>2095.84</v>
      </c>
      <c r="L928" s="5">
        <f t="shared" si="368"/>
        <v>2.7397260273975266E-3</v>
      </c>
      <c r="M928" s="5">
        <f t="shared" si="369"/>
        <v>-0.99993890594214285</v>
      </c>
      <c r="N928" s="5">
        <f t="shared" si="370"/>
        <v>147.07975909270311</v>
      </c>
      <c r="O928" s="1">
        <f t="shared" si="371"/>
        <v>0</v>
      </c>
      <c r="P928" s="1">
        <f t="shared" si="372"/>
        <v>2095.84</v>
      </c>
      <c r="Q928" s="5">
        <f t="shared" si="373"/>
        <v>2.7397260273975266E-3</v>
      </c>
      <c r="R928" s="5">
        <f t="shared" si="374"/>
        <v>-0.99993890594214285</v>
      </c>
      <c r="S928" s="5">
        <f t="shared" si="357"/>
        <v>147.07975909270311</v>
      </c>
      <c r="T928" s="5">
        <f t="shared" si="358"/>
        <v>-723.64639599873306</v>
      </c>
      <c r="U928" s="4">
        <f t="shared" si="359"/>
        <v>1563231.667438732</v>
      </c>
      <c r="V928" s="4">
        <f t="shared" si="375"/>
        <v>25.225848003326384</v>
      </c>
      <c r="W928" s="4">
        <f t="shared" si="360"/>
        <v>1456797.9298469354</v>
      </c>
      <c r="X928" s="4">
        <f t="shared" si="364"/>
        <v>25432.086509667803</v>
      </c>
      <c r="Y928" s="9">
        <f>SUM($X$6:X928)</f>
        <v>456797.92984693544</v>
      </c>
      <c r="Z928" s="16">
        <f t="shared" si="365"/>
        <v>0.45679792984693546</v>
      </c>
      <c r="AA928" s="16">
        <f t="shared" si="361"/>
        <v>0.52605202574663679</v>
      </c>
      <c r="AB928" s="16">
        <f t="shared" si="362"/>
        <v>1.7767705320096375E-2</v>
      </c>
      <c r="AC928" s="16">
        <f t="shared" si="363"/>
        <v>1.829296966846931E-2</v>
      </c>
    </row>
    <row r="929" spans="1:29" x14ac:dyDescent="0.15">
      <c r="A929" s="8">
        <v>42250</v>
      </c>
      <c r="B929" s="4">
        <v>1951.13</v>
      </c>
      <c r="C929" s="1">
        <v>21.231000000000002</v>
      </c>
      <c r="D929" s="1">
        <v>2.23</v>
      </c>
      <c r="E929" s="1">
        <v>0.3372</v>
      </c>
      <c r="F929" s="4">
        <f t="shared" si="353"/>
        <v>0.21231000000000003</v>
      </c>
      <c r="G929" s="4">
        <f t="shared" si="354"/>
        <v>2.23E-2</v>
      </c>
      <c r="H929" s="4">
        <f t="shared" si="355"/>
        <v>3.372E-3</v>
      </c>
      <c r="I929" s="3">
        <f t="shared" si="356"/>
        <v>86.885007293880307</v>
      </c>
      <c r="J929" s="4">
        <f t="shared" si="366"/>
        <v>1563231.667438732</v>
      </c>
      <c r="K929" s="1">
        <f t="shared" si="367"/>
        <v>2095.84</v>
      </c>
      <c r="L929" s="5">
        <f t="shared" si="368"/>
        <v>2.6628005356243989E-16</v>
      </c>
      <c r="M929" s="5">
        <f t="shared" si="369"/>
        <v>-1</v>
      </c>
      <c r="N929" s="5">
        <f t="shared" si="370"/>
        <v>144.71000000000004</v>
      </c>
      <c r="O929" s="1">
        <f t="shared" si="371"/>
        <v>1</v>
      </c>
      <c r="P929" s="1">
        <f t="shared" si="372"/>
        <v>1951.13</v>
      </c>
      <c r="Q929" s="5">
        <f t="shared" si="373"/>
        <v>0.24931506849315069</v>
      </c>
      <c r="R929" s="5">
        <f t="shared" si="374"/>
        <v>-0.4938598401002951</v>
      </c>
      <c r="S929" s="5">
        <f t="shared" si="357"/>
        <v>86.885007293880307</v>
      </c>
      <c r="T929" s="5">
        <f t="shared" si="358"/>
        <v>-747.52210128169577</v>
      </c>
      <c r="U929" s="4">
        <f t="shared" si="359"/>
        <v>1523486.4865439553</v>
      </c>
      <c r="V929" s="4">
        <f t="shared" si="375"/>
        <v>24.584480563681904</v>
      </c>
      <c r="W929" s="4">
        <f t="shared" si="360"/>
        <v>1458538.0233217585</v>
      </c>
      <c r="X929" s="4">
        <f t="shared" si="364"/>
        <v>1740.0934748230502</v>
      </c>
      <c r="Y929" s="9">
        <f>SUM($X$6:X929)</f>
        <v>458538.02332175849</v>
      </c>
      <c r="Z929" s="16">
        <f t="shared" si="365"/>
        <v>0.45853802332175847</v>
      </c>
      <c r="AA929" s="16">
        <f t="shared" si="361"/>
        <v>0.52782954598844234</v>
      </c>
      <c r="AB929" s="16">
        <f t="shared" si="362"/>
        <v>1.1944645438958582E-3</v>
      </c>
      <c r="AC929" s="16">
        <f t="shared" si="363"/>
        <v>1.1647835144649741E-3</v>
      </c>
    </row>
    <row r="930" spans="1:29" x14ac:dyDescent="0.15">
      <c r="A930" s="8">
        <v>42251</v>
      </c>
      <c r="B930" s="4">
        <v>1921.22</v>
      </c>
      <c r="C930" s="1">
        <v>22.5044</v>
      </c>
      <c r="D930" s="1">
        <v>2.2599999999999998</v>
      </c>
      <c r="E930" s="1">
        <v>0.3357</v>
      </c>
      <c r="F930" s="4">
        <f t="shared" si="353"/>
        <v>0.22504399999999999</v>
      </c>
      <c r="G930" s="4">
        <f t="shared" si="354"/>
        <v>2.2599999999999999E-2</v>
      </c>
      <c r="H930" s="4">
        <f t="shared" si="355"/>
        <v>3.3570000000000002E-3</v>
      </c>
      <c r="I930" s="3">
        <f t="shared" si="356"/>
        <v>90.473622859212895</v>
      </c>
      <c r="J930" s="4">
        <f t="shared" si="366"/>
        <v>1523486.4865439553</v>
      </c>
      <c r="K930" s="1">
        <f t="shared" si="367"/>
        <v>1951.13</v>
      </c>
      <c r="L930" s="5">
        <f t="shared" si="368"/>
        <v>0.24657534246575344</v>
      </c>
      <c r="M930" s="5">
        <f t="shared" si="369"/>
        <v>-0.54661521655243495</v>
      </c>
      <c r="N930" s="5">
        <f t="shared" si="370"/>
        <v>106.88314587362309</v>
      </c>
      <c r="O930" s="1">
        <f t="shared" si="371"/>
        <v>0</v>
      </c>
      <c r="P930" s="1">
        <f t="shared" si="372"/>
        <v>1951.13</v>
      </c>
      <c r="Q930" s="5">
        <f t="shared" si="373"/>
        <v>0.24657534246575344</v>
      </c>
      <c r="R930" s="5">
        <f t="shared" si="374"/>
        <v>-0.54661521655243495</v>
      </c>
      <c r="S930" s="5">
        <f t="shared" si="357"/>
        <v>106.88314587362309</v>
      </c>
      <c r="T930" s="5">
        <f t="shared" si="358"/>
        <v>-747.52210128169577</v>
      </c>
      <c r="U930" s="4">
        <f t="shared" si="359"/>
        <v>1523511.0710245189</v>
      </c>
      <c r="V930" s="4">
        <f t="shared" si="375"/>
        <v>24.584877283107986</v>
      </c>
      <c r="W930" s="4">
        <f t="shared" si="360"/>
        <v>1443613.5572294702</v>
      </c>
      <c r="X930" s="4">
        <f t="shared" si="364"/>
        <v>-14924.466092288261</v>
      </c>
      <c r="Y930" s="9">
        <f>SUM($X$6:X930)</f>
        <v>443613.55722947023</v>
      </c>
      <c r="Z930" s="16">
        <f t="shared" si="365"/>
        <v>0.44361355722947021</v>
      </c>
      <c r="AA930" s="16">
        <f t="shared" si="361"/>
        <v>0.50440856341910334</v>
      </c>
      <c r="AB930" s="16">
        <f t="shared" si="362"/>
        <v>-1.0232483386547869E-2</v>
      </c>
      <c r="AC930" s="16">
        <f t="shared" si="363"/>
        <v>-1.5329578244402004E-2</v>
      </c>
    </row>
    <row r="931" spans="1:29" x14ac:dyDescent="0.15">
      <c r="A931" s="8">
        <v>42255</v>
      </c>
      <c r="B931" s="4">
        <v>1969.41</v>
      </c>
      <c r="C931" s="1">
        <v>20.5657</v>
      </c>
      <c r="D931" s="1">
        <v>2.21</v>
      </c>
      <c r="E931" s="1">
        <v>0.3357</v>
      </c>
      <c r="F931" s="4">
        <f t="shared" si="353"/>
        <v>0.20565700000000001</v>
      </c>
      <c r="G931" s="4">
        <f t="shared" si="354"/>
        <v>2.2099999999999998E-2</v>
      </c>
      <c r="H931" s="4">
        <f t="shared" si="355"/>
        <v>3.3570000000000002E-3</v>
      </c>
      <c r="I931" s="3">
        <f t="shared" si="356"/>
        <v>85.058929461470669</v>
      </c>
      <c r="J931" s="4">
        <f t="shared" si="366"/>
        <v>1523511.0710245189</v>
      </c>
      <c r="K931" s="1">
        <f t="shared" si="367"/>
        <v>1951.13</v>
      </c>
      <c r="L931" s="5">
        <f t="shared" si="368"/>
        <v>0.23561643835616439</v>
      </c>
      <c r="M931" s="5">
        <f t="shared" si="369"/>
        <v>-0.45814153717785416</v>
      </c>
      <c r="N931" s="5">
        <f t="shared" si="370"/>
        <v>73.097959446619754</v>
      </c>
      <c r="O931" s="1">
        <f t="shared" si="371"/>
        <v>0</v>
      </c>
      <c r="P931" s="1">
        <f t="shared" si="372"/>
        <v>1951.13</v>
      </c>
      <c r="Q931" s="5">
        <f t="shared" si="373"/>
        <v>0.23561643835616439</v>
      </c>
      <c r="R931" s="5">
        <f t="shared" si="374"/>
        <v>-0.45814153717785416</v>
      </c>
      <c r="S931" s="5">
        <f t="shared" si="357"/>
        <v>73.097959446619754</v>
      </c>
      <c r="T931" s="5">
        <f t="shared" si="358"/>
        <v>-747.52210128169577</v>
      </c>
      <c r="U931" s="4">
        <f t="shared" si="359"/>
        <v>1523535.655901802</v>
      </c>
      <c r="V931" s="4">
        <f t="shared" si="375"/>
        <v>98.341096035743703</v>
      </c>
      <c r="W931" s="4">
        <f t="shared" si="360"/>
        <v>1468893.3156568606</v>
      </c>
      <c r="X931" s="4">
        <f t="shared" si="364"/>
        <v>25279.758427390363</v>
      </c>
      <c r="Y931" s="9">
        <f>SUM($X$6:X931)</f>
        <v>468893.31565686059</v>
      </c>
      <c r="Z931" s="16">
        <f t="shared" si="365"/>
        <v>0.4688933156568606</v>
      </c>
      <c r="AA931" s="16">
        <f t="shared" si="361"/>
        <v>0.54214367375064609</v>
      </c>
      <c r="AB931" s="16">
        <f t="shared" si="362"/>
        <v>1.7511444320255858E-2</v>
      </c>
      <c r="AC931" s="16">
        <f t="shared" si="363"/>
        <v>2.5083020164270647E-2</v>
      </c>
    </row>
    <row r="932" spans="1:29" x14ac:dyDescent="0.15">
      <c r="A932" s="8">
        <v>42256</v>
      </c>
      <c r="B932" s="4">
        <v>1942.04</v>
      </c>
      <c r="C932" s="1">
        <v>21.217300000000002</v>
      </c>
      <c r="D932" s="1">
        <v>2.2400000000000002</v>
      </c>
      <c r="E932" s="1">
        <v>0.3367</v>
      </c>
      <c r="F932" s="4">
        <f t="shared" si="353"/>
        <v>0.21217300000000003</v>
      </c>
      <c r="G932" s="4">
        <f t="shared" si="354"/>
        <v>2.2400000000000003E-2</v>
      </c>
      <c r="H932" s="4">
        <f t="shared" si="355"/>
        <v>3.3670000000000002E-3</v>
      </c>
      <c r="I932" s="3">
        <f t="shared" si="356"/>
        <v>86.452739828995306</v>
      </c>
      <c r="J932" s="4">
        <f t="shared" si="366"/>
        <v>1523535.655901802</v>
      </c>
      <c r="K932" s="1">
        <f t="shared" si="367"/>
        <v>1951.13</v>
      </c>
      <c r="L932" s="5">
        <f t="shared" si="368"/>
        <v>0.23287671232876714</v>
      </c>
      <c r="M932" s="5">
        <f t="shared" si="369"/>
        <v>-0.51235788270336091</v>
      </c>
      <c r="N932" s="5">
        <f t="shared" si="370"/>
        <v>88.385568462964116</v>
      </c>
      <c r="O932" s="1">
        <f t="shared" si="371"/>
        <v>0</v>
      </c>
      <c r="P932" s="1">
        <f t="shared" si="372"/>
        <v>1951.13</v>
      </c>
      <c r="Q932" s="5">
        <f t="shared" si="373"/>
        <v>0.23287671232876714</v>
      </c>
      <c r="R932" s="5">
        <f t="shared" si="374"/>
        <v>-0.51235788270336091</v>
      </c>
      <c r="S932" s="5">
        <f t="shared" si="357"/>
        <v>88.385568462964116</v>
      </c>
      <c r="T932" s="5">
        <f t="shared" si="358"/>
        <v>-747.52210128169577</v>
      </c>
      <c r="U932" s="4">
        <f t="shared" si="359"/>
        <v>1523633.9969978377</v>
      </c>
      <c r="V932" s="4">
        <f t="shared" si="375"/>
        <v>24.586860937855512</v>
      </c>
      <c r="W932" s="4">
        <f t="shared" si="360"/>
        <v>1457563.8311374255</v>
      </c>
      <c r="X932" s="4">
        <f t="shared" si="364"/>
        <v>-11329.484519435093</v>
      </c>
      <c r="Y932" s="9">
        <f>SUM($X$6:X932)</f>
        <v>457563.8311374255</v>
      </c>
      <c r="Z932" s="16">
        <f t="shared" si="365"/>
        <v>0.45756383113742549</v>
      </c>
      <c r="AA932" s="16">
        <f t="shared" si="361"/>
        <v>0.5207116345355739</v>
      </c>
      <c r="AB932" s="16">
        <f t="shared" si="362"/>
        <v>-7.7129389852038143E-3</v>
      </c>
      <c r="AC932" s="16">
        <f t="shared" si="363"/>
        <v>-1.3897563229596741E-2</v>
      </c>
    </row>
    <row r="933" spans="1:29" x14ac:dyDescent="0.15">
      <c r="A933" s="8">
        <v>42257</v>
      </c>
      <c r="B933" s="4">
        <v>1952.29</v>
      </c>
      <c r="C933" s="1">
        <v>20.491099999999999</v>
      </c>
      <c r="D933" s="1">
        <v>2.23</v>
      </c>
      <c r="E933" s="1">
        <v>0.3397</v>
      </c>
      <c r="F933" s="4">
        <f t="shared" si="353"/>
        <v>0.20491099999999998</v>
      </c>
      <c r="G933" s="4">
        <f t="shared" si="354"/>
        <v>2.23E-2</v>
      </c>
      <c r="H933" s="4">
        <f t="shared" si="355"/>
        <v>3.3969999999999998E-3</v>
      </c>
      <c r="I933" s="3">
        <f t="shared" si="356"/>
        <v>84.068723443790191</v>
      </c>
      <c r="J933" s="4">
        <f t="shared" si="366"/>
        <v>1523633.9969978377</v>
      </c>
      <c r="K933" s="1">
        <f t="shared" si="367"/>
        <v>1951.13</v>
      </c>
      <c r="L933" s="5">
        <f t="shared" si="368"/>
        <v>0.23013698630136989</v>
      </c>
      <c r="M933" s="5">
        <f t="shared" si="369"/>
        <v>-0.49309768768634266</v>
      </c>
      <c r="N933" s="5">
        <f t="shared" si="370"/>
        <v>79.992668551061115</v>
      </c>
      <c r="O933" s="1">
        <f t="shared" si="371"/>
        <v>0</v>
      </c>
      <c r="P933" s="1">
        <f t="shared" si="372"/>
        <v>1951.13</v>
      </c>
      <c r="Q933" s="5">
        <f t="shared" si="373"/>
        <v>0.23013698630136989</v>
      </c>
      <c r="R933" s="5">
        <f t="shared" si="374"/>
        <v>-0.49309768768634266</v>
      </c>
      <c r="S933" s="5">
        <f t="shared" si="357"/>
        <v>79.992668551061115</v>
      </c>
      <c r="T933" s="5">
        <f t="shared" si="358"/>
        <v>-747.52210128169577</v>
      </c>
      <c r="U933" s="4">
        <f t="shared" si="359"/>
        <v>1523658.5838587754</v>
      </c>
      <c r="V933" s="4">
        <f t="shared" si="375"/>
        <v>24.587257695693662</v>
      </c>
      <c r="W933" s="4">
        <f t="shared" si="360"/>
        <v>1463862.296176356</v>
      </c>
      <c r="X933" s="4">
        <f t="shared" si="364"/>
        <v>6298.4650389305316</v>
      </c>
      <c r="Y933" s="9">
        <f>SUM($X$6:X933)</f>
        <v>463862.29617635603</v>
      </c>
      <c r="Z933" s="16">
        <f t="shared" si="365"/>
        <v>0.46386229617635605</v>
      </c>
      <c r="AA933" s="16">
        <f t="shared" si="361"/>
        <v>0.52873788232346175</v>
      </c>
      <c r="AB933" s="16">
        <f t="shared" si="362"/>
        <v>4.3212275883763229E-3</v>
      </c>
      <c r="AC933" s="16">
        <f t="shared" si="363"/>
        <v>5.2779551399559227E-3</v>
      </c>
    </row>
    <row r="934" spans="1:29" x14ac:dyDescent="0.15">
      <c r="A934" s="8">
        <v>42258</v>
      </c>
      <c r="B934" s="4">
        <v>1961.05</v>
      </c>
      <c r="C934" s="1">
        <v>19.924900000000001</v>
      </c>
      <c r="D934" s="1">
        <v>2.2200000000000002</v>
      </c>
      <c r="E934" s="1">
        <v>0.34089999999999998</v>
      </c>
      <c r="F934" s="4">
        <f t="shared" si="353"/>
        <v>0.19924900000000001</v>
      </c>
      <c r="G934" s="4">
        <f t="shared" si="354"/>
        <v>2.2200000000000001E-2</v>
      </c>
      <c r="H934" s="4">
        <f t="shared" si="355"/>
        <v>3.4089999999999997E-3</v>
      </c>
      <c r="I934" s="3">
        <f t="shared" si="356"/>
        <v>82.21901769543112</v>
      </c>
      <c r="J934" s="4">
        <f t="shared" si="366"/>
        <v>1523658.5838587754</v>
      </c>
      <c r="K934" s="1">
        <f t="shared" si="367"/>
        <v>1951.13</v>
      </c>
      <c r="L934" s="5">
        <f t="shared" si="368"/>
        <v>0.22739726027397264</v>
      </c>
      <c r="M934" s="5">
        <f t="shared" si="369"/>
        <v>-0.47530152114029861</v>
      </c>
      <c r="N934" s="5">
        <f t="shared" si="370"/>
        <v>73.126456495367705</v>
      </c>
      <c r="O934" s="1">
        <f t="shared" si="371"/>
        <v>0</v>
      </c>
      <c r="P934" s="1">
        <f t="shared" si="372"/>
        <v>1951.13</v>
      </c>
      <c r="Q934" s="5">
        <f t="shared" si="373"/>
        <v>0.22739726027397264</v>
      </c>
      <c r="R934" s="5">
        <f t="shared" si="374"/>
        <v>-0.47530152114029861</v>
      </c>
      <c r="S934" s="5">
        <f t="shared" si="357"/>
        <v>73.126456495367705</v>
      </c>
      <c r="T934" s="5">
        <f t="shared" si="358"/>
        <v>-747.52210128169577</v>
      </c>
      <c r="U934" s="4">
        <f t="shared" si="359"/>
        <v>1523683.1711164711</v>
      </c>
      <c r="V934" s="4">
        <f t="shared" si="375"/>
        <v>24.587654459934281</v>
      </c>
      <c r="W934" s="4">
        <f t="shared" si="360"/>
        <v>1469019.5286977694</v>
      </c>
      <c r="X934" s="4">
        <f t="shared" si="364"/>
        <v>5157.2325214133598</v>
      </c>
      <c r="Y934" s="9">
        <f>SUM($X$6:X934)</f>
        <v>469019.52869776939</v>
      </c>
      <c r="Z934" s="16">
        <f t="shared" si="365"/>
        <v>0.46901952869776942</v>
      </c>
      <c r="AA934" s="16">
        <f t="shared" si="361"/>
        <v>0.53559738774998833</v>
      </c>
      <c r="AB934" s="16">
        <f t="shared" si="362"/>
        <v>3.5230311859825729E-3</v>
      </c>
      <c r="AC934" s="16">
        <f t="shared" si="363"/>
        <v>4.4870382986134183E-3</v>
      </c>
    </row>
    <row r="935" spans="1:29" x14ac:dyDescent="0.15">
      <c r="A935" s="8">
        <v>42261</v>
      </c>
      <c r="B935" s="4">
        <v>1953.03</v>
      </c>
      <c r="C935" s="1">
        <v>20.307500000000001</v>
      </c>
      <c r="D935" s="1">
        <v>2.23</v>
      </c>
      <c r="E935" s="1">
        <v>0.3392</v>
      </c>
      <c r="F935" s="4">
        <f t="shared" si="353"/>
        <v>0.20307500000000001</v>
      </c>
      <c r="G935" s="4">
        <f t="shared" si="354"/>
        <v>2.23E-2</v>
      </c>
      <c r="H935" s="4">
        <f t="shared" si="355"/>
        <v>3.392E-3</v>
      </c>
      <c r="I935" s="3">
        <f t="shared" si="356"/>
        <v>83.391591573123748</v>
      </c>
      <c r="J935" s="4">
        <f t="shared" si="366"/>
        <v>1523683.1711164711</v>
      </c>
      <c r="K935" s="1">
        <f t="shared" si="367"/>
        <v>1951.13</v>
      </c>
      <c r="L935" s="5">
        <f t="shared" si="368"/>
        <v>0.21917808219178087</v>
      </c>
      <c r="M935" s="5">
        <f t="shared" si="369"/>
        <v>-0.4919313694135537</v>
      </c>
      <c r="N935" s="5">
        <f t="shared" si="370"/>
        <v>76.930722856141259</v>
      </c>
      <c r="O935" s="1">
        <f t="shared" si="371"/>
        <v>0</v>
      </c>
      <c r="P935" s="1">
        <f t="shared" si="372"/>
        <v>1951.13</v>
      </c>
      <c r="Q935" s="5">
        <f t="shared" si="373"/>
        <v>0.21917808219178087</v>
      </c>
      <c r="R935" s="5">
        <f t="shared" si="374"/>
        <v>-0.4919313694135537</v>
      </c>
      <c r="S935" s="5">
        <f t="shared" si="357"/>
        <v>76.930722856141259</v>
      </c>
      <c r="T935" s="5">
        <f t="shared" si="358"/>
        <v>-747.52210128169577</v>
      </c>
      <c r="U935" s="4">
        <f t="shared" si="359"/>
        <v>1523707.758770931</v>
      </c>
      <c r="V935" s="4">
        <f t="shared" si="375"/>
        <v>73.76415369173246</v>
      </c>
      <c r="W935" s="4">
        <f t="shared" si="360"/>
        <v>1466200.3431683886</v>
      </c>
      <c r="X935" s="4">
        <f t="shared" si="364"/>
        <v>-2819.1855293808039</v>
      </c>
      <c r="Y935" s="9">
        <f>SUM($X$6:X935)</f>
        <v>466200.34316838859</v>
      </c>
      <c r="Z935" s="16">
        <f t="shared" si="365"/>
        <v>0.4662003431683886</v>
      </c>
      <c r="AA935" s="16">
        <f t="shared" si="361"/>
        <v>0.52931733826131899</v>
      </c>
      <c r="AB935" s="16">
        <f t="shared" si="362"/>
        <v>-1.9190932961115268E-3</v>
      </c>
      <c r="AC935" s="16">
        <f t="shared" si="363"/>
        <v>-4.0896458529869114E-3</v>
      </c>
    </row>
    <row r="936" spans="1:29" x14ac:dyDescent="0.15">
      <c r="A936" s="8">
        <v>42262</v>
      </c>
      <c r="B936" s="4">
        <v>1978.09</v>
      </c>
      <c r="C936" s="1">
        <v>18.791</v>
      </c>
      <c r="D936" s="1">
        <v>2.2000000000000002</v>
      </c>
      <c r="E936" s="1">
        <v>0.33800000000000002</v>
      </c>
      <c r="F936" s="4">
        <f t="shared" si="353"/>
        <v>0.18790999999999999</v>
      </c>
      <c r="G936" s="4">
        <f t="shared" si="354"/>
        <v>2.2000000000000002E-2</v>
      </c>
      <c r="H936" s="4">
        <f t="shared" si="355"/>
        <v>3.3800000000000002E-3</v>
      </c>
      <c r="I936" s="3">
        <f t="shared" si="356"/>
        <v>78.448726190668111</v>
      </c>
      <c r="J936" s="4">
        <f t="shared" si="366"/>
        <v>1523707.758770931</v>
      </c>
      <c r="K936" s="1">
        <f t="shared" si="367"/>
        <v>1951.13</v>
      </c>
      <c r="L936" s="5">
        <f t="shared" si="368"/>
        <v>0.21643835616438362</v>
      </c>
      <c r="M936" s="5">
        <f t="shared" si="369"/>
        <v>-0.43649006012909081</v>
      </c>
      <c r="N936" s="5">
        <f t="shared" si="370"/>
        <v>59.231341350150728</v>
      </c>
      <c r="O936" s="1">
        <f t="shared" si="371"/>
        <v>0</v>
      </c>
      <c r="P936" s="1">
        <f t="shared" si="372"/>
        <v>1951.13</v>
      </c>
      <c r="Q936" s="5">
        <f t="shared" si="373"/>
        <v>0.21643835616438362</v>
      </c>
      <c r="R936" s="5">
        <f t="shared" si="374"/>
        <v>-0.43649006012909081</v>
      </c>
      <c r="S936" s="5">
        <f t="shared" si="357"/>
        <v>59.231341350150728</v>
      </c>
      <c r="T936" s="5">
        <f t="shared" si="358"/>
        <v>-747.52210128169577</v>
      </c>
      <c r="U936" s="4">
        <f t="shared" si="359"/>
        <v>1523781.5229246228</v>
      </c>
      <c r="V936" s="4">
        <f t="shared" si="375"/>
        <v>24.589241561715145</v>
      </c>
      <c r="W936" s="4">
        <f t="shared" si="360"/>
        <v>1479504.7861768247</v>
      </c>
      <c r="X936" s="4">
        <f t="shared" si="364"/>
        <v>13304.443008436123</v>
      </c>
      <c r="Y936" s="9">
        <f>SUM($X$6:X936)</f>
        <v>479504.78617682471</v>
      </c>
      <c r="Z936" s="16">
        <f t="shared" si="365"/>
        <v>0.47950478617682468</v>
      </c>
      <c r="AA936" s="16">
        <f t="shared" si="361"/>
        <v>0.54894053529199882</v>
      </c>
      <c r="AB936" s="16">
        <f t="shared" si="362"/>
        <v>9.0740962314098637E-3</v>
      </c>
      <c r="AC936" s="16">
        <f t="shared" si="363"/>
        <v>1.2831344116577803E-2</v>
      </c>
    </row>
    <row r="937" spans="1:29" x14ac:dyDescent="0.15">
      <c r="A937" s="8">
        <v>42263</v>
      </c>
      <c r="B937" s="4">
        <v>1995.31</v>
      </c>
      <c r="C937" s="1">
        <v>17.510899999999999</v>
      </c>
      <c r="D937" s="1">
        <v>2.1800000000000002</v>
      </c>
      <c r="E937" s="1">
        <v>0.34339999999999998</v>
      </c>
      <c r="F937" s="4">
        <f t="shared" si="353"/>
        <v>0.17510899999999999</v>
      </c>
      <c r="G937" s="4">
        <f t="shared" si="354"/>
        <v>2.18E-2</v>
      </c>
      <c r="H937" s="4">
        <f t="shared" si="355"/>
        <v>3.434E-3</v>
      </c>
      <c r="I937" s="3">
        <f t="shared" si="356"/>
        <v>74.007397532481974</v>
      </c>
      <c r="J937" s="4">
        <f t="shared" si="366"/>
        <v>1523781.5229246228</v>
      </c>
      <c r="K937" s="1">
        <f t="shared" si="367"/>
        <v>1951.13</v>
      </c>
      <c r="L937" s="5">
        <f t="shared" si="368"/>
        <v>0.21369863013698637</v>
      </c>
      <c r="M937" s="5">
        <f t="shared" si="369"/>
        <v>-0.39228938625640541</v>
      </c>
      <c r="N937" s="5">
        <f t="shared" si="370"/>
        <v>47.008838716452459</v>
      </c>
      <c r="O937" s="1">
        <f t="shared" si="371"/>
        <v>0</v>
      </c>
      <c r="P937" s="1">
        <f t="shared" si="372"/>
        <v>1951.13</v>
      </c>
      <c r="Q937" s="5">
        <f t="shared" si="373"/>
        <v>0.21369863013698637</v>
      </c>
      <c r="R937" s="5">
        <f t="shared" si="374"/>
        <v>-0.39228938625640541</v>
      </c>
      <c r="S937" s="5">
        <f t="shared" si="357"/>
        <v>47.008838716452459</v>
      </c>
      <c r="T937" s="5">
        <f t="shared" si="358"/>
        <v>-747.52210128169577</v>
      </c>
      <c r="U937" s="4">
        <f t="shared" si="359"/>
        <v>1523806.1121661845</v>
      </c>
      <c r="V937" s="4">
        <f t="shared" si="375"/>
        <v>24.589638357969385</v>
      </c>
      <c r="W937" s="4">
        <f t="shared" si="360"/>
        <v>1488665.9662700496</v>
      </c>
      <c r="X937" s="4">
        <f t="shared" si="364"/>
        <v>9161.1800932248589</v>
      </c>
      <c r="Y937" s="9">
        <f>SUM($X$6:X937)</f>
        <v>488665.96627004957</v>
      </c>
      <c r="Z937" s="16">
        <f t="shared" si="365"/>
        <v>0.48866596627004955</v>
      </c>
      <c r="AA937" s="16">
        <f t="shared" si="361"/>
        <v>0.56242463157565037</v>
      </c>
      <c r="AB937" s="16">
        <f t="shared" si="362"/>
        <v>6.1920584365922756E-3</v>
      </c>
      <c r="AC937" s="16">
        <f t="shared" si="363"/>
        <v>8.7053672987579076E-3</v>
      </c>
    </row>
    <row r="938" spans="1:29" x14ac:dyDescent="0.15">
      <c r="A938" s="8">
        <v>42264</v>
      </c>
      <c r="B938" s="4">
        <v>1990.2</v>
      </c>
      <c r="C938" s="1">
        <v>17.809899999999999</v>
      </c>
      <c r="D938" s="1">
        <v>2.1800000000000002</v>
      </c>
      <c r="E938" s="1">
        <v>0.34889999999999999</v>
      </c>
      <c r="F938" s="4">
        <f t="shared" si="353"/>
        <v>0.17809899999999998</v>
      </c>
      <c r="G938" s="4">
        <f t="shared" si="354"/>
        <v>2.18E-2</v>
      </c>
      <c r="H938" s="4">
        <f t="shared" si="355"/>
        <v>3.4889999999999999E-3</v>
      </c>
      <c r="I938" s="3">
        <f t="shared" si="356"/>
        <v>74.982093448034391</v>
      </c>
      <c r="J938" s="4">
        <f t="shared" si="366"/>
        <v>1523806.1121661845</v>
      </c>
      <c r="K938" s="1">
        <f t="shared" si="367"/>
        <v>1951.13</v>
      </c>
      <c r="L938" s="5">
        <f t="shared" si="368"/>
        <v>0.21095890410958912</v>
      </c>
      <c r="M938" s="5">
        <f t="shared" si="369"/>
        <v>-0.4048304011634461</v>
      </c>
      <c r="N938" s="5">
        <f t="shared" si="370"/>
        <v>49.649879070223619</v>
      </c>
      <c r="O938" s="1">
        <f t="shared" si="371"/>
        <v>0</v>
      </c>
      <c r="P938" s="1">
        <f t="shared" si="372"/>
        <v>1951.13</v>
      </c>
      <c r="Q938" s="5">
        <f t="shared" si="373"/>
        <v>0.21095890410958912</v>
      </c>
      <c r="R938" s="5">
        <f t="shared" si="374"/>
        <v>-0.4048304011634461</v>
      </c>
      <c r="S938" s="5">
        <f t="shared" si="357"/>
        <v>49.649879070223619</v>
      </c>
      <c r="T938" s="5">
        <f t="shared" si="358"/>
        <v>-747.52210128169577</v>
      </c>
      <c r="U938" s="4">
        <f t="shared" si="359"/>
        <v>1523830.7018045424</v>
      </c>
      <c r="V938" s="4">
        <f t="shared" si="375"/>
        <v>24.590035160626726</v>
      </c>
      <c r="W938" s="4">
        <f t="shared" si="360"/>
        <v>1486716.3198735868</v>
      </c>
      <c r="X938" s="4">
        <f t="shared" si="364"/>
        <v>-1949.6463964628056</v>
      </c>
      <c r="Y938" s="9">
        <f>SUM($X$6:X938)</f>
        <v>486716.31987358676</v>
      </c>
      <c r="Z938" s="16">
        <f t="shared" si="365"/>
        <v>0.48671631987358677</v>
      </c>
      <c r="AA938" s="16">
        <f t="shared" si="361"/>
        <v>0.55842325341017662</v>
      </c>
      <c r="AB938" s="16">
        <f t="shared" si="362"/>
        <v>-1.3096600853633894E-3</v>
      </c>
      <c r="AC938" s="16">
        <f t="shared" si="363"/>
        <v>-2.5610055580335385E-3</v>
      </c>
    </row>
    <row r="939" spans="1:29" x14ac:dyDescent="0.15">
      <c r="A939" s="8">
        <v>42265</v>
      </c>
      <c r="B939" s="4">
        <v>1958.03</v>
      </c>
      <c r="C939" s="1">
        <v>18.8672</v>
      </c>
      <c r="D939" s="1">
        <v>2.2200000000000002</v>
      </c>
      <c r="E939" s="1">
        <v>0.32269999999999999</v>
      </c>
      <c r="F939" s="4">
        <f t="shared" si="353"/>
        <v>0.18867200000000001</v>
      </c>
      <c r="G939" s="4">
        <f t="shared" si="354"/>
        <v>2.2200000000000001E-2</v>
      </c>
      <c r="H939" s="4">
        <f t="shared" si="355"/>
        <v>3.2269999999999998E-3</v>
      </c>
      <c r="I939" s="3">
        <f t="shared" si="356"/>
        <v>78.037593918865781</v>
      </c>
      <c r="J939" s="4">
        <f t="shared" si="366"/>
        <v>1523830.7018045424</v>
      </c>
      <c r="K939" s="1">
        <f t="shared" si="367"/>
        <v>1951.13</v>
      </c>
      <c r="L939" s="5">
        <f t="shared" si="368"/>
        <v>0.20821917808219187</v>
      </c>
      <c r="M939" s="5">
        <f t="shared" si="369"/>
        <v>-0.4825428525104824</v>
      </c>
      <c r="N939" s="5">
        <f t="shared" si="370"/>
        <v>67.344550781657318</v>
      </c>
      <c r="O939" s="1">
        <f t="shared" si="371"/>
        <v>0</v>
      </c>
      <c r="P939" s="1">
        <f t="shared" si="372"/>
        <v>1951.13</v>
      </c>
      <c r="Q939" s="5">
        <f t="shared" si="373"/>
        <v>0.20821917808219187</v>
      </c>
      <c r="R939" s="5">
        <f t="shared" si="374"/>
        <v>-0.4825428525104824</v>
      </c>
      <c r="S939" s="5">
        <f t="shared" si="357"/>
        <v>67.344550781657318</v>
      </c>
      <c r="T939" s="5">
        <f t="shared" si="358"/>
        <v>-747.52210128169577</v>
      </c>
      <c r="U939" s="4">
        <f t="shared" si="359"/>
        <v>1523855.291839703</v>
      </c>
      <c r="V939" s="4">
        <f t="shared" si="375"/>
        <v>24.590431969687263</v>
      </c>
      <c r="W939" s="4">
        <f t="shared" si="360"/>
        <v>1473513.7517295266</v>
      </c>
      <c r="X939" s="4">
        <f t="shared" si="364"/>
        <v>-13202.568144060206</v>
      </c>
      <c r="Y939" s="9">
        <f>SUM($X$6:X939)</f>
        <v>473513.75172952656</v>
      </c>
      <c r="Z939" s="16">
        <f t="shared" si="365"/>
        <v>0.47351375172952653</v>
      </c>
      <c r="AA939" s="16">
        <f t="shared" si="361"/>
        <v>0.53323258108467897</v>
      </c>
      <c r="AB939" s="16">
        <f t="shared" si="362"/>
        <v>-8.8803546228528648E-3</v>
      </c>
      <c r="AC939" s="16">
        <f t="shared" si="363"/>
        <v>-1.6164204602552544E-2</v>
      </c>
    </row>
    <row r="940" spans="1:29" x14ac:dyDescent="0.15">
      <c r="A940" s="8">
        <v>42268</v>
      </c>
      <c r="B940" s="4">
        <v>1966.97</v>
      </c>
      <c r="C940" s="1">
        <v>17.7073</v>
      </c>
      <c r="D940" s="1">
        <v>2.21</v>
      </c>
      <c r="E940" s="1">
        <v>0.3296</v>
      </c>
      <c r="F940" s="4">
        <f t="shared" si="353"/>
        <v>0.17707300000000001</v>
      </c>
      <c r="G940" s="4">
        <f t="shared" si="354"/>
        <v>2.2099999999999998E-2</v>
      </c>
      <c r="H940" s="4">
        <f t="shared" si="355"/>
        <v>3.2959999999999999E-3</v>
      </c>
      <c r="I940" s="3">
        <f t="shared" si="356"/>
        <v>73.831625362930524</v>
      </c>
      <c r="J940" s="4">
        <f t="shared" si="366"/>
        <v>1523855.291839703</v>
      </c>
      <c r="K940" s="1">
        <f t="shared" si="367"/>
        <v>1951.13</v>
      </c>
      <c r="L940" s="5">
        <f t="shared" si="368"/>
        <v>0.20000000000000009</v>
      </c>
      <c r="M940" s="5">
        <f t="shared" si="369"/>
        <v>-0.46043234743700701</v>
      </c>
      <c r="N940" s="5">
        <f t="shared" si="370"/>
        <v>57.583382754302257</v>
      </c>
      <c r="O940" s="1">
        <f t="shared" si="371"/>
        <v>0</v>
      </c>
      <c r="P940" s="1">
        <f t="shared" si="372"/>
        <v>1951.13</v>
      </c>
      <c r="Q940" s="5">
        <f t="shared" si="373"/>
        <v>0.20000000000000009</v>
      </c>
      <c r="R940" s="5">
        <f t="shared" si="374"/>
        <v>-0.46043234743700701</v>
      </c>
      <c r="S940" s="5">
        <f t="shared" si="357"/>
        <v>57.583382754302257</v>
      </c>
      <c r="T940" s="5">
        <f t="shared" si="358"/>
        <v>-747.52210128169577</v>
      </c>
      <c r="U940" s="4">
        <f t="shared" si="359"/>
        <v>1523879.8822716726</v>
      </c>
      <c r="V940" s="4">
        <f t="shared" si="375"/>
        <v>73.772486355453296</v>
      </c>
      <c r="W940" s="4">
        <f t="shared" si="360"/>
        <v>1480835.0309962684</v>
      </c>
      <c r="X940" s="4">
        <f t="shared" si="364"/>
        <v>7321.2792667418253</v>
      </c>
      <c r="Y940" s="9">
        <f>SUM($X$6:X940)</f>
        <v>480835.03099626838</v>
      </c>
      <c r="Z940" s="16">
        <f t="shared" si="365"/>
        <v>0.4808350309962684</v>
      </c>
      <c r="AA940" s="16">
        <f t="shared" si="361"/>
        <v>0.54023303525284649</v>
      </c>
      <c r="AB940" s="16">
        <f t="shared" si="362"/>
        <v>4.9685856396986623E-3</v>
      </c>
      <c r="AC940" s="16">
        <f t="shared" si="363"/>
        <v>4.5658135983616469E-3</v>
      </c>
    </row>
    <row r="941" spans="1:29" x14ac:dyDescent="0.15">
      <c r="A941" s="8">
        <v>42269</v>
      </c>
      <c r="B941" s="4">
        <v>1942.74</v>
      </c>
      <c r="C941" s="1">
        <v>19.121700000000001</v>
      </c>
      <c r="D941" s="1">
        <v>2.23</v>
      </c>
      <c r="E941" s="1">
        <v>0.3301</v>
      </c>
      <c r="F941" s="4">
        <f t="shared" si="353"/>
        <v>0.191217</v>
      </c>
      <c r="G941" s="4">
        <f t="shared" si="354"/>
        <v>2.23E-2</v>
      </c>
      <c r="H941" s="4">
        <f t="shared" si="355"/>
        <v>3.3010000000000001E-3</v>
      </c>
      <c r="I941" s="3">
        <f t="shared" si="356"/>
        <v>78.412481686589629</v>
      </c>
      <c r="J941" s="4">
        <f t="shared" si="366"/>
        <v>1523879.8822716726</v>
      </c>
      <c r="K941" s="1">
        <f t="shared" si="367"/>
        <v>1951.13</v>
      </c>
      <c r="L941" s="5">
        <f t="shared" si="368"/>
        <v>0.19726027397260285</v>
      </c>
      <c r="M941" s="5">
        <f t="shared" si="369"/>
        <v>-0.51861150525056221</v>
      </c>
      <c r="N941" s="5">
        <f t="shared" si="370"/>
        <v>73.897547079688792</v>
      </c>
      <c r="O941" s="1">
        <f t="shared" si="371"/>
        <v>0</v>
      </c>
      <c r="P941" s="1">
        <f t="shared" si="372"/>
        <v>1951.13</v>
      </c>
      <c r="Q941" s="5">
        <f t="shared" si="373"/>
        <v>0.19726027397260285</v>
      </c>
      <c r="R941" s="5">
        <f t="shared" si="374"/>
        <v>-0.51861150525056221</v>
      </c>
      <c r="S941" s="5">
        <f t="shared" si="357"/>
        <v>73.897547079688792</v>
      </c>
      <c r="T941" s="5">
        <f t="shared" si="358"/>
        <v>-747.52210128169577</v>
      </c>
      <c r="U941" s="4">
        <f t="shared" si="359"/>
        <v>1523953.654758028</v>
      </c>
      <c r="V941" s="4">
        <f t="shared" si="375"/>
        <v>24.592019250752831</v>
      </c>
      <c r="W941" s="4">
        <f t="shared" si="360"/>
        <v>1468713.605085456</v>
      </c>
      <c r="X941" s="4">
        <f t="shared" si="364"/>
        <v>-12121.425910812337</v>
      </c>
      <c r="Y941" s="9">
        <f>SUM($X$6:X941)</f>
        <v>468713.60508545605</v>
      </c>
      <c r="Z941" s="16">
        <f t="shared" si="365"/>
        <v>0.46871360508545606</v>
      </c>
      <c r="AA941" s="16">
        <f t="shared" si="361"/>
        <v>0.52125976853084433</v>
      </c>
      <c r="AB941" s="16">
        <f t="shared" si="362"/>
        <v>-8.1855342810585371E-3</v>
      </c>
      <c r="AC941" s="16">
        <f t="shared" si="363"/>
        <v>-1.2318439020422282E-2</v>
      </c>
    </row>
    <row r="942" spans="1:29" x14ac:dyDescent="0.15">
      <c r="A942" s="8">
        <v>42270</v>
      </c>
      <c r="B942" s="4">
        <v>1938.76</v>
      </c>
      <c r="C942" s="1">
        <v>18.689699999999998</v>
      </c>
      <c r="D942" s="1">
        <v>2.2400000000000002</v>
      </c>
      <c r="E942" s="1">
        <v>0.32900000000000001</v>
      </c>
      <c r="F942" s="4">
        <f t="shared" si="353"/>
        <v>0.18689699999999998</v>
      </c>
      <c r="G942" s="4">
        <f t="shared" si="354"/>
        <v>2.2400000000000003E-2</v>
      </c>
      <c r="H942" s="4">
        <f t="shared" si="355"/>
        <v>3.29E-3</v>
      </c>
      <c r="I942" s="3">
        <f t="shared" si="356"/>
        <v>76.619708308250225</v>
      </c>
      <c r="J942" s="4">
        <f t="shared" si="366"/>
        <v>1523953.654758028</v>
      </c>
      <c r="K942" s="1">
        <f t="shared" si="367"/>
        <v>1951.13</v>
      </c>
      <c r="L942" s="5">
        <f t="shared" si="368"/>
        <v>0.1945205479452056</v>
      </c>
      <c r="M942" s="5">
        <f t="shared" si="369"/>
        <v>-0.52998021199055267</v>
      </c>
      <c r="N942" s="5">
        <f t="shared" si="370"/>
        <v>74.033229879126921</v>
      </c>
      <c r="O942" s="1">
        <f t="shared" si="371"/>
        <v>0</v>
      </c>
      <c r="P942" s="1">
        <f t="shared" si="372"/>
        <v>1951.13</v>
      </c>
      <c r="Q942" s="5">
        <f t="shared" si="373"/>
        <v>0.1945205479452056</v>
      </c>
      <c r="R942" s="5">
        <f t="shared" si="374"/>
        <v>-0.52998021199055267</v>
      </c>
      <c r="S942" s="5">
        <f t="shared" si="357"/>
        <v>74.033229879126921</v>
      </c>
      <c r="T942" s="5">
        <f t="shared" si="358"/>
        <v>-747.52210128169577</v>
      </c>
      <c r="U942" s="4">
        <f t="shared" si="359"/>
        <v>1523978.2467772788</v>
      </c>
      <c r="V942" s="4">
        <f t="shared" si="375"/>
        <v>24.592416091830604</v>
      </c>
      <c r="W942" s="4">
        <f t="shared" si="360"/>
        <v>1468636.7712133632</v>
      </c>
      <c r="X942" s="4">
        <f t="shared" si="364"/>
        <v>-76.833872092887759</v>
      </c>
      <c r="Y942" s="9">
        <f>SUM($X$6:X942)</f>
        <v>468636.77121336316</v>
      </c>
      <c r="Z942" s="16">
        <f t="shared" si="365"/>
        <v>0.46863677121336317</v>
      </c>
      <c r="AA942" s="16">
        <f t="shared" si="361"/>
        <v>0.51814323524344985</v>
      </c>
      <c r="AB942" s="16">
        <f t="shared" si="362"/>
        <v>-5.2313719861277675E-5</v>
      </c>
      <c r="AC942" s="16">
        <f t="shared" si="363"/>
        <v>-2.0486529334857047E-3</v>
      </c>
    </row>
    <row r="943" spans="1:29" x14ac:dyDescent="0.15">
      <c r="A943" s="8">
        <v>42271</v>
      </c>
      <c r="B943" s="4">
        <v>1932.24</v>
      </c>
      <c r="C943" s="1">
        <v>19.487100000000002</v>
      </c>
      <c r="D943" s="1">
        <v>2.25</v>
      </c>
      <c r="E943" s="1">
        <v>0.33</v>
      </c>
      <c r="F943" s="4">
        <f t="shared" si="353"/>
        <v>0.19487100000000002</v>
      </c>
      <c r="G943" s="4">
        <f t="shared" si="354"/>
        <v>2.2499999999999999E-2</v>
      </c>
      <c r="H943" s="4">
        <f t="shared" si="355"/>
        <v>3.3E-3</v>
      </c>
      <c r="I943" s="3">
        <f t="shared" si="356"/>
        <v>79.435476571867738</v>
      </c>
      <c r="J943" s="4">
        <f t="shared" si="366"/>
        <v>1523978.2467772788</v>
      </c>
      <c r="K943" s="1">
        <f t="shared" si="367"/>
        <v>1951.13</v>
      </c>
      <c r="L943" s="5">
        <f t="shared" si="368"/>
        <v>0.19178082191780835</v>
      </c>
      <c r="M943" s="5">
        <f t="shared" si="369"/>
        <v>-0.54322160802148289</v>
      </c>
      <c r="N943" s="5">
        <f t="shared" si="370"/>
        <v>79.722513530212979</v>
      </c>
      <c r="O943" s="1">
        <f t="shared" si="371"/>
        <v>0</v>
      </c>
      <c r="P943" s="1">
        <f t="shared" si="372"/>
        <v>1951.13</v>
      </c>
      <c r="Q943" s="5">
        <f t="shared" si="373"/>
        <v>0.19178082191780835</v>
      </c>
      <c r="R943" s="5">
        <f t="shared" si="374"/>
        <v>-0.54322160802148289</v>
      </c>
      <c r="S943" s="5">
        <f t="shared" si="357"/>
        <v>79.722513530212979</v>
      </c>
      <c r="T943" s="5">
        <f t="shared" si="358"/>
        <v>-747.52210128169577</v>
      </c>
      <c r="U943" s="4">
        <f t="shared" si="359"/>
        <v>1524002.8391933707</v>
      </c>
      <c r="V943" s="4">
        <f t="shared" si="375"/>
        <v>24.5928129393122</v>
      </c>
      <c r="W943" s="4">
        <f t="shared" si="360"/>
        <v>1464408.4983598075</v>
      </c>
      <c r="X943" s="4">
        <f t="shared" si="364"/>
        <v>-4228.2728535556234</v>
      </c>
      <c r="Y943" s="9">
        <f>SUM($X$6:X943)</f>
        <v>464408.49835980753</v>
      </c>
      <c r="Z943" s="16">
        <f t="shared" si="365"/>
        <v>0.46440849835980752</v>
      </c>
      <c r="AA943" s="16">
        <f t="shared" si="361"/>
        <v>0.51303775860178857</v>
      </c>
      <c r="AB943" s="16">
        <f t="shared" si="362"/>
        <v>-2.8790460217486555E-3</v>
      </c>
      <c r="AC943" s="16">
        <f t="shared" si="363"/>
        <v>-3.3629742722152212E-3</v>
      </c>
    </row>
    <row r="944" spans="1:29" x14ac:dyDescent="0.15">
      <c r="A944" s="8">
        <v>42272</v>
      </c>
      <c r="B944" s="4">
        <v>1931.34</v>
      </c>
      <c r="C944" s="1">
        <v>19.629000000000001</v>
      </c>
      <c r="D944" s="1">
        <v>2.25</v>
      </c>
      <c r="E944" s="1">
        <v>0.32969999999999999</v>
      </c>
      <c r="F944" s="4">
        <f t="shared" si="353"/>
        <v>0.19629000000000002</v>
      </c>
      <c r="G944" s="4">
        <f t="shared" si="354"/>
        <v>2.2499999999999999E-2</v>
      </c>
      <c r="H944" s="4">
        <f t="shared" si="355"/>
        <v>3.297E-3</v>
      </c>
      <c r="I944" s="3">
        <f t="shared" si="356"/>
        <v>79.942116726207104</v>
      </c>
      <c r="J944" s="4">
        <f t="shared" si="366"/>
        <v>1524002.8391933707</v>
      </c>
      <c r="K944" s="1">
        <f t="shared" si="367"/>
        <v>1951.13</v>
      </c>
      <c r="L944" s="5">
        <f t="shared" si="368"/>
        <v>0.1890410958904111</v>
      </c>
      <c r="M944" s="5">
        <f t="shared" si="369"/>
        <v>-0.54516350993953577</v>
      </c>
      <c r="N944" s="5">
        <f t="shared" si="370"/>
        <v>80.162318544150551</v>
      </c>
      <c r="O944" s="1">
        <f t="shared" si="371"/>
        <v>0</v>
      </c>
      <c r="P944" s="1">
        <f t="shared" si="372"/>
        <v>1951.13</v>
      </c>
      <c r="Q944" s="5">
        <f t="shared" si="373"/>
        <v>0.1890410958904111</v>
      </c>
      <c r="R944" s="5">
        <f t="shared" si="374"/>
        <v>-0.54516350993953577</v>
      </c>
      <c r="S944" s="5">
        <f t="shared" si="357"/>
        <v>80.162318544150551</v>
      </c>
      <c r="T944" s="5">
        <f t="shared" si="358"/>
        <v>-747.52210128169577</v>
      </c>
      <c r="U944" s="4">
        <f t="shared" si="359"/>
        <v>1524027.43200631</v>
      </c>
      <c r="V944" s="4">
        <f t="shared" si="375"/>
        <v>24.593209793197712</v>
      </c>
      <c r="W944" s="4">
        <f t="shared" si="360"/>
        <v>1464104.3272045739</v>
      </c>
      <c r="X944" s="4">
        <f t="shared" si="364"/>
        <v>-304.17115523363464</v>
      </c>
      <c r="Y944" s="9">
        <f>SUM($X$6:X944)</f>
        <v>464104.3272045739</v>
      </c>
      <c r="Z944" s="16">
        <f t="shared" si="365"/>
        <v>0.4641043272045739</v>
      </c>
      <c r="AA944" s="16">
        <f t="shared" si="361"/>
        <v>0.51233301489358374</v>
      </c>
      <c r="AB944" s="16">
        <f t="shared" si="362"/>
        <v>-2.0770922565275859E-4</v>
      </c>
      <c r="AC944" s="16">
        <f t="shared" si="363"/>
        <v>-4.6578064836670961E-4</v>
      </c>
    </row>
    <row r="945" spans="1:29" x14ac:dyDescent="0.15">
      <c r="A945" s="8">
        <v>42275</v>
      </c>
      <c r="B945" s="4">
        <v>1881.77</v>
      </c>
      <c r="C945" s="1">
        <v>21.706099999999999</v>
      </c>
      <c r="D945" s="1">
        <v>2.31</v>
      </c>
      <c r="E945" s="1">
        <v>0.33389999999999997</v>
      </c>
      <c r="F945" s="4">
        <f t="shared" si="353"/>
        <v>0.217061</v>
      </c>
      <c r="G945" s="4">
        <f t="shared" si="354"/>
        <v>2.3099999999999999E-2</v>
      </c>
      <c r="H945" s="4">
        <f t="shared" si="355"/>
        <v>3.339E-3</v>
      </c>
      <c r="I945" s="3">
        <f t="shared" si="356"/>
        <v>85.760796114178163</v>
      </c>
      <c r="J945" s="4">
        <f t="shared" si="366"/>
        <v>1524027.43200631</v>
      </c>
      <c r="K945" s="1">
        <f t="shared" si="367"/>
        <v>1951.13</v>
      </c>
      <c r="L945" s="5">
        <f t="shared" si="368"/>
        <v>0.18082191780821932</v>
      </c>
      <c r="M945" s="5">
        <f t="shared" si="369"/>
        <v>-0.64706598639668633</v>
      </c>
      <c r="N945" s="5">
        <f t="shared" si="370"/>
        <v>114.81883567604947</v>
      </c>
      <c r="O945" s="1">
        <f t="shared" si="371"/>
        <v>0</v>
      </c>
      <c r="P945" s="1">
        <f t="shared" si="372"/>
        <v>1951.13</v>
      </c>
      <c r="Q945" s="5">
        <f t="shared" si="373"/>
        <v>0.18082191780821932</v>
      </c>
      <c r="R945" s="5">
        <f t="shared" si="374"/>
        <v>-0.64706598639668633</v>
      </c>
      <c r="S945" s="5">
        <f t="shared" si="357"/>
        <v>114.81883567604947</v>
      </c>
      <c r="T945" s="5">
        <f t="shared" si="358"/>
        <v>-747.52210128169577</v>
      </c>
      <c r="U945" s="4">
        <f t="shared" si="359"/>
        <v>1524052.0252161031</v>
      </c>
      <c r="V945" s="4">
        <f t="shared" si="375"/>
        <v>73.780819960461741</v>
      </c>
      <c r="W945" s="4">
        <f t="shared" si="360"/>
        <v>1438222.4079048247</v>
      </c>
      <c r="X945" s="4">
        <f t="shared" si="364"/>
        <v>-25881.919299749192</v>
      </c>
      <c r="Y945" s="9">
        <f>SUM($X$6:X945)</f>
        <v>438222.40790482471</v>
      </c>
      <c r="Z945" s="16">
        <f t="shared" si="365"/>
        <v>0.4382224079048247</v>
      </c>
      <c r="AA945" s="16">
        <f t="shared" si="361"/>
        <v>0.47351729754279365</v>
      </c>
      <c r="AB945" s="16">
        <f t="shared" si="362"/>
        <v>-1.7677646885427726E-2</v>
      </c>
      <c r="AC945" s="16">
        <f t="shared" si="363"/>
        <v>-2.5666117824929811E-2</v>
      </c>
    </row>
    <row r="946" spans="1:29" x14ac:dyDescent="0.15">
      <c r="A946" s="8">
        <v>42276</v>
      </c>
      <c r="B946" s="4">
        <v>1884.09</v>
      </c>
      <c r="C946" s="1">
        <v>21.3766</v>
      </c>
      <c r="D946" s="1">
        <v>2.2999999999999998</v>
      </c>
      <c r="E946" s="1">
        <v>0.33250000000000002</v>
      </c>
      <c r="F946" s="4">
        <f t="shared" si="353"/>
        <v>0.21376600000000001</v>
      </c>
      <c r="G946" s="4">
        <f t="shared" si="354"/>
        <v>2.3E-2</v>
      </c>
      <c r="H946" s="4">
        <f t="shared" si="355"/>
        <v>3.3250000000000003E-3</v>
      </c>
      <c r="I946" s="3">
        <f t="shared" si="356"/>
        <v>84.617364973394146</v>
      </c>
      <c r="J946" s="4">
        <f t="shared" si="366"/>
        <v>1524052.0252161031</v>
      </c>
      <c r="K946" s="1">
        <f t="shared" si="367"/>
        <v>1951.13</v>
      </c>
      <c r="L946" s="5">
        <f t="shared" si="368"/>
        <v>0.17808219178082207</v>
      </c>
      <c r="M946" s="5">
        <f t="shared" si="369"/>
        <v>-0.64586742798904129</v>
      </c>
      <c r="N946" s="5">
        <f t="shared" si="370"/>
        <v>111.78122379934017</v>
      </c>
      <c r="O946" s="1">
        <f t="shared" si="371"/>
        <v>0</v>
      </c>
      <c r="P946" s="1">
        <f t="shared" si="372"/>
        <v>1951.13</v>
      </c>
      <c r="Q946" s="5">
        <f t="shared" si="373"/>
        <v>0.17808219178082207</v>
      </c>
      <c r="R946" s="5">
        <f t="shared" si="374"/>
        <v>-0.64586742798904129</v>
      </c>
      <c r="S946" s="5">
        <f t="shared" si="357"/>
        <v>111.78122379934017</v>
      </c>
      <c r="T946" s="5">
        <f t="shared" si="358"/>
        <v>-747.52210128169577</v>
      </c>
      <c r="U946" s="4">
        <f t="shared" si="359"/>
        <v>1524125.8060360635</v>
      </c>
      <c r="V946" s="4">
        <f t="shared" si="375"/>
        <v>24.594797253568252</v>
      </c>
      <c r="W946" s="4">
        <f t="shared" si="360"/>
        <v>1440566.8707377412</v>
      </c>
      <c r="X946" s="4">
        <f t="shared" si="364"/>
        <v>2344.462832916528</v>
      </c>
      <c r="Y946" s="9">
        <f>SUM($X$6:X946)</f>
        <v>440566.87073774124</v>
      </c>
      <c r="Z946" s="16">
        <f t="shared" si="365"/>
        <v>0.44056687073774126</v>
      </c>
      <c r="AA946" s="16">
        <f t="shared" si="361"/>
        <v>0.47533397021283258</v>
      </c>
      <c r="AB946" s="16">
        <f t="shared" si="362"/>
        <v>1.6301114626157836E-3</v>
      </c>
      <c r="AC946" s="16">
        <f t="shared" si="363"/>
        <v>1.2328818080849075E-3</v>
      </c>
    </row>
    <row r="947" spans="1:29" x14ac:dyDescent="0.15">
      <c r="A947" s="8">
        <v>42277</v>
      </c>
      <c r="B947" s="4">
        <v>1920.03</v>
      </c>
      <c r="C947" s="1">
        <v>20.121500000000001</v>
      </c>
      <c r="D947" s="1">
        <v>2.2599999999999998</v>
      </c>
      <c r="E947" s="1">
        <v>0.33210000000000001</v>
      </c>
      <c r="F947" s="4">
        <f t="shared" si="353"/>
        <v>0.201215</v>
      </c>
      <c r="G947" s="4">
        <f t="shared" si="354"/>
        <v>2.2599999999999999E-2</v>
      </c>
      <c r="H947" s="4">
        <f t="shared" si="355"/>
        <v>3.3210000000000002E-3</v>
      </c>
      <c r="I947" s="3">
        <f t="shared" si="356"/>
        <v>81.364642108337961</v>
      </c>
      <c r="J947" s="4">
        <f t="shared" si="366"/>
        <v>1524125.8060360635</v>
      </c>
      <c r="K947" s="1">
        <f t="shared" si="367"/>
        <v>1951.13</v>
      </c>
      <c r="L947" s="5">
        <f t="shared" si="368"/>
        <v>0.17534246575342483</v>
      </c>
      <c r="M947" s="5">
        <f t="shared" si="369"/>
        <v>-0.5725602981766077</v>
      </c>
      <c r="N947" s="5">
        <f t="shared" si="370"/>
        <v>85.394657369428643</v>
      </c>
      <c r="O947" s="1">
        <f t="shared" si="371"/>
        <v>0</v>
      </c>
      <c r="P947" s="1">
        <f t="shared" si="372"/>
        <v>1951.13</v>
      </c>
      <c r="Q947" s="5">
        <f t="shared" si="373"/>
        <v>0.17534246575342483</v>
      </c>
      <c r="R947" s="5">
        <f t="shared" si="374"/>
        <v>-0.5725602981766077</v>
      </c>
      <c r="S947" s="5">
        <f t="shared" si="357"/>
        <v>85.394657369428643</v>
      </c>
      <c r="T947" s="5">
        <f t="shared" si="358"/>
        <v>-747.52210128169577</v>
      </c>
      <c r="U947" s="4">
        <f t="shared" si="359"/>
        <v>1524150.4008333171</v>
      </c>
      <c r="V947" s="4">
        <f t="shared" si="375"/>
        <v>24.595194139474621</v>
      </c>
      <c r="W947" s="4">
        <f t="shared" si="360"/>
        <v>1460316.0071182912</v>
      </c>
      <c r="X947" s="4">
        <f t="shared" si="364"/>
        <v>19749.136380549986</v>
      </c>
      <c r="Y947" s="9">
        <f>SUM($X$6:X947)</f>
        <v>460316.00711829122</v>
      </c>
      <c r="Z947" s="16">
        <f t="shared" si="365"/>
        <v>0.46031600711829124</v>
      </c>
      <c r="AA947" s="16">
        <f t="shared" si="361"/>
        <v>0.50347673562714368</v>
      </c>
      <c r="AB947" s="16">
        <f t="shared" si="362"/>
        <v>1.3709281243179001E-2</v>
      </c>
      <c r="AC947" s="16">
        <f t="shared" si="363"/>
        <v>1.9075521869974393E-2</v>
      </c>
    </row>
    <row r="948" spans="1:29" x14ac:dyDescent="0.15">
      <c r="A948" s="8">
        <v>42278</v>
      </c>
      <c r="B948" s="4">
        <v>1923.82</v>
      </c>
      <c r="C948" s="1">
        <v>19.422699999999999</v>
      </c>
      <c r="D948" s="1">
        <v>2.27</v>
      </c>
      <c r="E948" s="1">
        <v>0.33119999999999999</v>
      </c>
      <c r="F948" s="4">
        <f t="shared" si="353"/>
        <v>0.19422699999999998</v>
      </c>
      <c r="G948" s="4">
        <f t="shared" si="354"/>
        <v>2.2700000000000001E-2</v>
      </c>
      <c r="H948" s="4">
        <f t="shared" si="355"/>
        <v>3.3119999999999998E-3</v>
      </c>
      <c r="I948" s="3">
        <f t="shared" si="356"/>
        <v>78.888548555562565</v>
      </c>
      <c r="J948" s="4">
        <f t="shared" si="366"/>
        <v>1524150.4008333171</v>
      </c>
      <c r="K948" s="1">
        <f t="shared" si="367"/>
        <v>1951.13</v>
      </c>
      <c r="L948" s="5">
        <f t="shared" si="368"/>
        <v>0.17260273972602758</v>
      </c>
      <c r="M948" s="5">
        <f t="shared" si="369"/>
        <v>-0.56755090356247317</v>
      </c>
      <c r="N948" s="5">
        <f t="shared" si="370"/>
        <v>80.520577019847721</v>
      </c>
      <c r="O948" s="1">
        <f t="shared" si="371"/>
        <v>0</v>
      </c>
      <c r="P948" s="1">
        <f t="shared" si="372"/>
        <v>1951.13</v>
      </c>
      <c r="Q948" s="5">
        <f t="shared" si="373"/>
        <v>0.17260273972602758</v>
      </c>
      <c r="R948" s="5">
        <f t="shared" si="374"/>
        <v>-0.56755090356247317</v>
      </c>
      <c r="S948" s="5">
        <f t="shared" si="357"/>
        <v>80.520577019847721</v>
      </c>
      <c r="T948" s="5">
        <f t="shared" si="358"/>
        <v>-747.52210128169577</v>
      </c>
      <c r="U948" s="4">
        <f t="shared" si="359"/>
        <v>1524174.9960274566</v>
      </c>
      <c r="V948" s="4">
        <f t="shared" si="375"/>
        <v>24.595591031785528</v>
      </c>
      <c r="W948" s="4">
        <f t="shared" si="360"/>
        <v>1463984.0850971653</v>
      </c>
      <c r="X948" s="4">
        <f t="shared" si="364"/>
        <v>3668.0779788740911</v>
      </c>
      <c r="Y948" s="9">
        <f>SUM($X$6:X948)</f>
        <v>463984.08509716531</v>
      </c>
      <c r="Z948" s="16">
        <f t="shared" si="365"/>
        <v>0.46398408509716532</v>
      </c>
      <c r="AA948" s="16">
        <f t="shared" si="361"/>
        <v>0.50644448968725042</v>
      </c>
      <c r="AB948" s="16">
        <f t="shared" si="362"/>
        <v>2.5118385068670706E-3</v>
      </c>
      <c r="AC948" s="16">
        <f t="shared" si="363"/>
        <v>1.9739274907162718E-3</v>
      </c>
    </row>
    <row r="949" spans="1:29" x14ac:dyDescent="0.15">
      <c r="A949" s="8">
        <v>42279</v>
      </c>
      <c r="B949" s="4">
        <v>1951.36</v>
      </c>
      <c r="C949" s="1">
        <v>18.5334</v>
      </c>
      <c r="D949" s="1">
        <v>2.2400000000000002</v>
      </c>
      <c r="E949" s="1">
        <v>0.33439999999999998</v>
      </c>
      <c r="F949" s="4">
        <f t="shared" si="353"/>
        <v>0.185334</v>
      </c>
      <c r="G949" s="4">
        <f t="shared" si="354"/>
        <v>2.2400000000000003E-2</v>
      </c>
      <c r="H949" s="4">
        <f t="shared" si="355"/>
        <v>3.3439999999999998E-3</v>
      </c>
      <c r="I949" s="3">
        <f t="shared" si="356"/>
        <v>76.499356028803874</v>
      </c>
      <c r="J949" s="4">
        <f t="shared" si="366"/>
        <v>1524174.9960274566</v>
      </c>
      <c r="K949" s="1">
        <f t="shared" si="367"/>
        <v>1951.13</v>
      </c>
      <c r="L949" s="5">
        <f t="shared" si="368"/>
        <v>0.16986301369863033</v>
      </c>
      <c r="M949" s="5">
        <f t="shared" si="369"/>
        <v>-0.49915085127726144</v>
      </c>
      <c r="N949" s="5">
        <f t="shared" si="370"/>
        <v>62.401764017763625</v>
      </c>
      <c r="O949" s="1">
        <f t="shared" si="371"/>
        <v>0</v>
      </c>
      <c r="P949" s="1">
        <f t="shared" si="372"/>
        <v>1951.13</v>
      </c>
      <c r="Q949" s="5">
        <f t="shared" si="373"/>
        <v>0.16986301369863033</v>
      </c>
      <c r="R949" s="5">
        <f t="shared" si="374"/>
        <v>-0.49915085127726144</v>
      </c>
      <c r="S949" s="5">
        <f t="shared" si="357"/>
        <v>62.401764017763625</v>
      </c>
      <c r="T949" s="5">
        <f t="shared" si="358"/>
        <v>-747.52210128169577</v>
      </c>
      <c r="U949" s="4">
        <f t="shared" si="359"/>
        <v>1524199.5916184883</v>
      </c>
      <c r="V949" s="4">
        <f t="shared" si="375"/>
        <v>24.595987930501082</v>
      </c>
      <c r="W949" s="4">
        <f t="shared" si="360"/>
        <v>1477552.8938562451</v>
      </c>
      <c r="X949" s="4">
        <f t="shared" si="364"/>
        <v>13568.80875907978</v>
      </c>
      <c r="Y949" s="9">
        <f>SUM($X$6:X949)</f>
        <v>477552.89385624509</v>
      </c>
      <c r="Z949" s="16">
        <f t="shared" si="365"/>
        <v>0.47755289385624511</v>
      </c>
      <c r="AA949" s="16">
        <f t="shared" si="361"/>
        <v>0.52800964715831677</v>
      </c>
      <c r="AB949" s="16">
        <f t="shared" si="362"/>
        <v>9.2684127492951626E-3</v>
      </c>
      <c r="AC949" s="16">
        <f t="shared" si="363"/>
        <v>1.4315268580220584E-2</v>
      </c>
    </row>
    <row r="950" spans="1:29" x14ac:dyDescent="0.15">
      <c r="A950" s="8">
        <v>42282</v>
      </c>
      <c r="B950" s="4">
        <v>1987.05</v>
      </c>
      <c r="C950" s="1">
        <v>17.390799999999999</v>
      </c>
      <c r="D950" s="1">
        <v>2.2000000000000002</v>
      </c>
      <c r="E950" s="1">
        <v>0.33040000000000003</v>
      </c>
      <c r="F950" s="4">
        <f t="shared" si="353"/>
        <v>0.17390799999999998</v>
      </c>
      <c r="G950" s="4">
        <f t="shared" si="354"/>
        <v>2.2000000000000002E-2</v>
      </c>
      <c r="H950" s="4">
        <f t="shared" si="355"/>
        <v>3.3040000000000001E-3</v>
      </c>
      <c r="I950" s="3">
        <f t="shared" si="356"/>
        <v>73.312555332176331</v>
      </c>
      <c r="J950" s="4">
        <f t="shared" si="366"/>
        <v>1524199.5916184883</v>
      </c>
      <c r="K950" s="1">
        <f t="shared" si="367"/>
        <v>1951.13</v>
      </c>
      <c r="L950" s="5">
        <f t="shared" si="368"/>
        <v>0.16164383561643855</v>
      </c>
      <c r="M950" s="5">
        <f t="shared" si="369"/>
        <v>-0.39885106899985556</v>
      </c>
      <c r="N950" s="5">
        <f t="shared" si="370"/>
        <v>41.140258252410163</v>
      </c>
      <c r="O950" s="1">
        <f t="shared" si="371"/>
        <v>0</v>
      </c>
      <c r="P950" s="1">
        <f t="shared" si="372"/>
        <v>1951.13</v>
      </c>
      <c r="Q950" s="5">
        <f t="shared" si="373"/>
        <v>0.16164383561643855</v>
      </c>
      <c r="R950" s="5">
        <f t="shared" si="374"/>
        <v>-0.39885106899985556</v>
      </c>
      <c r="S950" s="5">
        <f t="shared" si="357"/>
        <v>41.140258252410163</v>
      </c>
      <c r="T950" s="5">
        <f t="shared" si="358"/>
        <v>-747.52210128169577</v>
      </c>
      <c r="U950" s="4">
        <f t="shared" si="359"/>
        <v>1524224.1876064187</v>
      </c>
      <c r="V950" s="4">
        <f t="shared" si="375"/>
        <v>73.789154506864151</v>
      </c>
      <c r="W950" s="4">
        <f t="shared" si="360"/>
        <v>1493470.9353103056</v>
      </c>
      <c r="X950" s="4">
        <f t="shared" si="364"/>
        <v>15918.041454060469</v>
      </c>
      <c r="Y950" s="9">
        <f>SUM($X$6:X950)</f>
        <v>493470.93531030556</v>
      </c>
      <c r="Z950" s="16">
        <f t="shared" si="365"/>
        <v>0.49347093531030556</v>
      </c>
      <c r="AA950" s="16">
        <f t="shared" si="361"/>
        <v>0.55595665043145981</v>
      </c>
      <c r="AB950" s="16">
        <f t="shared" si="362"/>
        <v>1.0773246440278824E-2</v>
      </c>
      <c r="AC950" s="16">
        <f t="shared" si="363"/>
        <v>1.8289808133814395E-2</v>
      </c>
    </row>
    <row r="951" spans="1:29" x14ac:dyDescent="0.15">
      <c r="A951" s="8">
        <v>42283</v>
      </c>
      <c r="B951" s="4">
        <v>1979.92</v>
      </c>
      <c r="C951" s="1">
        <v>17.277000000000001</v>
      </c>
      <c r="D951" s="1">
        <v>2.2000000000000002</v>
      </c>
      <c r="E951" s="1">
        <v>0.3251</v>
      </c>
      <c r="F951" s="4">
        <f t="shared" si="353"/>
        <v>0.17277000000000001</v>
      </c>
      <c r="G951" s="4">
        <f t="shared" si="354"/>
        <v>2.2000000000000002E-2</v>
      </c>
      <c r="H951" s="4">
        <f t="shared" si="355"/>
        <v>3.251E-3</v>
      </c>
      <c r="I951" s="3">
        <f t="shared" si="356"/>
        <v>72.617233506215456</v>
      </c>
      <c r="J951" s="4">
        <f t="shared" si="366"/>
        <v>1524224.1876064187</v>
      </c>
      <c r="K951" s="1">
        <f t="shared" si="367"/>
        <v>1951.13</v>
      </c>
      <c r="L951" s="5">
        <f t="shared" si="368"/>
        <v>0.1589041095890413</v>
      </c>
      <c r="M951" s="5">
        <f t="shared" si="369"/>
        <v>-0.41776825081280855</v>
      </c>
      <c r="N951" s="5">
        <f t="shared" si="370"/>
        <v>43.21152899048672</v>
      </c>
      <c r="O951" s="1">
        <f t="shared" si="371"/>
        <v>0</v>
      </c>
      <c r="P951" s="1">
        <f t="shared" si="372"/>
        <v>1951.13</v>
      </c>
      <c r="Q951" s="5">
        <f t="shared" si="373"/>
        <v>0.1589041095890413</v>
      </c>
      <c r="R951" s="5">
        <f t="shared" si="374"/>
        <v>-0.41776825081280855</v>
      </c>
      <c r="S951" s="5">
        <f t="shared" si="357"/>
        <v>43.21152899048672</v>
      </c>
      <c r="T951" s="5">
        <f t="shared" si="358"/>
        <v>-747.52210128169577</v>
      </c>
      <c r="U951" s="4">
        <f t="shared" si="359"/>
        <v>1524297.9767609255</v>
      </c>
      <c r="V951" s="4">
        <f t="shared" si="375"/>
        <v>24.597575570196852</v>
      </c>
      <c r="W951" s="4">
        <f t="shared" si="360"/>
        <v>1491996.4038103619</v>
      </c>
      <c r="X951" s="4">
        <f t="shared" si="364"/>
        <v>-1474.531499943696</v>
      </c>
      <c r="Y951" s="9">
        <f>SUM($X$6:X951)</f>
        <v>491996.40381036187</v>
      </c>
      <c r="Z951" s="16">
        <f t="shared" si="365"/>
        <v>0.49199640381036186</v>
      </c>
      <c r="AA951" s="16">
        <f t="shared" si="361"/>
        <v>0.55037351416534863</v>
      </c>
      <c r="AB951" s="16">
        <f t="shared" si="362"/>
        <v>-9.8731851091385684E-4</v>
      </c>
      <c r="AC951" s="16">
        <f t="shared" si="363"/>
        <v>-3.5882338139452364E-3</v>
      </c>
    </row>
    <row r="952" spans="1:29" x14ac:dyDescent="0.15">
      <c r="A952" s="8">
        <v>42284</v>
      </c>
      <c r="B952" s="4">
        <v>1995.83</v>
      </c>
      <c r="C952" s="1">
        <v>16.690999999999999</v>
      </c>
      <c r="D952" s="1">
        <v>2.19</v>
      </c>
      <c r="E952" s="1">
        <v>0.32550000000000001</v>
      </c>
      <c r="F952" s="4">
        <f t="shared" si="353"/>
        <v>0.16691</v>
      </c>
      <c r="G952" s="4">
        <f t="shared" si="354"/>
        <v>2.1899999999999999E-2</v>
      </c>
      <c r="H952" s="4">
        <f t="shared" si="355"/>
        <v>3.2550000000000001E-3</v>
      </c>
      <c r="I952" s="3">
        <f t="shared" si="356"/>
        <v>70.857867841379644</v>
      </c>
      <c r="J952" s="4">
        <f t="shared" si="366"/>
        <v>1524297.9767609255</v>
      </c>
      <c r="K952" s="1">
        <f t="shared" si="367"/>
        <v>1951.13</v>
      </c>
      <c r="L952" s="5">
        <f t="shared" si="368"/>
        <v>0.15616438356164405</v>
      </c>
      <c r="M952" s="5">
        <f t="shared" si="369"/>
        <v>-0.36858710272357847</v>
      </c>
      <c r="N952" s="5">
        <f t="shared" si="370"/>
        <v>34.681312502706255</v>
      </c>
      <c r="O952" s="1">
        <f t="shared" si="371"/>
        <v>0</v>
      </c>
      <c r="P952" s="1">
        <f t="shared" si="372"/>
        <v>1951.13</v>
      </c>
      <c r="Q952" s="5">
        <f t="shared" si="373"/>
        <v>0.15616438356164405</v>
      </c>
      <c r="R952" s="5">
        <f t="shared" si="374"/>
        <v>-0.36858710272357847</v>
      </c>
      <c r="S952" s="5">
        <f t="shared" si="357"/>
        <v>34.681312502706255</v>
      </c>
      <c r="T952" s="5">
        <f t="shared" si="358"/>
        <v>-747.52210128169577</v>
      </c>
      <c r="U952" s="4">
        <f t="shared" si="359"/>
        <v>1524322.5743364957</v>
      </c>
      <c r="V952" s="4">
        <f t="shared" si="375"/>
        <v>24.597972500936876</v>
      </c>
      <c r="W952" s="4">
        <f t="shared" si="360"/>
        <v>1498397.5267392655</v>
      </c>
      <c r="X952" s="4">
        <f t="shared" si="364"/>
        <v>6401.122928903671</v>
      </c>
      <c r="Y952" s="9">
        <f>SUM($X$6:X952)</f>
        <v>498397.52673926554</v>
      </c>
      <c r="Z952" s="16">
        <f t="shared" si="365"/>
        <v>0.49839752673926552</v>
      </c>
      <c r="AA952" s="16">
        <f t="shared" si="361"/>
        <v>0.56283181682927974</v>
      </c>
      <c r="AB952" s="16">
        <f t="shared" si="362"/>
        <v>4.2903072102292257E-3</v>
      </c>
      <c r="AC952" s="16">
        <f t="shared" si="363"/>
        <v>8.0356782092205013E-3</v>
      </c>
    </row>
    <row r="953" spans="1:29" x14ac:dyDescent="0.15">
      <c r="A953" s="8">
        <v>42285</v>
      </c>
      <c r="B953" s="4">
        <v>2013.43</v>
      </c>
      <c r="C953" s="1">
        <v>15.906499999999999</v>
      </c>
      <c r="D953" s="1">
        <v>2.17</v>
      </c>
      <c r="E953" s="1">
        <v>0.32669999999999999</v>
      </c>
      <c r="F953" s="4">
        <f t="shared" si="353"/>
        <v>0.15906499999999998</v>
      </c>
      <c r="G953" s="4">
        <f t="shared" si="354"/>
        <v>2.1700000000000001E-2</v>
      </c>
      <c r="H953" s="4">
        <f t="shared" si="355"/>
        <v>3.2669999999999999E-3</v>
      </c>
      <c r="I953" s="3">
        <f t="shared" si="356"/>
        <v>68.299972859955659</v>
      </c>
      <c r="J953" s="4">
        <f t="shared" si="366"/>
        <v>1524322.5743364957</v>
      </c>
      <c r="K953" s="1">
        <f t="shared" si="367"/>
        <v>1951.13</v>
      </c>
      <c r="L953" s="5">
        <f t="shared" si="368"/>
        <v>0.15342465753424681</v>
      </c>
      <c r="M953" s="5">
        <f t="shared" si="369"/>
        <v>-0.31094755670966434</v>
      </c>
      <c r="N953" s="5">
        <f t="shared" si="370"/>
        <v>25.965669816892586</v>
      </c>
      <c r="O953" s="1">
        <f t="shared" si="371"/>
        <v>0</v>
      </c>
      <c r="P953" s="1">
        <f t="shared" si="372"/>
        <v>1951.13</v>
      </c>
      <c r="Q953" s="5">
        <f t="shared" si="373"/>
        <v>0.15342465753424681</v>
      </c>
      <c r="R953" s="5">
        <f t="shared" si="374"/>
        <v>-0.31094755670966434</v>
      </c>
      <c r="S953" s="5">
        <f t="shared" si="357"/>
        <v>25.965669816892586</v>
      </c>
      <c r="T953" s="5">
        <f t="shared" si="358"/>
        <v>-747.52210128169577</v>
      </c>
      <c r="U953" s="4">
        <f t="shared" si="359"/>
        <v>1524347.1723089966</v>
      </c>
      <c r="V953" s="4">
        <f t="shared" si="375"/>
        <v>24.598369438082162</v>
      </c>
      <c r="W953" s="4">
        <f t="shared" si="360"/>
        <v>1504937.2602462864</v>
      </c>
      <c r="X953" s="4">
        <f t="shared" si="364"/>
        <v>6539.7335070208646</v>
      </c>
      <c r="Y953" s="9">
        <f>SUM($X$6:X953)</f>
        <v>504937.2602462864</v>
      </c>
      <c r="Z953" s="16">
        <f t="shared" si="365"/>
        <v>0.50493726024628638</v>
      </c>
      <c r="AA953" s="16">
        <f t="shared" si="361"/>
        <v>0.57661347156750675</v>
      </c>
      <c r="AB953" s="16">
        <f t="shared" si="362"/>
        <v>4.3644849850041408E-3</v>
      </c>
      <c r="AC953" s="16">
        <f t="shared" si="363"/>
        <v>8.8183863355096054E-3</v>
      </c>
    </row>
    <row r="954" spans="1:29" x14ac:dyDescent="0.15">
      <c r="A954" s="8">
        <v>42286</v>
      </c>
      <c r="B954" s="4">
        <v>2014.89</v>
      </c>
      <c r="C954" s="1">
        <v>15.8104</v>
      </c>
      <c r="D954" s="1">
        <v>2.17</v>
      </c>
      <c r="E954" s="1">
        <v>0.32769999999999999</v>
      </c>
      <c r="F954" s="4">
        <f t="shared" si="353"/>
        <v>0.15810399999999999</v>
      </c>
      <c r="G954" s="4">
        <f t="shared" si="354"/>
        <v>2.1700000000000001E-2</v>
      </c>
      <c r="H954" s="4">
        <f t="shared" si="355"/>
        <v>3.277E-3</v>
      </c>
      <c r="I954" s="3">
        <f t="shared" si="356"/>
        <v>67.963232340206517</v>
      </c>
      <c r="J954" s="4">
        <f t="shared" si="366"/>
        <v>1524347.1723089966</v>
      </c>
      <c r="K954" s="1">
        <f t="shared" si="367"/>
        <v>1951.13</v>
      </c>
      <c r="L954" s="5">
        <f t="shared" si="368"/>
        <v>0.15068493150684956</v>
      </c>
      <c r="M954" s="5">
        <f t="shared" si="369"/>
        <v>-0.30424100867422627</v>
      </c>
      <c r="N954" s="5">
        <f t="shared" si="370"/>
        <v>24.825854956019398</v>
      </c>
      <c r="O954" s="1">
        <f t="shared" si="371"/>
        <v>0</v>
      </c>
      <c r="P954" s="1">
        <f t="shared" si="372"/>
        <v>1951.13</v>
      </c>
      <c r="Q954" s="5">
        <f t="shared" si="373"/>
        <v>0.15068493150684956</v>
      </c>
      <c r="R954" s="5">
        <f t="shared" si="374"/>
        <v>-0.30424100867422627</v>
      </c>
      <c r="S954" s="5">
        <f t="shared" si="357"/>
        <v>24.825854956019398</v>
      </c>
      <c r="T954" s="5">
        <f t="shared" si="358"/>
        <v>-747.52210128169577</v>
      </c>
      <c r="U954" s="4">
        <f t="shared" si="359"/>
        <v>1524371.7706784345</v>
      </c>
      <c r="V954" s="4">
        <f t="shared" si="375"/>
        <v>24.598766381632821</v>
      </c>
      <c r="W954" s="4">
        <f t="shared" si="360"/>
        <v>1505813.8954155962</v>
      </c>
      <c r="X954" s="4">
        <f t="shared" si="364"/>
        <v>876.63516930979677</v>
      </c>
      <c r="Y954" s="9">
        <f>SUM($X$6:X954)</f>
        <v>505813.8954155962</v>
      </c>
      <c r="Z954" s="16">
        <f t="shared" si="365"/>
        <v>0.50581389541559618</v>
      </c>
      <c r="AA954" s="16">
        <f t="shared" si="361"/>
        <v>0.57775672247192789</v>
      </c>
      <c r="AB954" s="16">
        <f t="shared" si="362"/>
        <v>5.8250612332259844E-4</v>
      </c>
      <c r="AC954" s="16">
        <f t="shared" si="363"/>
        <v>7.2513074703368691E-4</v>
      </c>
    </row>
    <row r="955" spans="1:29" x14ac:dyDescent="0.15">
      <c r="A955" s="8">
        <v>42289</v>
      </c>
      <c r="B955" s="4">
        <v>2017.46</v>
      </c>
      <c r="C955" s="1">
        <v>15.1411</v>
      </c>
      <c r="D955" s="1">
        <v>2.16</v>
      </c>
      <c r="E955" s="1">
        <v>0.32790000000000002</v>
      </c>
      <c r="F955" s="4">
        <f t="shared" si="353"/>
        <v>0.15141099999999999</v>
      </c>
      <c r="G955" s="4">
        <f t="shared" si="354"/>
        <v>2.1600000000000001E-2</v>
      </c>
      <c r="H955" s="4">
        <f t="shared" si="355"/>
        <v>3.2790000000000002E-3</v>
      </c>
      <c r="I955" s="3">
        <f t="shared" si="356"/>
        <v>65.349264541050005</v>
      </c>
      <c r="J955" s="4">
        <f t="shared" si="366"/>
        <v>1524371.7706784345</v>
      </c>
      <c r="K955" s="1">
        <f t="shared" si="367"/>
        <v>1951.13</v>
      </c>
      <c r="L955" s="5">
        <f t="shared" si="368"/>
        <v>0.14246575342465778</v>
      </c>
      <c r="M955" s="5">
        <f t="shared" si="369"/>
        <v>-0.28418565507700938</v>
      </c>
      <c r="N955" s="5">
        <f t="shared" si="370"/>
        <v>21.041398647260969</v>
      </c>
      <c r="O955" s="1">
        <f t="shared" si="371"/>
        <v>0</v>
      </c>
      <c r="P955" s="1">
        <f t="shared" si="372"/>
        <v>1951.13</v>
      </c>
      <c r="Q955" s="5">
        <f t="shared" si="373"/>
        <v>0.14246575342465778</v>
      </c>
      <c r="R955" s="5">
        <f t="shared" si="374"/>
        <v>-0.28418565507700938</v>
      </c>
      <c r="S955" s="5">
        <f t="shared" si="357"/>
        <v>21.041398647260969</v>
      </c>
      <c r="T955" s="5">
        <f t="shared" si="358"/>
        <v>-747.52210128169577</v>
      </c>
      <c r="U955" s="4">
        <f t="shared" si="359"/>
        <v>1524396.3694448161</v>
      </c>
      <c r="V955" s="4">
        <f t="shared" si="375"/>
        <v>73.797489994766849</v>
      </c>
      <c r="W955" s="4">
        <f t="shared" si="360"/>
        <v>1508667.4589141097</v>
      </c>
      <c r="X955" s="4">
        <f t="shared" si="364"/>
        <v>2853.5634985135403</v>
      </c>
      <c r="Y955" s="9">
        <f>SUM($X$6:X955)</f>
        <v>508667.45891410974</v>
      </c>
      <c r="Z955" s="16">
        <f t="shared" si="365"/>
        <v>0.50866745891410969</v>
      </c>
      <c r="AA955" s="16">
        <f t="shared" si="361"/>
        <v>0.57976915728313483</v>
      </c>
      <c r="AB955" s="16">
        <f t="shared" si="362"/>
        <v>1.8950306589686323E-3</v>
      </c>
      <c r="AC955" s="16">
        <f t="shared" si="363"/>
        <v>1.2755038736605652E-3</v>
      </c>
    </row>
    <row r="956" spans="1:29" x14ac:dyDescent="0.15">
      <c r="A956" s="8">
        <v>42290</v>
      </c>
      <c r="B956" s="4">
        <v>2003.69</v>
      </c>
      <c r="C956" s="1">
        <v>16.113600000000002</v>
      </c>
      <c r="D956" s="1">
        <v>2.1800000000000002</v>
      </c>
      <c r="E956" s="1">
        <v>0.3276</v>
      </c>
      <c r="F956" s="4">
        <f t="shared" si="353"/>
        <v>0.16113600000000003</v>
      </c>
      <c r="G956" s="4">
        <f t="shared" si="354"/>
        <v>2.18E-2</v>
      </c>
      <c r="H956" s="4">
        <f t="shared" si="355"/>
        <v>3.2759999999999998E-3</v>
      </c>
      <c r="I956" s="3">
        <f t="shared" si="356"/>
        <v>68.814343066690839</v>
      </c>
      <c r="J956" s="4">
        <f t="shared" si="366"/>
        <v>1524396.3694448161</v>
      </c>
      <c r="K956" s="1">
        <f t="shared" si="367"/>
        <v>1951.13</v>
      </c>
      <c r="L956" s="5">
        <f t="shared" si="368"/>
        <v>0.13972602739726053</v>
      </c>
      <c r="M956" s="5">
        <f t="shared" si="369"/>
        <v>-0.33314033526617592</v>
      </c>
      <c r="N956" s="5">
        <f t="shared" si="370"/>
        <v>27.457607902877303</v>
      </c>
      <c r="O956" s="1">
        <f t="shared" si="371"/>
        <v>0</v>
      </c>
      <c r="P956" s="1">
        <f t="shared" si="372"/>
        <v>1951.13</v>
      </c>
      <c r="Q956" s="5">
        <f t="shared" si="373"/>
        <v>0.13972602739726053</v>
      </c>
      <c r="R956" s="5">
        <f t="shared" si="374"/>
        <v>-0.33314033526617592</v>
      </c>
      <c r="S956" s="5">
        <f t="shared" si="357"/>
        <v>27.457607902877303</v>
      </c>
      <c r="T956" s="5">
        <f t="shared" si="358"/>
        <v>-747.52210128169577</v>
      </c>
      <c r="U956" s="4">
        <f t="shared" si="359"/>
        <v>1524470.1669348108</v>
      </c>
      <c r="V956" s="4">
        <f t="shared" si="375"/>
        <v>24.600354200674069</v>
      </c>
      <c r="W956" s="4">
        <f t="shared" si="360"/>
        <v>1503944.998179083</v>
      </c>
      <c r="X956" s="4">
        <f t="shared" si="364"/>
        <v>-4722.460735026747</v>
      </c>
      <c r="Y956" s="9">
        <f>SUM($X$6:X956)</f>
        <v>503944.99817908299</v>
      </c>
      <c r="Z956" s="16">
        <f t="shared" si="365"/>
        <v>0.503944998179083</v>
      </c>
      <c r="AA956" s="16">
        <f t="shared" si="361"/>
        <v>0.5689865785476016</v>
      </c>
      <c r="AB956" s="16">
        <f t="shared" si="362"/>
        <v>-3.1302197890752028E-3</v>
      </c>
      <c r="AC956" s="16">
        <f t="shared" si="363"/>
        <v>-6.8254141346048899E-3</v>
      </c>
    </row>
    <row r="957" spans="1:29" x14ac:dyDescent="0.15">
      <c r="A957" s="8">
        <v>42291</v>
      </c>
      <c r="B957" s="4">
        <v>1994.24</v>
      </c>
      <c r="C957" s="1">
        <v>16.436</v>
      </c>
      <c r="D957" s="1">
        <v>2.19</v>
      </c>
      <c r="E957" s="1">
        <v>0.32390000000000002</v>
      </c>
      <c r="F957" s="4">
        <f t="shared" si="353"/>
        <v>0.16436000000000001</v>
      </c>
      <c r="G957" s="4">
        <f t="shared" si="354"/>
        <v>2.1899999999999999E-2</v>
      </c>
      <c r="H957" s="4">
        <f t="shared" si="355"/>
        <v>3.2390000000000001E-3</v>
      </c>
      <c r="I957" s="3">
        <f t="shared" si="356"/>
        <v>69.798346381901595</v>
      </c>
      <c r="J957" s="4">
        <f t="shared" si="366"/>
        <v>1524470.1669348108</v>
      </c>
      <c r="K957" s="1">
        <f t="shared" si="367"/>
        <v>1951.13</v>
      </c>
      <c r="L957" s="5">
        <f t="shared" si="368"/>
        <v>0.13698630136986328</v>
      </c>
      <c r="M957" s="5">
        <f t="shared" si="369"/>
        <v>-0.36296132361961453</v>
      </c>
      <c r="N957" s="5">
        <f t="shared" si="370"/>
        <v>31.166687058120274</v>
      </c>
      <c r="O957" s="1">
        <f t="shared" si="371"/>
        <v>0</v>
      </c>
      <c r="P957" s="1">
        <f t="shared" si="372"/>
        <v>1951.13</v>
      </c>
      <c r="Q957" s="5">
        <f t="shared" si="373"/>
        <v>0.13698630136986328</v>
      </c>
      <c r="R957" s="5">
        <f t="shared" si="374"/>
        <v>-0.36296132361961453</v>
      </c>
      <c r="S957" s="5">
        <f t="shared" si="357"/>
        <v>31.166687058120274</v>
      </c>
      <c r="T957" s="5">
        <f t="shared" si="358"/>
        <v>-747.52210128169577</v>
      </c>
      <c r="U957" s="4">
        <f t="shared" si="359"/>
        <v>1524494.7672890115</v>
      </c>
      <c r="V957" s="4">
        <f t="shared" si="375"/>
        <v>24.600751176252814</v>
      </c>
      <c r="W957" s="4">
        <f t="shared" si="360"/>
        <v>1501196.9798893365</v>
      </c>
      <c r="X957" s="4">
        <f t="shared" si="364"/>
        <v>-2748.0182897464838</v>
      </c>
      <c r="Y957" s="9">
        <f>SUM($X$6:X957)</f>
        <v>501196.97988933651</v>
      </c>
      <c r="Z957" s="16">
        <f t="shared" si="365"/>
        <v>0.50119697988933654</v>
      </c>
      <c r="AA957" s="16">
        <f t="shared" si="361"/>
        <v>0.56158676961145138</v>
      </c>
      <c r="AB957" s="16">
        <f t="shared" si="362"/>
        <v>-1.8272066419142158E-3</v>
      </c>
      <c r="AC957" s="16">
        <f t="shared" si="363"/>
        <v>-4.7162984293977837E-3</v>
      </c>
    </row>
    <row r="958" spans="1:29" x14ac:dyDescent="0.15">
      <c r="A958" s="8">
        <v>42292</v>
      </c>
      <c r="B958" s="4">
        <v>2023.86</v>
      </c>
      <c r="C958" s="1">
        <v>15.0123</v>
      </c>
      <c r="D958" s="1">
        <v>2.16</v>
      </c>
      <c r="E958" s="1">
        <v>0.32219999999999999</v>
      </c>
      <c r="F958" s="4">
        <f t="shared" si="353"/>
        <v>0.15012300000000001</v>
      </c>
      <c r="G958" s="4">
        <f t="shared" si="354"/>
        <v>2.1600000000000001E-2</v>
      </c>
      <c r="H958" s="4">
        <f t="shared" si="355"/>
        <v>3.222E-3</v>
      </c>
      <c r="I958" s="3">
        <f t="shared" si="356"/>
        <v>65.055739648515768</v>
      </c>
      <c r="J958" s="4">
        <f t="shared" si="366"/>
        <v>1524494.7672890115</v>
      </c>
      <c r="K958" s="1">
        <f t="shared" si="367"/>
        <v>1951.13</v>
      </c>
      <c r="L958" s="5">
        <f t="shared" si="368"/>
        <v>0.13424657534246603</v>
      </c>
      <c r="M958" s="5">
        <f t="shared" si="369"/>
        <v>-0.25774114002745091</v>
      </c>
      <c r="N958" s="5">
        <f t="shared" si="370"/>
        <v>17.796002764635354</v>
      </c>
      <c r="O958" s="1">
        <f t="shared" si="371"/>
        <v>0</v>
      </c>
      <c r="P958" s="1">
        <f t="shared" si="372"/>
        <v>1951.13</v>
      </c>
      <c r="Q958" s="5">
        <f t="shared" si="373"/>
        <v>0.13424657534246603</v>
      </c>
      <c r="R958" s="5">
        <f t="shared" si="374"/>
        <v>-0.25774114002745091</v>
      </c>
      <c r="S958" s="5">
        <f t="shared" si="357"/>
        <v>17.796002764635354</v>
      </c>
      <c r="T958" s="5">
        <f t="shared" si="358"/>
        <v>-747.52210128169577</v>
      </c>
      <c r="U958" s="4">
        <f t="shared" si="359"/>
        <v>1524519.3680401878</v>
      </c>
      <c r="V958" s="4">
        <f t="shared" si="375"/>
        <v>24.60114815823755</v>
      </c>
      <c r="W958" s="4">
        <f t="shared" si="360"/>
        <v>1511216.4626591527</v>
      </c>
      <c r="X958" s="4">
        <f t="shared" si="364"/>
        <v>10019.482769816183</v>
      </c>
      <c r="Y958" s="9">
        <f>SUM($X$6:X958)</f>
        <v>511216.46265915269</v>
      </c>
      <c r="Z958" s="16">
        <f t="shared" si="365"/>
        <v>0.51121646265915266</v>
      </c>
      <c r="AA958" s="16">
        <f t="shared" si="361"/>
        <v>0.58478066809703533</v>
      </c>
      <c r="AB958" s="16">
        <f t="shared" si="362"/>
        <v>6.6743291546954662E-3</v>
      </c>
      <c r="AC958" s="16">
        <f t="shared" si="363"/>
        <v>1.4852775994865158E-2</v>
      </c>
    </row>
    <row r="959" spans="1:29" x14ac:dyDescent="0.15">
      <c r="A959" s="8">
        <v>42293</v>
      </c>
      <c r="B959" s="4">
        <v>2033.11</v>
      </c>
      <c r="C959" s="1">
        <v>14.713100000000001</v>
      </c>
      <c r="D959" s="1">
        <v>2.15</v>
      </c>
      <c r="E959" s="1">
        <v>0.32419999999999999</v>
      </c>
      <c r="F959" s="4">
        <f t="shared" si="353"/>
        <v>0.14713100000000001</v>
      </c>
      <c r="G959" s="4">
        <f t="shared" si="354"/>
        <v>2.1499999999999998E-2</v>
      </c>
      <c r="H959" s="4">
        <f t="shared" si="355"/>
        <v>3.2420000000000001E-3</v>
      </c>
      <c r="I959" s="3">
        <f t="shared" si="356"/>
        <v>64.117032736745429</v>
      </c>
      <c r="J959" s="4">
        <f t="shared" si="366"/>
        <v>1524519.3680401878</v>
      </c>
      <c r="K959" s="1">
        <f t="shared" si="367"/>
        <v>1951.13</v>
      </c>
      <c r="L959" s="5">
        <f t="shared" si="368"/>
        <v>0.13150684931506879</v>
      </c>
      <c r="M959" s="5">
        <f t="shared" si="369"/>
        <v>-0.22506697913790452</v>
      </c>
      <c r="N959" s="5">
        <f t="shared" si="370"/>
        <v>14.489825479521972</v>
      </c>
      <c r="O959" s="1">
        <f t="shared" si="371"/>
        <v>0</v>
      </c>
      <c r="P959" s="1">
        <f t="shared" si="372"/>
        <v>1951.13</v>
      </c>
      <c r="Q959" s="5">
        <f t="shared" si="373"/>
        <v>0.13150684931506879</v>
      </c>
      <c r="R959" s="5">
        <f t="shared" si="374"/>
        <v>-0.22506697913790452</v>
      </c>
      <c r="S959" s="5">
        <f t="shared" si="357"/>
        <v>14.489825479521972</v>
      </c>
      <c r="T959" s="5">
        <f t="shared" si="358"/>
        <v>-747.52210128169577</v>
      </c>
      <c r="U959" s="4">
        <f t="shared" si="359"/>
        <v>1524543.9691883461</v>
      </c>
      <c r="V959" s="4">
        <f t="shared" si="375"/>
        <v>24.601545146628379</v>
      </c>
      <c r="W959" s="4">
        <f t="shared" si="360"/>
        <v>1513712.5043986887</v>
      </c>
      <c r="X959" s="4">
        <f t="shared" si="364"/>
        <v>2496.0417395359837</v>
      </c>
      <c r="Y959" s="9">
        <f>SUM($X$6:X959)</f>
        <v>513712.50439868867</v>
      </c>
      <c r="Z959" s="16">
        <f t="shared" si="365"/>
        <v>0.51371250439868865</v>
      </c>
      <c r="AA959" s="16">
        <f t="shared" si="361"/>
        <v>0.59202386732025114</v>
      </c>
      <c r="AB959" s="16">
        <f t="shared" si="362"/>
        <v>1.6516771761101133E-3</v>
      </c>
      <c r="AC959" s="16">
        <f t="shared" si="363"/>
        <v>4.5704742422894868E-3</v>
      </c>
    </row>
    <row r="960" spans="1:29" x14ac:dyDescent="0.15">
      <c r="A960" s="8">
        <v>42296</v>
      </c>
      <c r="B960" s="4">
        <v>2033.66</v>
      </c>
      <c r="C960" s="1">
        <v>14.199199999999999</v>
      </c>
      <c r="D960" s="1">
        <v>2.15</v>
      </c>
      <c r="E960" s="1">
        <v>0.32369999999999999</v>
      </c>
      <c r="F960" s="4">
        <f t="shared" si="353"/>
        <v>0.14199200000000001</v>
      </c>
      <c r="G960" s="4">
        <f t="shared" si="354"/>
        <v>2.1499999999999998E-2</v>
      </c>
      <c r="H960" s="4">
        <f t="shared" si="355"/>
        <v>3.2369999999999999E-3</v>
      </c>
      <c r="I960" s="3">
        <f t="shared" si="356"/>
        <v>62.065817613546606</v>
      </c>
      <c r="J960" s="4">
        <f t="shared" si="366"/>
        <v>1524543.9691883461</v>
      </c>
      <c r="K960" s="1">
        <f t="shared" si="367"/>
        <v>1951.13</v>
      </c>
      <c r="L960" s="5">
        <f t="shared" si="368"/>
        <v>0.12328767123287701</v>
      </c>
      <c r="M960" s="5">
        <f t="shared" si="369"/>
        <v>-0.2082115455178358</v>
      </c>
      <c r="N960" s="5">
        <f t="shared" si="370"/>
        <v>12.219188892422826</v>
      </c>
      <c r="O960" s="1">
        <f t="shared" si="371"/>
        <v>0</v>
      </c>
      <c r="P960" s="1">
        <f t="shared" si="372"/>
        <v>1951.13</v>
      </c>
      <c r="Q960" s="5">
        <f t="shared" si="373"/>
        <v>0.12328767123287701</v>
      </c>
      <c r="R960" s="5">
        <f t="shared" si="374"/>
        <v>-0.2082115455178358</v>
      </c>
      <c r="S960" s="5">
        <f t="shared" si="357"/>
        <v>12.219188892422826</v>
      </c>
      <c r="T960" s="5">
        <f t="shared" si="358"/>
        <v>-747.52210128169577</v>
      </c>
      <c r="U960" s="4">
        <f t="shared" si="359"/>
        <v>1524568.5707334927</v>
      </c>
      <c r="V960" s="4">
        <f t="shared" si="375"/>
        <v>73.805826424276191</v>
      </c>
      <c r="W960" s="4">
        <f t="shared" si="360"/>
        <v>1515434.4569766708</v>
      </c>
      <c r="X960" s="4">
        <f t="shared" si="364"/>
        <v>1721.9525779820979</v>
      </c>
      <c r="Y960" s="9">
        <f>SUM($X$6:X960)</f>
        <v>515434.45697667077</v>
      </c>
      <c r="Z960" s="16">
        <f t="shared" si="365"/>
        <v>0.51543445697667079</v>
      </c>
      <c r="AA960" s="16">
        <f t="shared" si="361"/>
        <v>0.59245454403082087</v>
      </c>
      <c r="AB960" s="16">
        <f t="shared" si="362"/>
        <v>1.1375691044225938E-3</v>
      </c>
      <c r="AC960" s="16">
        <f t="shared" si="363"/>
        <v>2.7052151629778119E-4</v>
      </c>
    </row>
    <row r="961" spans="1:29" x14ac:dyDescent="0.15">
      <c r="A961" s="8">
        <v>42297</v>
      </c>
      <c r="B961" s="4">
        <v>2030.77</v>
      </c>
      <c r="C961" s="1">
        <v>14.6297</v>
      </c>
      <c r="D961" s="1">
        <v>2.15</v>
      </c>
      <c r="E961" s="1">
        <v>0.32750000000000001</v>
      </c>
      <c r="F961" s="4">
        <f t="shared" si="353"/>
        <v>0.14629700000000001</v>
      </c>
      <c r="G961" s="4">
        <f t="shared" si="354"/>
        <v>2.1499999999999998E-2</v>
      </c>
      <c r="H961" s="4">
        <f t="shared" si="355"/>
        <v>3.2750000000000001E-3</v>
      </c>
      <c r="I961" s="3">
        <f t="shared" si="356"/>
        <v>63.698772593503882</v>
      </c>
      <c r="J961" s="4">
        <f t="shared" si="366"/>
        <v>1524568.5707334927</v>
      </c>
      <c r="K961" s="1">
        <f t="shared" si="367"/>
        <v>1951.13</v>
      </c>
      <c r="L961" s="5">
        <f t="shared" si="368"/>
        <v>0.12054794520547975</v>
      </c>
      <c r="M961" s="5">
        <f t="shared" si="369"/>
        <v>-0.22015019893031568</v>
      </c>
      <c r="N961" s="5">
        <f t="shared" si="370"/>
        <v>13.369341177506531</v>
      </c>
      <c r="O961" s="1">
        <f t="shared" si="371"/>
        <v>0</v>
      </c>
      <c r="P961" s="1">
        <f t="shared" si="372"/>
        <v>1951.13</v>
      </c>
      <c r="Q961" s="5">
        <f t="shared" si="373"/>
        <v>0.12054794520547975</v>
      </c>
      <c r="R961" s="5">
        <f t="shared" si="374"/>
        <v>-0.22015019893031568</v>
      </c>
      <c r="S961" s="5">
        <f t="shared" si="357"/>
        <v>13.369341177506531</v>
      </c>
      <c r="T961" s="5">
        <f t="shared" si="358"/>
        <v>-747.52210128169577</v>
      </c>
      <c r="U961" s="4">
        <f t="shared" si="359"/>
        <v>1524642.3765599171</v>
      </c>
      <c r="V961" s="4">
        <f t="shared" si="375"/>
        <v>24.603133145035372</v>
      </c>
      <c r="W961" s="4">
        <f t="shared" si="360"/>
        <v>1514648.4985501554</v>
      </c>
      <c r="X961" s="4">
        <f t="shared" si="364"/>
        <v>-785.95842651533894</v>
      </c>
      <c r="Y961" s="9">
        <f>SUM($X$6:X961)</f>
        <v>514648.49855015543</v>
      </c>
      <c r="Z961" s="16">
        <f t="shared" si="365"/>
        <v>0.51464849855015549</v>
      </c>
      <c r="AA961" s="16">
        <f t="shared" si="361"/>
        <v>0.59019153367891886</v>
      </c>
      <c r="AB961" s="16">
        <f t="shared" si="362"/>
        <v>-5.1863571063531539E-4</v>
      </c>
      <c r="AC961" s="16">
        <f t="shared" si="363"/>
        <v>-1.4210831702448296E-3</v>
      </c>
    </row>
    <row r="962" spans="1:29" x14ac:dyDescent="0.15">
      <c r="A962" s="8">
        <v>42298</v>
      </c>
      <c r="B962" s="4">
        <v>2018.94</v>
      </c>
      <c r="C962" s="1">
        <v>15.531000000000001</v>
      </c>
      <c r="D962" s="1">
        <v>2.17</v>
      </c>
      <c r="E962" s="1">
        <v>0.32329999999999998</v>
      </c>
      <c r="F962" s="4">
        <f t="shared" si="353"/>
        <v>0.15531</v>
      </c>
      <c r="G962" s="4">
        <f t="shared" si="354"/>
        <v>2.1700000000000001E-2</v>
      </c>
      <c r="H962" s="4">
        <f t="shared" si="355"/>
        <v>3.2329999999999998E-3</v>
      </c>
      <c r="I962" s="3">
        <f t="shared" si="356"/>
        <v>66.994389133691172</v>
      </c>
      <c r="J962" s="4">
        <f t="shared" si="366"/>
        <v>1524642.3765599171</v>
      </c>
      <c r="K962" s="1">
        <f t="shared" si="367"/>
        <v>1951.13</v>
      </c>
      <c r="L962" s="5">
        <f t="shared" si="368"/>
        <v>0.11780821917808249</v>
      </c>
      <c r="M962" s="5">
        <f t="shared" si="369"/>
        <v>-0.26474120959887104</v>
      </c>
      <c r="N962" s="5">
        <f t="shared" si="370"/>
        <v>17.814093505183468</v>
      </c>
      <c r="O962" s="1">
        <f t="shared" si="371"/>
        <v>0</v>
      </c>
      <c r="P962" s="1">
        <f t="shared" si="372"/>
        <v>1951.13</v>
      </c>
      <c r="Q962" s="5">
        <f t="shared" si="373"/>
        <v>0.11780821917808249</v>
      </c>
      <c r="R962" s="5">
        <f t="shared" si="374"/>
        <v>-0.26474120959887104</v>
      </c>
      <c r="S962" s="5">
        <f t="shared" si="357"/>
        <v>17.814093505183468</v>
      </c>
      <c r="T962" s="5">
        <f t="shared" si="358"/>
        <v>-747.52210128169577</v>
      </c>
      <c r="U962" s="4">
        <f t="shared" si="359"/>
        <v>1524666.9796930621</v>
      </c>
      <c r="V962" s="4">
        <f t="shared" si="375"/>
        <v>24.603530165457901</v>
      </c>
      <c r="W962" s="4">
        <f t="shared" si="360"/>
        <v>1511350.5510836388</v>
      </c>
      <c r="X962" s="4">
        <f t="shared" si="364"/>
        <v>-3297.9474665166344</v>
      </c>
      <c r="Y962" s="9">
        <f>SUM($X$6:X962)</f>
        <v>511350.5510836388</v>
      </c>
      <c r="Z962" s="16">
        <f t="shared" si="365"/>
        <v>0.5113505510836388</v>
      </c>
      <c r="AA962" s="16">
        <f t="shared" si="361"/>
        <v>0.58092806915884931</v>
      </c>
      <c r="AB962" s="16">
        <f t="shared" si="362"/>
        <v>-2.1773681944513728E-3</v>
      </c>
      <c r="AC962" s="16">
        <f t="shared" si="363"/>
        <v>-5.8253765812967141E-3</v>
      </c>
    </row>
    <row r="963" spans="1:29" x14ac:dyDescent="0.15">
      <c r="A963" s="8">
        <v>42299</v>
      </c>
      <c r="B963" s="4">
        <v>2052.5100000000002</v>
      </c>
      <c r="C963" s="1">
        <v>13.8086</v>
      </c>
      <c r="D963" s="1">
        <v>2.13</v>
      </c>
      <c r="E963" s="1">
        <v>0.32700000000000001</v>
      </c>
      <c r="F963" s="4">
        <f t="shared" si="353"/>
        <v>0.13808600000000001</v>
      </c>
      <c r="G963" s="4">
        <f t="shared" si="354"/>
        <v>2.1299999999999999E-2</v>
      </c>
      <c r="H963" s="4">
        <f t="shared" si="355"/>
        <v>3.2700000000000003E-3</v>
      </c>
      <c r="I963" s="3">
        <f t="shared" si="356"/>
        <v>60.992103658971679</v>
      </c>
      <c r="J963" s="4">
        <f t="shared" si="366"/>
        <v>1524666.9796930621</v>
      </c>
      <c r="K963" s="1">
        <f t="shared" si="367"/>
        <v>1951.13</v>
      </c>
      <c r="L963" s="5">
        <f t="shared" si="368"/>
        <v>0.11506849315068522</v>
      </c>
      <c r="M963" s="5">
        <f t="shared" si="369"/>
        <v>-0.14409513594731307</v>
      </c>
      <c r="N963" s="5">
        <f t="shared" si="370"/>
        <v>7.261582104886366</v>
      </c>
      <c r="O963" s="1">
        <f t="shared" si="371"/>
        <v>0</v>
      </c>
      <c r="P963" s="1">
        <f t="shared" si="372"/>
        <v>1951.13</v>
      </c>
      <c r="Q963" s="5">
        <f t="shared" si="373"/>
        <v>0.11506849315068522</v>
      </c>
      <c r="R963" s="5">
        <f t="shared" si="374"/>
        <v>-0.14409513594731307</v>
      </c>
      <c r="S963" s="5">
        <f t="shared" si="357"/>
        <v>7.261582104886366</v>
      </c>
      <c r="T963" s="5">
        <f t="shared" si="358"/>
        <v>-747.52210128169577</v>
      </c>
      <c r="U963" s="4">
        <f t="shared" si="359"/>
        <v>1524691.5832232276</v>
      </c>
      <c r="V963" s="4">
        <f t="shared" si="375"/>
        <v>24.603927192287152</v>
      </c>
      <c r="W963" s="4">
        <f t="shared" si="360"/>
        <v>1519263.3901095535</v>
      </c>
      <c r="X963" s="4">
        <f t="shared" si="364"/>
        <v>7912.839025914669</v>
      </c>
      <c r="Y963" s="9">
        <f>SUM($X$6:X963)</f>
        <v>519263.39010955347</v>
      </c>
      <c r="Z963" s="16">
        <f t="shared" si="365"/>
        <v>0.51926339010955347</v>
      </c>
      <c r="AA963" s="16">
        <f t="shared" si="361"/>
        <v>0.60721500947488782</v>
      </c>
      <c r="AB963" s="16">
        <f t="shared" si="362"/>
        <v>5.2356079932886256E-3</v>
      </c>
      <c r="AC963" s="16">
        <f t="shared" si="363"/>
        <v>1.6627537222502979E-2</v>
      </c>
    </row>
    <row r="964" spans="1:29" x14ac:dyDescent="0.15">
      <c r="A964" s="8">
        <v>42300</v>
      </c>
      <c r="B964" s="4">
        <v>2075.15</v>
      </c>
      <c r="C964" s="1">
        <v>13.8475</v>
      </c>
      <c r="D964" s="1">
        <v>2.12</v>
      </c>
      <c r="E964" s="1">
        <v>0.3301</v>
      </c>
      <c r="F964" s="4">
        <f t="shared" si="353"/>
        <v>0.13847500000000001</v>
      </c>
      <c r="G964" s="4">
        <f t="shared" si="354"/>
        <v>2.12E-2</v>
      </c>
      <c r="H964" s="4">
        <f t="shared" si="355"/>
        <v>3.3010000000000001E-3</v>
      </c>
      <c r="I964" s="3">
        <f t="shared" si="356"/>
        <v>61.789745000950788</v>
      </c>
      <c r="J964" s="4">
        <f t="shared" si="366"/>
        <v>1524691.5832232276</v>
      </c>
      <c r="K964" s="1">
        <f t="shared" si="367"/>
        <v>1951.13</v>
      </c>
      <c r="L964" s="5">
        <f t="shared" si="368"/>
        <v>0.11232876712328796</v>
      </c>
      <c r="M964" s="5">
        <f t="shared" si="369"/>
        <v>-9.5260245336188279E-2</v>
      </c>
      <c r="N964" s="5">
        <f t="shared" si="370"/>
        <v>4.3869403320595683</v>
      </c>
      <c r="O964" s="1">
        <f t="shared" si="371"/>
        <v>0</v>
      </c>
      <c r="P964" s="1">
        <f t="shared" si="372"/>
        <v>1951.13</v>
      </c>
      <c r="Q964" s="5">
        <f t="shared" si="373"/>
        <v>0.11232876712328796</v>
      </c>
      <c r="R964" s="5">
        <f t="shared" si="374"/>
        <v>-9.5260245336188279E-2</v>
      </c>
      <c r="S964" s="5">
        <f t="shared" si="357"/>
        <v>4.3869403320595683</v>
      </c>
      <c r="T964" s="5">
        <f t="shared" si="358"/>
        <v>-747.52210128169577</v>
      </c>
      <c r="U964" s="4">
        <f t="shared" si="359"/>
        <v>1524716.1871504199</v>
      </c>
      <c r="V964" s="4">
        <f t="shared" si="375"/>
        <v>24.604324225523211</v>
      </c>
      <c r="W964" s="4">
        <f t="shared" si="360"/>
        <v>1521436.8522952013</v>
      </c>
      <c r="X964" s="4">
        <f t="shared" si="364"/>
        <v>2173.4621856478043</v>
      </c>
      <c r="Y964" s="9">
        <f>SUM($X$6:X964)</f>
        <v>521436.85229520127</v>
      </c>
      <c r="Z964" s="16">
        <f t="shared" si="365"/>
        <v>0.52143685229520131</v>
      </c>
      <c r="AA964" s="16">
        <f t="shared" si="361"/>
        <v>0.6249432289790614</v>
      </c>
      <c r="AB964" s="16">
        <f t="shared" si="362"/>
        <v>1.4306026195306904E-3</v>
      </c>
      <c r="AC964" s="16">
        <f t="shared" si="363"/>
        <v>1.103039692863853E-2</v>
      </c>
    </row>
    <row r="965" spans="1:29" x14ac:dyDescent="0.15">
      <c r="A965" s="8">
        <v>42303</v>
      </c>
      <c r="B965" s="4">
        <v>2071.1799999999998</v>
      </c>
      <c r="C965" s="1">
        <v>14.563499999999999</v>
      </c>
      <c r="D965" s="1">
        <v>2.12</v>
      </c>
      <c r="E965" s="1">
        <v>0.33029999999999998</v>
      </c>
      <c r="F965" s="4">
        <f t="shared" si="353"/>
        <v>0.14563499999999999</v>
      </c>
      <c r="G965" s="4">
        <f t="shared" si="354"/>
        <v>2.12E-2</v>
      </c>
      <c r="H965" s="4">
        <f t="shared" si="355"/>
        <v>3.3029999999999999E-3</v>
      </c>
      <c r="I965" s="3">
        <f t="shared" si="356"/>
        <v>64.608326881832511</v>
      </c>
      <c r="J965" s="4">
        <f t="shared" si="366"/>
        <v>1524716.1871504199</v>
      </c>
      <c r="K965" s="1">
        <f t="shared" si="367"/>
        <v>1951.13</v>
      </c>
      <c r="L965" s="5">
        <f t="shared" si="368"/>
        <v>0.10410958904109618</v>
      </c>
      <c r="M965" s="5">
        <f t="shared" si="369"/>
        <v>-0.10459563294239778</v>
      </c>
      <c r="N965" s="5">
        <f t="shared" si="370"/>
        <v>4.9638524490908873</v>
      </c>
      <c r="O965" s="1">
        <f t="shared" si="371"/>
        <v>0</v>
      </c>
      <c r="P965" s="1">
        <f t="shared" si="372"/>
        <v>1951.13</v>
      </c>
      <c r="Q965" s="5">
        <f t="shared" si="373"/>
        <v>0.10410958904109618</v>
      </c>
      <c r="R965" s="5">
        <f t="shared" si="374"/>
        <v>-0.10459563294239778</v>
      </c>
      <c r="S965" s="5">
        <f t="shared" si="357"/>
        <v>4.9638524490908873</v>
      </c>
      <c r="T965" s="5">
        <f t="shared" si="358"/>
        <v>-747.52210128169577</v>
      </c>
      <c r="U965" s="4">
        <f t="shared" si="359"/>
        <v>1524740.7914746455</v>
      </c>
      <c r="V965" s="4">
        <f t="shared" si="375"/>
        <v>73.814163795498587</v>
      </c>
      <c r="W965" s="4">
        <f t="shared" si="360"/>
        <v>1521030.2020614487</v>
      </c>
      <c r="X965" s="4">
        <f t="shared" si="364"/>
        <v>-406.65023375255987</v>
      </c>
      <c r="Y965" s="9">
        <f>SUM($X$6:X965)</f>
        <v>521030.20206144871</v>
      </c>
      <c r="Z965" s="16">
        <f t="shared" si="365"/>
        <v>0.52103020206144868</v>
      </c>
      <c r="AA965" s="16">
        <f t="shared" si="361"/>
        <v>0.6218345261773135</v>
      </c>
      <c r="AB965" s="16">
        <f t="shared" si="362"/>
        <v>-2.6728038902113985E-4</v>
      </c>
      <c r="AC965" s="16">
        <f t="shared" si="363"/>
        <v>-1.9131147145990672E-3</v>
      </c>
    </row>
    <row r="966" spans="1:29" x14ac:dyDescent="0.15">
      <c r="A966" s="8">
        <v>42304</v>
      </c>
      <c r="B966" s="4">
        <v>2065.89</v>
      </c>
      <c r="C966" s="1">
        <v>14.472</v>
      </c>
      <c r="D966" s="1">
        <v>2.13</v>
      </c>
      <c r="E966" s="1">
        <v>0.33110000000000001</v>
      </c>
      <c r="F966" s="4">
        <f t="shared" si="353"/>
        <v>0.14471999999999999</v>
      </c>
      <c r="G966" s="4">
        <f t="shared" si="354"/>
        <v>2.1299999999999999E-2</v>
      </c>
      <c r="H966" s="4">
        <f t="shared" si="355"/>
        <v>3.3110000000000001E-3</v>
      </c>
      <c r="I966" s="3">
        <f t="shared" si="356"/>
        <v>64.092798681826494</v>
      </c>
      <c r="J966" s="4">
        <f t="shared" si="366"/>
        <v>1524740.7914746455</v>
      </c>
      <c r="K966" s="1">
        <f t="shared" si="367"/>
        <v>1951.13</v>
      </c>
      <c r="L966" s="5">
        <f t="shared" si="368"/>
        <v>0.10136986301369892</v>
      </c>
      <c r="M966" s="5">
        <f t="shared" si="369"/>
        <v>-0.11026912466166158</v>
      </c>
      <c r="N966" s="5">
        <f t="shared" si="370"/>
        <v>5.1740849262374944</v>
      </c>
      <c r="O966" s="1">
        <f t="shared" si="371"/>
        <v>0</v>
      </c>
      <c r="P966" s="1">
        <f t="shared" si="372"/>
        <v>1951.13</v>
      </c>
      <c r="Q966" s="5">
        <f t="shared" si="373"/>
        <v>0.10136986301369892</v>
      </c>
      <c r="R966" s="5">
        <f t="shared" si="374"/>
        <v>-0.11026912466166158</v>
      </c>
      <c r="S966" s="5">
        <f t="shared" si="357"/>
        <v>5.1740849262374944</v>
      </c>
      <c r="T966" s="5">
        <f t="shared" si="358"/>
        <v>-747.52210128169577</v>
      </c>
      <c r="U966" s="4">
        <f t="shared" si="359"/>
        <v>1524814.6056384409</v>
      </c>
      <c r="V966" s="4">
        <f t="shared" si="375"/>
        <v>24.605912403316211</v>
      </c>
      <c r="W966" s="4">
        <f t="shared" si="360"/>
        <v>1520946.86280217</v>
      </c>
      <c r="X966" s="4">
        <f t="shared" si="364"/>
        <v>-83.339259278727695</v>
      </c>
      <c r="Y966" s="9">
        <f>SUM($X$6:X966)</f>
        <v>520946.86280216998</v>
      </c>
      <c r="Z966" s="16">
        <f t="shared" si="365"/>
        <v>0.52094686280216995</v>
      </c>
      <c r="AA966" s="16">
        <f t="shared" si="361"/>
        <v>0.61769219927019869</v>
      </c>
      <c r="AB966" s="16">
        <f t="shared" si="362"/>
        <v>-5.4791324436410393E-5</v>
      </c>
      <c r="AC966" s="16">
        <f t="shared" si="363"/>
        <v>-2.5540995953997063E-3</v>
      </c>
    </row>
    <row r="967" spans="1:29" x14ac:dyDescent="0.15">
      <c r="A967" s="8">
        <v>42305</v>
      </c>
      <c r="B967" s="4">
        <v>2090.35</v>
      </c>
      <c r="C967" s="1">
        <v>13.967700000000001</v>
      </c>
      <c r="D967" s="1">
        <v>2.1</v>
      </c>
      <c r="E967" s="1">
        <v>0.3291</v>
      </c>
      <c r="F967" s="4">
        <f t="shared" ref="F967:F1030" si="376">C967/100</f>
        <v>0.139677</v>
      </c>
      <c r="G967" s="4">
        <f t="shared" ref="G967:G1030" si="377">D967/100</f>
        <v>2.1000000000000001E-2</v>
      </c>
      <c r="H967" s="4">
        <f t="shared" ref="H967:H1030" si="378">E967/100</f>
        <v>3.2910000000000001E-3</v>
      </c>
      <c r="I967" s="3">
        <f t="shared" ref="I967:I1030" si="379">BSM_Put(B967,B967,F967,H967,G967,$B$3,$F$3)</f>
        <v>62.689765227947923</v>
      </c>
      <c r="J967" s="4">
        <f t="shared" si="366"/>
        <v>1524814.6056384409</v>
      </c>
      <c r="K967" s="1">
        <f t="shared" si="367"/>
        <v>1951.13</v>
      </c>
      <c r="L967" s="5">
        <f t="shared" si="368"/>
        <v>9.8630136986301659E-2</v>
      </c>
      <c r="M967" s="5">
        <f t="shared" si="369"/>
        <v>-6.0048564656600897E-2</v>
      </c>
      <c r="N967" s="5">
        <f t="shared" si="370"/>
        <v>2.4127492427891979</v>
      </c>
      <c r="O967" s="1">
        <f t="shared" si="371"/>
        <v>0</v>
      </c>
      <c r="P967" s="1">
        <f t="shared" si="372"/>
        <v>1951.13</v>
      </c>
      <c r="Q967" s="5">
        <f t="shared" si="373"/>
        <v>9.8630136986301659E-2</v>
      </c>
      <c r="R967" s="5">
        <f t="shared" si="374"/>
        <v>-6.0048564656600897E-2</v>
      </c>
      <c r="S967" s="5">
        <f t="shared" ref="S967:S1030" si="380">BSM_Put(B967,P967,F967,H967,G967,Q967,$F$3)</f>
        <v>2.4127492427891979</v>
      </c>
      <c r="T967" s="5">
        <f t="shared" si="358"/>
        <v>-747.52210128169577</v>
      </c>
      <c r="U967" s="4">
        <f t="shared" si="359"/>
        <v>1524839.2115508441</v>
      </c>
      <c r="V967" s="4">
        <f t="shared" si="375"/>
        <v>24.606309468587593</v>
      </c>
      <c r="W967" s="4">
        <f t="shared" si="360"/>
        <v>1523035.6281670085</v>
      </c>
      <c r="X967" s="4">
        <f t="shared" si="364"/>
        <v>2088.7653648385312</v>
      </c>
      <c r="Y967" s="9">
        <f>SUM($X$6:X967)</f>
        <v>523035.62816700852</v>
      </c>
      <c r="Z967" s="16">
        <f t="shared" si="365"/>
        <v>0.52303562816700855</v>
      </c>
      <c r="AA967" s="16">
        <f t="shared" si="361"/>
        <v>0.63684556716207541</v>
      </c>
      <c r="AB967" s="16">
        <f t="shared" si="362"/>
        <v>1.3733322418576944E-3</v>
      </c>
      <c r="AC967" s="16">
        <f t="shared" si="363"/>
        <v>1.1839933394324015E-2</v>
      </c>
    </row>
    <row r="968" spans="1:29" x14ac:dyDescent="0.15">
      <c r="A968" s="8">
        <v>42306</v>
      </c>
      <c r="B968" s="4">
        <v>2089.41</v>
      </c>
      <c r="C968" s="1">
        <v>14.0928</v>
      </c>
      <c r="D968" s="1">
        <v>2.1</v>
      </c>
      <c r="E968" s="1">
        <v>0.3362</v>
      </c>
      <c r="F968" s="4">
        <f t="shared" si="376"/>
        <v>0.140928</v>
      </c>
      <c r="G968" s="4">
        <f t="shared" si="377"/>
        <v>2.1000000000000001E-2</v>
      </c>
      <c r="H968" s="4">
        <f t="shared" si="378"/>
        <v>3.362E-3</v>
      </c>
      <c r="I968" s="3">
        <f t="shared" si="379"/>
        <v>63.159409010967863</v>
      </c>
      <c r="J968" s="4">
        <f t="shared" si="366"/>
        <v>1524839.2115508441</v>
      </c>
      <c r="K968" s="1">
        <f t="shared" si="367"/>
        <v>1951.13</v>
      </c>
      <c r="L968" s="5">
        <f t="shared" si="368"/>
        <v>9.5890410958904396E-2</v>
      </c>
      <c r="M968" s="5">
        <f t="shared" si="369"/>
        <v>-6.019703364558722E-2</v>
      </c>
      <c r="N968" s="5">
        <f t="shared" si="370"/>
        <v>2.4059508988275318</v>
      </c>
      <c r="O968" s="1">
        <f t="shared" si="371"/>
        <v>0</v>
      </c>
      <c r="P968" s="1">
        <f t="shared" si="372"/>
        <v>1951.13</v>
      </c>
      <c r="Q968" s="5">
        <f t="shared" si="373"/>
        <v>9.5890410958904396E-2</v>
      </c>
      <c r="R968" s="5">
        <f t="shared" si="374"/>
        <v>-6.019703364558722E-2</v>
      </c>
      <c r="S968" s="5">
        <f t="shared" si="380"/>
        <v>2.4059508988275318</v>
      </c>
      <c r="T968" s="5">
        <f t="shared" ref="T968:T1031" si="381">IF(O968,-(J968+IF(L968&lt;=0.00001, MAX(K968-B968,0),N968)*T967)/P968,T967)</f>
        <v>-747.52210128169577</v>
      </c>
      <c r="U968" s="4">
        <f t="shared" ref="U968:U1031" si="382">IF(O968,(J968+IF(L968&lt;=0.00001, MAX(K968-B968,0),N968)*T967)-(S968*T968),U967)+V967</f>
        <v>1524863.8178603128</v>
      </c>
      <c r="V968" s="4">
        <f t="shared" si="375"/>
        <v>24.606706540266412</v>
      </c>
      <c r="W968" s="4">
        <f t="shared" ref="W968:W1031" si="383">S968*T968+U968</f>
        <v>1523065.3163888406</v>
      </c>
      <c r="X968" s="4">
        <f t="shared" si="364"/>
        <v>29.688221832038835</v>
      </c>
      <c r="Y968" s="9">
        <f>SUM($X$6:X968)</f>
        <v>523065.31638884055</v>
      </c>
      <c r="Z968" s="16">
        <f t="shared" si="365"/>
        <v>0.52306531638884057</v>
      </c>
      <c r="AA968" s="16">
        <f t="shared" ref="AA968:AA1031" si="384">(B968-$B$6)/$B$6</f>
        <v>0.63610950151128365</v>
      </c>
      <c r="AB968" s="16">
        <f t="shared" ref="AB968:AB1031" si="385">X968/W967</f>
        <v>1.9492795364064438E-5</v>
      </c>
      <c r="AC968" s="16">
        <f t="shared" ref="AC968:AC1031" si="386">(B968-B967)/B967</f>
        <v>-4.4968545937285845E-4</v>
      </c>
    </row>
    <row r="969" spans="1:29" x14ac:dyDescent="0.15">
      <c r="A969" s="8">
        <v>42307</v>
      </c>
      <c r="B969" s="4">
        <v>2079.36</v>
      </c>
      <c r="C969" s="1">
        <v>14.4002</v>
      </c>
      <c r="D969" s="1">
        <v>2.11</v>
      </c>
      <c r="E969" s="1">
        <v>0.34150000000000003</v>
      </c>
      <c r="F969" s="4">
        <f t="shared" si="376"/>
        <v>0.14400199999999999</v>
      </c>
      <c r="G969" s="4">
        <f t="shared" si="377"/>
        <v>2.1099999999999997E-2</v>
      </c>
      <c r="H969" s="4">
        <f t="shared" si="378"/>
        <v>3.4150000000000001E-3</v>
      </c>
      <c r="I969" s="3">
        <f t="shared" si="379"/>
        <v>64.133307029720029</v>
      </c>
      <c r="J969" s="4">
        <f t="shared" si="366"/>
        <v>1524863.8178603128</v>
      </c>
      <c r="K969" s="1">
        <f t="shared" si="367"/>
        <v>1951.13</v>
      </c>
      <c r="L969" s="5">
        <f t="shared" si="368"/>
        <v>9.3150684931507133E-2</v>
      </c>
      <c r="M969" s="5">
        <f t="shared" si="369"/>
        <v>-7.5814981876606999E-2</v>
      </c>
      <c r="N969" s="5">
        <f t="shared" si="370"/>
        <v>3.165625221234476</v>
      </c>
      <c r="O969" s="1">
        <f t="shared" si="371"/>
        <v>0</v>
      </c>
      <c r="P969" s="1">
        <f t="shared" si="372"/>
        <v>1951.13</v>
      </c>
      <c r="Q969" s="5">
        <f t="shared" si="373"/>
        <v>9.3150684931507133E-2</v>
      </c>
      <c r="R969" s="5">
        <f t="shared" si="374"/>
        <v>-7.5814981876606999E-2</v>
      </c>
      <c r="S969" s="5">
        <f t="shared" si="380"/>
        <v>3.165625221234476</v>
      </c>
      <c r="T969" s="5">
        <f t="shared" si="381"/>
        <v>-747.52210128169577</v>
      </c>
      <c r="U969" s="4">
        <f t="shared" si="382"/>
        <v>1524888.4245668531</v>
      </c>
      <c r="V969" s="4">
        <f t="shared" si="375"/>
        <v>24.607103618352781</v>
      </c>
      <c r="W969" s="4">
        <f t="shared" si="383"/>
        <v>1522522.0497496056</v>
      </c>
      <c r="X969" s="4">
        <f t="shared" ref="X969:X1032" si="387">W969-W968</f>
        <v>-543.2666392349638</v>
      </c>
      <c r="Y969" s="9">
        <f>SUM($X$6:X969)</f>
        <v>522522.04974960559</v>
      </c>
      <c r="Z969" s="16">
        <f t="shared" si="365"/>
        <v>0.52252204974960559</v>
      </c>
      <c r="AA969" s="16">
        <f t="shared" si="384"/>
        <v>0.62823986343633054</v>
      </c>
      <c r="AB969" s="16">
        <f t="shared" si="385"/>
        <v>-3.5669293587686633E-4</v>
      </c>
      <c r="AC969" s="16">
        <f t="shared" si="386"/>
        <v>-4.8099702786909837E-3</v>
      </c>
    </row>
    <row r="970" spans="1:29" x14ac:dyDescent="0.15">
      <c r="A970" s="8">
        <v>42310</v>
      </c>
      <c r="B970" s="4">
        <v>2104.0500000000002</v>
      </c>
      <c r="C970" s="1">
        <v>13.4031</v>
      </c>
      <c r="D970" s="1">
        <v>2.09</v>
      </c>
      <c r="E970" s="1">
        <v>0.34150000000000003</v>
      </c>
      <c r="F970" s="4">
        <f t="shared" si="376"/>
        <v>0.13403100000000001</v>
      </c>
      <c r="G970" s="4">
        <f t="shared" si="377"/>
        <v>2.0899999999999998E-2</v>
      </c>
      <c r="H970" s="4">
        <f t="shared" si="378"/>
        <v>3.4150000000000001E-3</v>
      </c>
      <c r="I970" s="3">
        <f t="shared" si="379"/>
        <v>60.68589755241333</v>
      </c>
      <c r="J970" s="4">
        <f t="shared" si="366"/>
        <v>1524888.4245668531</v>
      </c>
      <c r="K970" s="1">
        <f t="shared" si="367"/>
        <v>1951.13</v>
      </c>
      <c r="L970" s="5">
        <f t="shared" si="368"/>
        <v>8.4931506849315358E-2</v>
      </c>
      <c r="M970" s="5">
        <f t="shared" si="369"/>
        <v>-2.780799491870635E-2</v>
      </c>
      <c r="N970" s="5">
        <f t="shared" si="370"/>
        <v>0.88817571952889229</v>
      </c>
      <c r="O970" s="1">
        <f t="shared" si="371"/>
        <v>1</v>
      </c>
      <c r="P970" s="1">
        <f t="shared" si="372"/>
        <v>2104.0500000000002</v>
      </c>
      <c r="Q970" s="5">
        <f t="shared" si="373"/>
        <v>0.24931506849315069</v>
      </c>
      <c r="R970" s="5">
        <f t="shared" si="374"/>
        <v>-0.50997063732832515</v>
      </c>
      <c r="S970" s="5">
        <f t="shared" si="380"/>
        <v>60.68589755241333</v>
      </c>
      <c r="T970" s="5">
        <f t="shared" si="381"/>
        <v>-724.42408383198278</v>
      </c>
      <c r="U970" s="4">
        <f t="shared" si="382"/>
        <v>1568211.4264262302</v>
      </c>
      <c r="V970" s="4">
        <f t="shared" si="375"/>
        <v>75.918618917675303</v>
      </c>
      <c r="W970" s="4">
        <f t="shared" si="383"/>
        <v>1524249.1006903017</v>
      </c>
      <c r="X970" s="4">
        <f t="shared" si="387"/>
        <v>1727.0509406961501</v>
      </c>
      <c r="Y970" s="9">
        <f>SUM($X$6:X970)</f>
        <v>524249.10069030174</v>
      </c>
      <c r="Z970" s="16">
        <f t="shared" si="365"/>
        <v>0.52424910069030173</v>
      </c>
      <c r="AA970" s="16">
        <f t="shared" si="384"/>
        <v>0.64757333249808169</v>
      </c>
      <c r="AB970" s="16">
        <f t="shared" si="385"/>
        <v>1.1343355854716069E-3</v>
      </c>
      <c r="AC970" s="16">
        <f t="shared" si="386"/>
        <v>1.187384579870732E-2</v>
      </c>
    </row>
    <row r="971" spans="1:29" x14ac:dyDescent="0.15">
      <c r="A971" s="8">
        <v>42311</v>
      </c>
      <c r="B971" s="4">
        <v>2109.79</v>
      </c>
      <c r="C971" s="1">
        <v>13.5443</v>
      </c>
      <c r="D971" s="1">
        <v>2.09</v>
      </c>
      <c r="E971" s="1">
        <v>0.34100000000000003</v>
      </c>
      <c r="F971" s="4">
        <f t="shared" si="376"/>
        <v>0.13544300000000001</v>
      </c>
      <c r="G971" s="4">
        <f t="shared" si="377"/>
        <v>2.0899999999999998E-2</v>
      </c>
      <c r="H971" s="4">
        <f t="shared" si="378"/>
        <v>3.4100000000000003E-3</v>
      </c>
      <c r="I971" s="3">
        <f t="shared" si="379"/>
        <v>61.44291386075605</v>
      </c>
      <c r="J971" s="4">
        <f t="shared" si="366"/>
        <v>1568211.4264262302</v>
      </c>
      <c r="K971" s="1">
        <f t="shared" si="367"/>
        <v>2104.0500000000002</v>
      </c>
      <c r="L971" s="5">
        <f t="shared" si="368"/>
        <v>0.24657534246575344</v>
      </c>
      <c r="M971" s="5">
        <f t="shared" si="369"/>
        <v>-0.49345585621629617</v>
      </c>
      <c r="N971" s="5">
        <f t="shared" si="370"/>
        <v>58.035385256838232</v>
      </c>
      <c r="O971" s="1">
        <f t="shared" si="371"/>
        <v>0</v>
      </c>
      <c r="P971" s="1">
        <f t="shared" si="372"/>
        <v>2104.0500000000002</v>
      </c>
      <c r="Q971" s="5">
        <f t="shared" si="373"/>
        <v>0.24657534246575344</v>
      </c>
      <c r="R971" s="5">
        <f t="shared" si="374"/>
        <v>-0.49345585621629617</v>
      </c>
      <c r="S971" s="5">
        <f t="shared" si="380"/>
        <v>58.035385256838232</v>
      </c>
      <c r="T971" s="5">
        <f t="shared" si="381"/>
        <v>-724.42408383198278</v>
      </c>
      <c r="U971" s="4">
        <f t="shared" si="382"/>
        <v>1568287.3450451479</v>
      </c>
      <c r="V971" s="4">
        <f t="shared" si="375"/>
        <v>25.307431403605261</v>
      </c>
      <c r="W971" s="4">
        <f t="shared" si="383"/>
        <v>1526245.1142506266</v>
      </c>
      <c r="X971" s="4">
        <f t="shared" si="387"/>
        <v>1996.0135603249073</v>
      </c>
      <c r="Y971" s="9">
        <f>SUM($X$6:X971)</f>
        <v>526245.11425062665</v>
      </c>
      <c r="Z971" s="16">
        <f t="shared" si="365"/>
        <v>0.5262451142506267</v>
      </c>
      <c r="AA971" s="16">
        <f t="shared" si="384"/>
        <v>0.6520680312592988</v>
      </c>
      <c r="AB971" s="16">
        <f t="shared" si="385"/>
        <v>1.3095061426776982E-3</v>
      </c>
      <c r="AC971" s="16">
        <f t="shared" si="386"/>
        <v>2.7280720515195844E-3</v>
      </c>
    </row>
    <row r="972" spans="1:29" x14ac:dyDescent="0.15">
      <c r="A972" s="8">
        <v>42312</v>
      </c>
      <c r="B972" s="4">
        <v>2102.31</v>
      </c>
      <c r="C972" s="1">
        <v>14.1912</v>
      </c>
      <c r="D972" s="1">
        <v>2.09</v>
      </c>
      <c r="E972" s="1">
        <v>0.34389999999999998</v>
      </c>
      <c r="F972" s="4">
        <f t="shared" si="376"/>
        <v>0.14191200000000001</v>
      </c>
      <c r="G972" s="4">
        <f t="shared" si="377"/>
        <v>2.0899999999999998E-2</v>
      </c>
      <c r="H972" s="4">
        <f t="shared" si="378"/>
        <v>3.4389999999999998E-3</v>
      </c>
      <c r="I972" s="3">
        <f t="shared" si="379"/>
        <v>63.910787949140243</v>
      </c>
      <c r="J972" s="4">
        <f t="shared" si="366"/>
        <v>1568287.3450451479</v>
      </c>
      <c r="K972" s="1">
        <f t="shared" si="367"/>
        <v>2104.0500000000002</v>
      </c>
      <c r="L972" s="5">
        <f t="shared" si="368"/>
        <v>0.24383561643835619</v>
      </c>
      <c r="M972" s="5">
        <f t="shared" si="369"/>
        <v>-0.51234931813421736</v>
      </c>
      <c r="N972" s="5">
        <f t="shared" si="370"/>
        <v>64.096448776351338</v>
      </c>
      <c r="O972" s="1">
        <f t="shared" si="371"/>
        <v>0</v>
      </c>
      <c r="P972" s="1">
        <f t="shared" si="372"/>
        <v>2104.0500000000002</v>
      </c>
      <c r="Q972" s="5">
        <f t="shared" si="373"/>
        <v>0.24383561643835619</v>
      </c>
      <c r="R972" s="5">
        <f t="shared" si="374"/>
        <v>-0.51234931813421736</v>
      </c>
      <c r="S972" s="5">
        <f t="shared" si="380"/>
        <v>64.096448776351338</v>
      </c>
      <c r="T972" s="5">
        <f t="shared" si="381"/>
        <v>-724.42408383198278</v>
      </c>
      <c r="U972" s="4">
        <f t="shared" si="382"/>
        <v>1568312.6524765515</v>
      </c>
      <c r="V972" s="4">
        <f t="shared" si="375"/>
        <v>25.307839789279143</v>
      </c>
      <c r="W972" s="4">
        <f t="shared" si="383"/>
        <v>1521879.6412948596</v>
      </c>
      <c r="X972" s="4">
        <f t="shared" si="387"/>
        <v>-4365.4729557670653</v>
      </c>
      <c r="Y972" s="9">
        <f>SUM($X$6:X972)</f>
        <v>521879.64129485958</v>
      </c>
      <c r="Z972" s="16">
        <f t="shared" si="365"/>
        <v>0.52187964129485953</v>
      </c>
      <c r="AA972" s="16">
        <f t="shared" si="384"/>
        <v>0.64621082799555229</v>
      </c>
      <c r="AB972" s="16">
        <f t="shared" si="385"/>
        <v>-2.8602698970214067E-3</v>
      </c>
      <c r="AC972" s="16">
        <f t="shared" si="386"/>
        <v>-3.5453765540646312E-3</v>
      </c>
    </row>
    <row r="973" spans="1:29" x14ac:dyDescent="0.15">
      <c r="A973" s="8">
        <v>42313</v>
      </c>
      <c r="B973" s="4">
        <v>2099.9299999999998</v>
      </c>
      <c r="C973" s="1">
        <v>14.1258</v>
      </c>
      <c r="D973" s="1">
        <v>2.09</v>
      </c>
      <c r="E973" s="1">
        <v>0.35149999999999998</v>
      </c>
      <c r="F973" s="4">
        <f t="shared" si="376"/>
        <v>0.14125799999999999</v>
      </c>
      <c r="G973" s="4">
        <f t="shared" si="377"/>
        <v>2.0899999999999998E-2</v>
      </c>
      <c r="H973" s="4">
        <f t="shared" si="378"/>
        <v>3.5149999999999999E-3</v>
      </c>
      <c r="I973" s="3">
        <f t="shared" si="379"/>
        <v>63.544970574551826</v>
      </c>
      <c r="J973" s="4">
        <f t="shared" si="366"/>
        <v>1568312.6524765515</v>
      </c>
      <c r="K973" s="1">
        <f t="shared" si="367"/>
        <v>2104.0500000000002</v>
      </c>
      <c r="L973" s="5">
        <f t="shared" si="368"/>
        <v>0.24109589041095894</v>
      </c>
      <c r="M973" s="5">
        <f t="shared" si="369"/>
        <v>-0.51891494741491639</v>
      </c>
      <c r="N973" s="5">
        <f t="shared" si="370"/>
        <v>64.65493717699762</v>
      </c>
      <c r="O973" s="1">
        <f t="shared" si="371"/>
        <v>0</v>
      </c>
      <c r="P973" s="1">
        <f t="shared" si="372"/>
        <v>2104.0500000000002</v>
      </c>
      <c r="Q973" s="5">
        <f t="shared" si="373"/>
        <v>0.24109589041095894</v>
      </c>
      <c r="R973" s="5">
        <f t="shared" si="374"/>
        <v>-0.51891494741491639</v>
      </c>
      <c r="S973" s="5">
        <f t="shared" si="380"/>
        <v>64.65493717699762</v>
      </c>
      <c r="T973" s="5">
        <f t="shared" si="381"/>
        <v>-724.42408383198278</v>
      </c>
      <c r="U973" s="4">
        <f t="shared" si="382"/>
        <v>1568337.9603163407</v>
      </c>
      <c r="V973" s="4">
        <f t="shared" si="375"/>
        <v>25.308248181543142</v>
      </c>
      <c r="W973" s="4">
        <f t="shared" si="383"/>
        <v>1521500.3666866797</v>
      </c>
      <c r="X973" s="4">
        <f t="shared" si="387"/>
        <v>-379.27460817992687</v>
      </c>
      <c r="Y973" s="9">
        <f>SUM($X$6:X973)</f>
        <v>521500.36668667966</v>
      </c>
      <c r="Z973" s="16">
        <f t="shared" si="365"/>
        <v>0.52150036668667965</v>
      </c>
      <c r="AA973" s="16">
        <f t="shared" si="384"/>
        <v>0.64434717241163286</v>
      </c>
      <c r="AB973" s="16">
        <f t="shared" si="385"/>
        <v>-2.492145882556317E-4</v>
      </c>
      <c r="AC973" s="16">
        <f t="shared" si="386"/>
        <v>-1.1320880364932427E-3</v>
      </c>
    </row>
    <row r="974" spans="1:29" x14ac:dyDescent="0.15">
      <c r="A974" s="8">
        <v>42314</v>
      </c>
      <c r="B974" s="4">
        <v>2099.1999999999998</v>
      </c>
      <c r="C974" s="1">
        <v>13.8439</v>
      </c>
      <c r="D974" s="1">
        <v>2.1</v>
      </c>
      <c r="E974" s="1">
        <v>0.34899999999999998</v>
      </c>
      <c r="F974" s="4">
        <f t="shared" si="376"/>
        <v>0.13843900000000001</v>
      </c>
      <c r="G974" s="4">
        <f t="shared" si="377"/>
        <v>2.1000000000000001E-2</v>
      </c>
      <c r="H974" s="4">
        <f t="shared" si="378"/>
        <v>3.4899999999999996E-3</v>
      </c>
      <c r="I974" s="3">
        <f t="shared" si="379"/>
        <v>62.384322852958775</v>
      </c>
      <c r="J974" s="4">
        <f t="shared" si="366"/>
        <v>1568337.9603163407</v>
      </c>
      <c r="K974" s="1">
        <f t="shared" si="367"/>
        <v>2104.0500000000002</v>
      </c>
      <c r="L974" s="5">
        <f t="shared" si="368"/>
        <v>0.23835616438356169</v>
      </c>
      <c r="M974" s="5">
        <f t="shared" si="369"/>
        <v>-0.52213847538791713</v>
      </c>
      <c r="N974" s="5">
        <f t="shared" si="370"/>
        <v>63.542522659717626</v>
      </c>
      <c r="O974" s="1">
        <f t="shared" si="371"/>
        <v>0</v>
      </c>
      <c r="P974" s="1">
        <f t="shared" si="372"/>
        <v>2104.0500000000002</v>
      </c>
      <c r="Q974" s="5">
        <f t="shared" si="373"/>
        <v>0.23835616438356169</v>
      </c>
      <c r="R974" s="5">
        <f t="shared" si="374"/>
        <v>-0.52213847538791713</v>
      </c>
      <c r="S974" s="5">
        <f t="shared" si="380"/>
        <v>63.542522659717626</v>
      </c>
      <c r="T974" s="5">
        <f t="shared" si="381"/>
        <v>-724.42408383198278</v>
      </c>
      <c r="U974" s="4">
        <f t="shared" si="382"/>
        <v>1568363.2685645223</v>
      </c>
      <c r="V974" s="4">
        <f t="shared" si="375"/>
        <v>25.308656580397358</v>
      </c>
      <c r="W974" s="4">
        <f t="shared" si="383"/>
        <v>1522331.5348023833</v>
      </c>
      <c r="X974" s="4">
        <f t="shared" si="387"/>
        <v>831.16811570362188</v>
      </c>
      <c r="Y974" s="9">
        <f>SUM($X$6:X974)</f>
        <v>522331.53480238328</v>
      </c>
      <c r="Z974" s="16">
        <f t="shared" si="365"/>
        <v>0.52233153480238326</v>
      </c>
      <c r="AA974" s="16">
        <f t="shared" si="384"/>
        <v>0.64377554695942241</v>
      </c>
      <c r="AB974" s="16">
        <f t="shared" si="385"/>
        <v>5.4628190298345366E-4</v>
      </c>
      <c r="AC974" s="16">
        <f t="shared" si="386"/>
        <v>-3.4763063530689989E-4</v>
      </c>
    </row>
    <row r="975" spans="1:29" x14ac:dyDescent="0.15">
      <c r="A975" s="8">
        <v>42317</v>
      </c>
      <c r="B975" s="4">
        <v>2078.58</v>
      </c>
      <c r="C975" s="1">
        <v>14.9033</v>
      </c>
      <c r="D975" s="1">
        <v>2.12</v>
      </c>
      <c r="E975" s="1">
        <v>0.36349999999999999</v>
      </c>
      <c r="F975" s="4">
        <f t="shared" si="376"/>
        <v>0.149033</v>
      </c>
      <c r="G975" s="4">
        <f t="shared" si="377"/>
        <v>2.12E-2</v>
      </c>
      <c r="H975" s="4">
        <f t="shared" si="378"/>
        <v>3.6349999999999998E-3</v>
      </c>
      <c r="I975" s="3">
        <f t="shared" si="379"/>
        <v>66.145717246191808</v>
      </c>
      <c r="J975" s="4">
        <f t="shared" si="366"/>
        <v>1568363.2685645223</v>
      </c>
      <c r="K975" s="1">
        <f t="shared" si="367"/>
        <v>2104.0500000000002</v>
      </c>
      <c r="L975" s="5">
        <f t="shared" si="368"/>
        <v>0.23013698630136992</v>
      </c>
      <c r="M975" s="5">
        <f t="shared" si="369"/>
        <v>-0.57299033771635877</v>
      </c>
      <c r="N975" s="5">
        <f t="shared" si="370"/>
        <v>77.904216703021405</v>
      </c>
      <c r="O975" s="1">
        <f t="shared" si="371"/>
        <v>0</v>
      </c>
      <c r="P975" s="1">
        <f t="shared" si="372"/>
        <v>2104.0500000000002</v>
      </c>
      <c r="Q975" s="5">
        <f t="shared" si="373"/>
        <v>0.23013698630136992</v>
      </c>
      <c r="R975" s="5">
        <f t="shared" si="374"/>
        <v>-0.57299033771635877</v>
      </c>
      <c r="S975" s="5">
        <f t="shared" si="380"/>
        <v>77.904216703021405</v>
      </c>
      <c r="T975" s="5">
        <f t="shared" si="381"/>
        <v>-724.42408383198278</v>
      </c>
      <c r="U975" s="4">
        <f t="shared" si="382"/>
        <v>1568388.5772211028</v>
      </c>
      <c r="V975" s="4">
        <f t="shared" si="375"/>
        <v>75.9271949575257</v>
      </c>
      <c r="W975" s="4">
        <f t="shared" si="383"/>
        <v>1511952.8864093684</v>
      </c>
      <c r="X975" s="4">
        <f t="shared" si="387"/>
        <v>-10378.648393014912</v>
      </c>
      <c r="Y975" s="9">
        <f>SUM($X$6:X975)</f>
        <v>511952.88640936837</v>
      </c>
      <c r="Z975" s="16">
        <f t="shared" si="365"/>
        <v>0.51195288640936831</v>
      </c>
      <c r="AA975" s="16">
        <f t="shared" si="384"/>
        <v>0.62762908555588615</v>
      </c>
      <c r="AB975" s="16">
        <f t="shared" si="385"/>
        <v>-6.8176006052204545E-3</v>
      </c>
      <c r="AC975" s="16">
        <f t="shared" si="386"/>
        <v>-9.8227896341462895E-3</v>
      </c>
    </row>
    <row r="976" spans="1:29" x14ac:dyDescent="0.15">
      <c r="A976" s="8">
        <v>42318</v>
      </c>
      <c r="B976" s="4">
        <v>2081.7199999999998</v>
      </c>
      <c r="C976" s="1">
        <v>14.446199999999999</v>
      </c>
      <c r="D976" s="1">
        <v>2.11</v>
      </c>
      <c r="E976" s="1">
        <v>0.36399999999999999</v>
      </c>
      <c r="F976" s="4">
        <f t="shared" si="376"/>
        <v>0.14446199999999998</v>
      </c>
      <c r="G976" s="4">
        <f t="shared" si="377"/>
        <v>2.1099999999999997E-2</v>
      </c>
      <c r="H976" s="4">
        <f t="shared" si="378"/>
        <v>3.64E-3</v>
      </c>
      <c r="I976" s="3">
        <f t="shared" si="379"/>
        <v>64.332949503362514</v>
      </c>
      <c r="J976" s="4">
        <f t="shared" si="366"/>
        <v>1568388.5772211028</v>
      </c>
      <c r="K976" s="1">
        <f t="shared" si="367"/>
        <v>2104.0500000000002</v>
      </c>
      <c r="L976" s="5">
        <f t="shared" si="368"/>
        <v>0.22739726027397267</v>
      </c>
      <c r="M976" s="5">
        <f t="shared" si="369"/>
        <v>-0.56793542654793583</v>
      </c>
      <c r="N976" s="5">
        <f t="shared" si="370"/>
        <v>73.91184651322466</v>
      </c>
      <c r="O976" s="1">
        <f t="shared" si="371"/>
        <v>0</v>
      </c>
      <c r="P976" s="1">
        <f t="shared" si="372"/>
        <v>2104.0500000000002</v>
      </c>
      <c r="Q976" s="5">
        <f t="shared" si="373"/>
        <v>0.22739726027397267</v>
      </c>
      <c r="R976" s="5">
        <f t="shared" si="374"/>
        <v>-0.56793542654793583</v>
      </c>
      <c r="S976" s="5">
        <f t="shared" si="380"/>
        <v>73.91184651322466</v>
      </c>
      <c r="T976" s="5">
        <f t="shared" si="381"/>
        <v>-724.42408383198278</v>
      </c>
      <c r="U976" s="4">
        <f t="shared" si="382"/>
        <v>1568464.5044160604</v>
      </c>
      <c r="V976" s="4">
        <f t="shared" si="375"/>
        <v>25.310290221946836</v>
      </c>
      <c r="W976" s="4">
        <f t="shared" si="383"/>
        <v>1514920.9827213874</v>
      </c>
      <c r="X976" s="4">
        <f t="shared" si="387"/>
        <v>2968.0963120190427</v>
      </c>
      <c r="Y976" s="9">
        <f>SUM($X$6:X976)</f>
        <v>514920.98272138741</v>
      </c>
      <c r="Z976" s="16">
        <f t="shared" si="365"/>
        <v>0.51492098272138742</v>
      </c>
      <c r="AA976" s="16">
        <f t="shared" si="384"/>
        <v>0.63008785804895606</v>
      </c>
      <c r="AB976" s="16">
        <f t="shared" si="385"/>
        <v>1.9630878307774313E-3</v>
      </c>
      <c r="AC976" s="16">
        <f t="shared" si="386"/>
        <v>1.5106466914912454E-3</v>
      </c>
    </row>
    <row r="977" spans="1:29" x14ac:dyDescent="0.15">
      <c r="A977" s="8">
        <v>42319</v>
      </c>
      <c r="B977" s="4">
        <v>2075</v>
      </c>
      <c r="C977" s="1">
        <v>14.9373</v>
      </c>
      <c r="D977" s="1">
        <v>2.12</v>
      </c>
      <c r="E977" s="1">
        <v>0.36680000000000001</v>
      </c>
      <c r="F977" s="4">
        <f t="shared" si="376"/>
        <v>0.14937300000000001</v>
      </c>
      <c r="G977" s="4">
        <f t="shared" si="377"/>
        <v>2.12E-2</v>
      </c>
      <c r="H977" s="4">
        <f t="shared" si="378"/>
        <v>3.6680000000000003E-3</v>
      </c>
      <c r="I977" s="3">
        <f t="shared" si="379"/>
        <v>66.162373200541182</v>
      </c>
      <c r="J977" s="4">
        <f t="shared" si="366"/>
        <v>1568464.5044160604</v>
      </c>
      <c r="K977" s="1">
        <f t="shared" si="367"/>
        <v>2104.0500000000002</v>
      </c>
      <c r="L977" s="5">
        <f t="shared" si="368"/>
        <v>0.22465753424657542</v>
      </c>
      <c r="M977" s="5">
        <f t="shared" si="369"/>
        <v>-0.58295703827956868</v>
      </c>
      <c r="N977" s="5">
        <f t="shared" si="370"/>
        <v>79.288533395023748</v>
      </c>
      <c r="O977" s="1">
        <f t="shared" si="371"/>
        <v>0</v>
      </c>
      <c r="P977" s="1">
        <f t="shared" si="372"/>
        <v>2104.0500000000002</v>
      </c>
      <c r="Q977" s="5">
        <f t="shared" si="373"/>
        <v>0.22465753424657542</v>
      </c>
      <c r="R977" s="5">
        <f t="shared" si="374"/>
        <v>-0.58295703827956868</v>
      </c>
      <c r="S977" s="5">
        <f t="shared" si="380"/>
        <v>79.288533395023748</v>
      </c>
      <c r="T977" s="5">
        <f t="shared" si="381"/>
        <v>-724.42408383198278</v>
      </c>
      <c r="U977" s="4">
        <f t="shared" si="382"/>
        <v>1568489.8147062825</v>
      </c>
      <c r="V977" s="4">
        <f t="shared" si="375"/>
        <v>25.31069865375343</v>
      </c>
      <c r="W977" s="4">
        <f t="shared" si="383"/>
        <v>1511051.2915432109</v>
      </c>
      <c r="X977" s="4">
        <f t="shared" si="387"/>
        <v>-3869.6911781765521</v>
      </c>
      <c r="Y977" s="9">
        <f>SUM($X$6:X977)</f>
        <v>511051.29154321086</v>
      </c>
      <c r="Z977" s="16">
        <f t="shared" si="365"/>
        <v>0.51105129154321083</v>
      </c>
      <c r="AA977" s="16">
        <f t="shared" si="384"/>
        <v>0.6248257716943606</v>
      </c>
      <c r="AB977" s="16">
        <f t="shared" si="385"/>
        <v>-2.5543848308345967E-3</v>
      </c>
      <c r="AC977" s="16">
        <f t="shared" si="386"/>
        <v>-3.2280998405164003E-3</v>
      </c>
    </row>
    <row r="978" spans="1:29" x14ac:dyDescent="0.15">
      <c r="A978" s="8">
        <v>42320</v>
      </c>
      <c r="B978" s="4">
        <v>2045.97</v>
      </c>
      <c r="C978" s="1">
        <v>16.424800000000001</v>
      </c>
      <c r="D978" s="1">
        <v>2.15</v>
      </c>
      <c r="E978" s="1">
        <v>0.36959999999999998</v>
      </c>
      <c r="F978" s="4">
        <f t="shared" si="376"/>
        <v>0.16424800000000001</v>
      </c>
      <c r="G978" s="4">
        <f t="shared" si="377"/>
        <v>2.1499999999999998E-2</v>
      </c>
      <c r="H978" s="4">
        <f t="shared" si="378"/>
        <v>3.6959999999999996E-3</v>
      </c>
      <c r="I978" s="3">
        <f t="shared" si="379"/>
        <v>71.335466428242611</v>
      </c>
      <c r="J978" s="4">
        <f t="shared" si="366"/>
        <v>1568489.8147062825</v>
      </c>
      <c r="K978" s="1">
        <f t="shared" si="367"/>
        <v>2104.0500000000002</v>
      </c>
      <c r="L978" s="5">
        <f t="shared" si="368"/>
        <v>0.22191780821917817</v>
      </c>
      <c r="M978" s="5">
        <f t="shared" si="369"/>
        <v>-0.64278012543564733</v>
      </c>
      <c r="N978" s="5">
        <f t="shared" si="370"/>
        <v>102.26759525301273</v>
      </c>
      <c r="O978" s="1">
        <f t="shared" si="371"/>
        <v>0</v>
      </c>
      <c r="P978" s="1">
        <f t="shared" si="372"/>
        <v>2104.0500000000002</v>
      </c>
      <c r="Q978" s="5">
        <f t="shared" si="373"/>
        <v>0.22191780821917817</v>
      </c>
      <c r="R978" s="5">
        <f t="shared" si="374"/>
        <v>-0.64278012543564733</v>
      </c>
      <c r="S978" s="5">
        <f t="shared" si="380"/>
        <v>102.26759525301273</v>
      </c>
      <c r="T978" s="5">
        <f t="shared" si="381"/>
        <v>-724.42408383198278</v>
      </c>
      <c r="U978" s="4">
        <f t="shared" si="382"/>
        <v>1568515.1254049363</v>
      </c>
      <c r="V978" s="4">
        <f t="shared" si="375"/>
        <v>25.311107092150888</v>
      </c>
      <c r="W978" s="4">
        <f t="shared" si="383"/>
        <v>1494430.0164080726</v>
      </c>
      <c r="X978" s="4">
        <f t="shared" si="387"/>
        <v>-16621.275135138305</v>
      </c>
      <c r="Y978" s="9">
        <f>SUM($X$6:X978)</f>
        <v>494430.01640807255</v>
      </c>
      <c r="Z978" s="16">
        <f t="shared" ref="Z978:Z1041" si="388">Y978/$H$3</f>
        <v>0.49443001640807255</v>
      </c>
      <c r="AA978" s="16">
        <f t="shared" si="384"/>
        <v>0.60209387186193297</v>
      </c>
      <c r="AB978" s="16">
        <f t="shared" si="385"/>
        <v>-1.0999808694887703E-2</v>
      </c>
      <c r="AC978" s="16">
        <f t="shared" si="386"/>
        <v>-1.3990361445783119E-2</v>
      </c>
    </row>
    <row r="979" spans="1:29" x14ac:dyDescent="0.15">
      <c r="A979" s="8">
        <v>42321</v>
      </c>
      <c r="B979" s="4">
        <v>2023.04</v>
      </c>
      <c r="C979" s="1">
        <v>17.497800000000002</v>
      </c>
      <c r="D979" s="1">
        <v>2.17</v>
      </c>
      <c r="E979" s="1">
        <v>0.37169999999999997</v>
      </c>
      <c r="F979" s="4">
        <f t="shared" si="376"/>
        <v>0.17497800000000002</v>
      </c>
      <c r="G979" s="4">
        <f t="shared" si="377"/>
        <v>2.1700000000000001E-2</v>
      </c>
      <c r="H979" s="4">
        <f t="shared" si="378"/>
        <v>3.7169999999999998E-3</v>
      </c>
      <c r="I979" s="3">
        <f t="shared" si="379"/>
        <v>74.881439971288074</v>
      </c>
      <c r="J979" s="4">
        <f t="shared" si="366"/>
        <v>1568515.1254049363</v>
      </c>
      <c r="K979" s="1">
        <f t="shared" si="367"/>
        <v>2104.0500000000002</v>
      </c>
      <c r="L979" s="5">
        <f t="shared" si="368"/>
        <v>0.21917808219178092</v>
      </c>
      <c r="M979" s="5">
        <f t="shared" si="369"/>
        <v>-0.68341614858625599</v>
      </c>
      <c r="N979" s="5">
        <f t="shared" si="370"/>
        <v>120.81546203083248</v>
      </c>
      <c r="O979" s="1">
        <f t="shared" si="371"/>
        <v>0</v>
      </c>
      <c r="P979" s="1">
        <f t="shared" si="372"/>
        <v>2104.0500000000002</v>
      </c>
      <c r="Q979" s="5">
        <f t="shared" si="373"/>
        <v>0.21917808219178092</v>
      </c>
      <c r="R979" s="5">
        <f t="shared" si="374"/>
        <v>-0.68341614858625599</v>
      </c>
      <c r="S979" s="5">
        <f t="shared" si="380"/>
        <v>120.81546203083248</v>
      </c>
      <c r="T979" s="5">
        <f t="shared" si="381"/>
        <v>-724.42408383198278</v>
      </c>
      <c r="U979" s="4">
        <f t="shared" si="382"/>
        <v>1568540.4365120283</v>
      </c>
      <c r="V979" s="4">
        <f t="shared" si="375"/>
        <v>25.311515537139304</v>
      </c>
      <c r="W979" s="4">
        <f t="shared" si="383"/>
        <v>1481018.8061176047</v>
      </c>
      <c r="X979" s="4">
        <f t="shared" si="387"/>
        <v>-13411.210290467832</v>
      </c>
      <c r="Y979" s="9">
        <f>SUM($X$6:X979)</f>
        <v>481018.80611760472</v>
      </c>
      <c r="Z979" s="16">
        <f t="shared" si="388"/>
        <v>0.48101880611760472</v>
      </c>
      <c r="AA979" s="16">
        <f t="shared" si="384"/>
        <v>0.58413856827400434</v>
      </c>
      <c r="AB979" s="16">
        <f t="shared" si="385"/>
        <v>-8.9741307008154581E-3</v>
      </c>
      <c r="AC979" s="16">
        <f t="shared" si="386"/>
        <v>-1.1207397957936852E-2</v>
      </c>
    </row>
    <row r="980" spans="1:29" x14ac:dyDescent="0.15">
      <c r="A980" s="8">
        <v>42324</v>
      </c>
      <c r="B980" s="4">
        <v>2053.19</v>
      </c>
      <c r="C980" s="1">
        <v>16.180800000000001</v>
      </c>
      <c r="D980" s="1">
        <v>2.14</v>
      </c>
      <c r="E980" s="1">
        <v>0.37219999999999998</v>
      </c>
      <c r="F980" s="4">
        <f t="shared" si="376"/>
        <v>0.16180800000000001</v>
      </c>
      <c r="G980" s="4">
        <f t="shared" si="377"/>
        <v>2.1400000000000002E-2</v>
      </c>
      <c r="H980" s="4">
        <f t="shared" si="378"/>
        <v>3.7219999999999996E-3</v>
      </c>
      <c r="I980" s="3">
        <f t="shared" si="379"/>
        <v>70.561791952056979</v>
      </c>
      <c r="J980" s="4">
        <f t="shared" si="366"/>
        <v>1568540.4365120283</v>
      </c>
      <c r="K980" s="1">
        <f t="shared" si="367"/>
        <v>2104.0500000000002</v>
      </c>
      <c r="L980" s="5">
        <f t="shared" si="368"/>
        <v>0.21095890410958915</v>
      </c>
      <c r="M980" s="5">
        <f t="shared" si="369"/>
        <v>-0.63107049532145709</v>
      </c>
      <c r="N980" s="5">
        <f t="shared" si="370"/>
        <v>95.05045049647876</v>
      </c>
      <c r="O980" s="1">
        <f t="shared" si="371"/>
        <v>0</v>
      </c>
      <c r="P980" s="1">
        <f t="shared" si="372"/>
        <v>2104.0500000000002</v>
      </c>
      <c r="Q980" s="5">
        <f t="shared" si="373"/>
        <v>0.21095890410958915</v>
      </c>
      <c r="R980" s="5">
        <f t="shared" si="374"/>
        <v>-0.63107049532145709</v>
      </c>
      <c r="S980" s="5">
        <f t="shared" si="380"/>
        <v>95.05045049647876</v>
      </c>
      <c r="T980" s="5">
        <f t="shared" si="381"/>
        <v>-724.42408383198278</v>
      </c>
      <c r="U980" s="4">
        <f t="shared" si="382"/>
        <v>1568565.7480275654</v>
      </c>
      <c r="V980" s="4">
        <f t="shared" si="375"/>
        <v>75.935771966156366</v>
      </c>
      <c r="W980" s="4">
        <f t="shared" si="383"/>
        <v>1499708.9125088365</v>
      </c>
      <c r="X980" s="4">
        <f t="shared" si="387"/>
        <v>18690.106391231762</v>
      </c>
      <c r="Y980" s="9">
        <f>SUM($X$6:X980)</f>
        <v>499708.91250883648</v>
      </c>
      <c r="Z980" s="16">
        <f t="shared" si="388"/>
        <v>0.49970891250883648</v>
      </c>
      <c r="AA980" s="16">
        <f t="shared" si="384"/>
        <v>0.60774748249886468</v>
      </c>
      <c r="AB980" s="16">
        <f t="shared" si="385"/>
        <v>1.2619763040164676E-2</v>
      </c>
      <c r="AC980" s="16">
        <f t="shared" si="386"/>
        <v>1.4903313824739053E-2</v>
      </c>
    </row>
    <row r="981" spans="1:29" x14ac:dyDescent="0.15">
      <c r="A981" s="8">
        <v>42325</v>
      </c>
      <c r="B981" s="4">
        <v>2050.44</v>
      </c>
      <c r="C981" s="1">
        <v>16.459800000000001</v>
      </c>
      <c r="D981" s="1">
        <v>2.15</v>
      </c>
      <c r="E981" s="1">
        <v>0.37530000000000002</v>
      </c>
      <c r="F981" s="4">
        <f t="shared" si="376"/>
        <v>0.16459800000000002</v>
      </c>
      <c r="G981" s="4">
        <f t="shared" si="377"/>
        <v>2.1499999999999998E-2</v>
      </c>
      <c r="H981" s="4">
        <f t="shared" si="378"/>
        <v>3.7530000000000003E-3</v>
      </c>
      <c r="I981" s="3">
        <f t="shared" si="379"/>
        <v>71.617840000449661</v>
      </c>
      <c r="J981" s="4">
        <f t="shared" si="366"/>
        <v>1568565.7480275654</v>
      </c>
      <c r="K981" s="1">
        <f t="shared" si="367"/>
        <v>2104.0500000000002</v>
      </c>
      <c r="L981" s="5">
        <f t="shared" si="368"/>
        <v>0.2082191780821919</v>
      </c>
      <c r="M981" s="5">
        <f t="shared" si="369"/>
        <v>-0.63595690034882846</v>
      </c>
      <c r="N981" s="5">
        <f t="shared" si="370"/>
        <v>97.35366840470418</v>
      </c>
      <c r="O981" s="1">
        <f t="shared" si="371"/>
        <v>0</v>
      </c>
      <c r="P981" s="1">
        <f t="shared" si="372"/>
        <v>2104.0500000000002</v>
      </c>
      <c r="Q981" s="5">
        <f t="shared" si="373"/>
        <v>0.2082191780821919</v>
      </c>
      <c r="R981" s="5">
        <f t="shared" si="374"/>
        <v>-0.63595690034882846</v>
      </c>
      <c r="S981" s="5">
        <f t="shared" si="380"/>
        <v>97.35366840470418</v>
      </c>
      <c r="T981" s="5">
        <f t="shared" si="381"/>
        <v>-724.42408383198278</v>
      </c>
      <c r="U981" s="4">
        <f t="shared" si="382"/>
        <v>1568641.6837995315</v>
      </c>
      <c r="V981" s="4">
        <f t="shared" si="375"/>
        <v>25.313149363230796</v>
      </c>
      <c r="W981" s="4">
        <f t="shared" si="383"/>
        <v>1498116.3417577711</v>
      </c>
      <c r="X981" s="4">
        <f t="shared" si="387"/>
        <v>-1592.5707510653883</v>
      </c>
      <c r="Y981" s="9">
        <f>SUM($X$6:X981)</f>
        <v>498116.34175777109</v>
      </c>
      <c r="Z981" s="16">
        <f t="shared" si="388"/>
        <v>0.49811634175777109</v>
      </c>
      <c r="AA981" s="16">
        <f t="shared" si="384"/>
        <v>0.60559409894601679</v>
      </c>
      <c r="AB981" s="16">
        <f t="shared" si="385"/>
        <v>-1.0619199084449028E-3</v>
      </c>
      <c r="AC981" s="16">
        <f t="shared" si="386"/>
        <v>-1.3393792099123801E-3</v>
      </c>
    </row>
    <row r="982" spans="1:29" x14ac:dyDescent="0.15">
      <c r="A982" s="8">
        <v>42326</v>
      </c>
      <c r="B982" s="4">
        <v>2083.58</v>
      </c>
      <c r="C982" s="1">
        <v>15.272500000000001</v>
      </c>
      <c r="D982" s="1">
        <v>2.11</v>
      </c>
      <c r="E982" s="1">
        <v>0.37759999999999999</v>
      </c>
      <c r="F982" s="4">
        <f t="shared" si="376"/>
        <v>0.152725</v>
      </c>
      <c r="G982" s="4">
        <f t="shared" si="377"/>
        <v>2.1099999999999997E-2</v>
      </c>
      <c r="H982" s="4">
        <f t="shared" si="378"/>
        <v>3.7759999999999998E-3</v>
      </c>
      <c r="I982" s="3">
        <f t="shared" si="379"/>
        <v>67.763187422550999</v>
      </c>
      <c r="J982" s="4">
        <f t="shared" si="366"/>
        <v>1568641.6837995315</v>
      </c>
      <c r="K982" s="1">
        <f t="shared" si="367"/>
        <v>2104.0500000000002</v>
      </c>
      <c r="L982" s="5">
        <f t="shared" si="368"/>
        <v>0.20547945205479465</v>
      </c>
      <c r="M982" s="5">
        <f t="shared" si="369"/>
        <v>-0.56034530860690679</v>
      </c>
      <c r="N982" s="5">
        <f t="shared" si="370"/>
        <v>72.662448328491379</v>
      </c>
      <c r="O982" s="1">
        <f t="shared" si="371"/>
        <v>0</v>
      </c>
      <c r="P982" s="1">
        <f t="shared" si="372"/>
        <v>2104.0500000000002</v>
      </c>
      <c r="Q982" s="5">
        <f t="shared" si="373"/>
        <v>0.20547945205479465</v>
      </c>
      <c r="R982" s="5">
        <f t="shared" si="374"/>
        <v>-0.56034530860690679</v>
      </c>
      <c r="S982" s="5">
        <f t="shared" si="380"/>
        <v>72.662448328491379</v>
      </c>
      <c r="T982" s="5">
        <f t="shared" si="381"/>
        <v>-724.42408383198278</v>
      </c>
      <c r="U982" s="4">
        <f t="shared" si="382"/>
        <v>1568666.9969488948</v>
      </c>
      <c r="V982" s="4">
        <f t="shared" si="375"/>
        <v>25.313557841175314</v>
      </c>
      <c r="W982" s="4">
        <f t="shared" si="383"/>
        <v>1516028.5693895386</v>
      </c>
      <c r="X982" s="4">
        <f t="shared" si="387"/>
        <v>17912.227631767513</v>
      </c>
      <c r="Y982" s="9">
        <f>SUM($X$6:X982)</f>
        <v>516028.56938953861</v>
      </c>
      <c r="Z982" s="16">
        <f t="shared" si="388"/>
        <v>0.51602856938953856</v>
      </c>
      <c r="AA982" s="16">
        <f t="shared" si="384"/>
        <v>0.63154432837924612</v>
      </c>
      <c r="AB982" s="16">
        <f t="shared" si="385"/>
        <v>1.1956499727351431E-2</v>
      </c>
      <c r="AC982" s="16">
        <f t="shared" si="386"/>
        <v>1.6162384658902417E-2</v>
      </c>
    </row>
    <row r="983" spans="1:29" x14ac:dyDescent="0.15">
      <c r="A983" s="8">
        <v>42327</v>
      </c>
      <c r="B983" s="4">
        <v>2081.2399999999998</v>
      </c>
      <c r="C983" s="1">
        <v>15.4902</v>
      </c>
      <c r="D983" s="1">
        <v>2.11</v>
      </c>
      <c r="E983" s="1">
        <v>0.38600000000000001</v>
      </c>
      <c r="F983" s="4">
        <f t="shared" si="376"/>
        <v>0.15490199999999998</v>
      </c>
      <c r="G983" s="4">
        <f t="shared" si="377"/>
        <v>2.1099999999999997E-2</v>
      </c>
      <c r="H983" s="4">
        <f t="shared" si="378"/>
        <v>3.8600000000000001E-3</v>
      </c>
      <c r="I983" s="3">
        <f t="shared" si="379"/>
        <v>68.561333830029298</v>
      </c>
      <c r="J983" s="4">
        <f t="shared" si="366"/>
        <v>1568666.9969488948</v>
      </c>
      <c r="K983" s="1">
        <f t="shared" si="367"/>
        <v>2104.0500000000002</v>
      </c>
      <c r="L983" s="5">
        <f t="shared" si="368"/>
        <v>0.2027397260273974</v>
      </c>
      <c r="M983" s="5">
        <f t="shared" si="369"/>
        <v>-0.56566787605713553</v>
      </c>
      <c r="N983" s="5">
        <f t="shared" si="370"/>
        <v>74.325803617754602</v>
      </c>
      <c r="O983" s="1">
        <f t="shared" si="371"/>
        <v>0</v>
      </c>
      <c r="P983" s="1">
        <f t="shared" si="372"/>
        <v>2104.0500000000002</v>
      </c>
      <c r="Q983" s="5">
        <f t="shared" si="373"/>
        <v>0.2027397260273974</v>
      </c>
      <c r="R983" s="5">
        <f t="shared" si="374"/>
        <v>-0.56566787605713553</v>
      </c>
      <c r="S983" s="5">
        <f t="shared" si="380"/>
        <v>74.325803617754602</v>
      </c>
      <c r="T983" s="5">
        <f t="shared" si="381"/>
        <v>-724.42408383198278</v>
      </c>
      <c r="U983" s="4">
        <f t="shared" si="382"/>
        <v>1568692.3105067359</v>
      </c>
      <c r="V983" s="4">
        <f t="shared" si="375"/>
        <v>25.313966325711437</v>
      </c>
      <c r="W983" s="4">
        <f t="shared" si="383"/>
        <v>1514848.9083158681</v>
      </c>
      <c r="X983" s="4">
        <f t="shared" si="387"/>
        <v>-1179.6610736704897</v>
      </c>
      <c r="Y983" s="9">
        <f>SUM($X$6:X983)</f>
        <v>514848.90831586812</v>
      </c>
      <c r="Z983" s="16">
        <f t="shared" si="388"/>
        <v>0.51484890831586816</v>
      </c>
      <c r="AA983" s="16">
        <f t="shared" si="384"/>
        <v>0.62971199473791351</v>
      </c>
      <c r="AB983" s="16">
        <f t="shared" si="385"/>
        <v>-7.7812588594257533E-4</v>
      </c>
      <c r="AC983" s="16">
        <f t="shared" si="386"/>
        <v>-1.1230670288638524E-3</v>
      </c>
    </row>
    <row r="984" spans="1:29" x14ac:dyDescent="0.15">
      <c r="A984" s="8">
        <v>42328</v>
      </c>
      <c r="B984" s="4">
        <v>2089.17</v>
      </c>
      <c r="C984" s="1">
        <v>14.8643</v>
      </c>
      <c r="D984" s="1">
        <v>2.1</v>
      </c>
      <c r="E984" s="1">
        <v>0.3906</v>
      </c>
      <c r="F984" s="4">
        <f t="shared" si="376"/>
        <v>0.148643</v>
      </c>
      <c r="G984" s="4">
        <f t="shared" si="377"/>
        <v>2.1000000000000001E-2</v>
      </c>
      <c r="H984" s="4">
        <f t="shared" si="378"/>
        <v>3.9060000000000002E-3</v>
      </c>
      <c r="I984" s="3">
        <f t="shared" si="379"/>
        <v>66.192760036589689</v>
      </c>
      <c r="J984" s="4">
        <f t="shared" si="366"/>
        <v>1568692.3105067359</v>
      </c>
      <c r="K984" s="1">
        <f t="shared" si="367"/>
        <v>2104.0500000000002</v>
      </c>
      <c r="L984" s="5">
        <f t="shared" si="368"/>
        <v>0.20000000000000015</v>
      </c>
      <c r="M984" s="5">
        <f t="shared" si="369"/>
        <v>-0.54741715074385833</v>
      </c>
      <c r="N984" s="5">
        <f t="shared" si="370"/>
        <v>67.142188016709426</v>
      </c>
      <c r="O984" s="1">
        <f t="shared" si="371"/>
        <v>0</v>
      </c>
      <c r="P984" s="1">
        <f t="shared" si="372"/>
        <v>2104.0500000000002</v>
      </c>
      <c r="Q984" s="5">
        <f t="shared" si="373"/>
        <v>0.20000000000000015</v>
      </c>
      <c r="R984" s="5">
        <f t="shared" si="374"/>
        <v>-0.54741715074385833</v>
      </c>
      <c r="S984" s="5">
        <f t="shared" si="380"/>
        <v>67.142188016709426</v>
      </c>
      <c r="T984" s="5">
        <f t="shared" si="381"/>
        <v>-724.42408383198278</v>
      </c>
      <c r="U984" s="4">
        <f t="shared" si="382"/>
        <v>1568717.6244730616</v>
      </c>
      <c r="V984" s="4">
        <f t="shared" si="375"/>
        <v>25.314374816839265</v>
      </c>
      <c r="W984" s="4">
        <f t="shared" si="383"/>
        <v>1520078.2064325821</v>
      </c>
      <c r="X984" s="4">
        <f t="shared" si="387"/>
        <v>5229.2981167139951</v>
      </c>
      <c r="Y984" s="9">
        <f>SUM($X$6:X984)</f>
        <v>520078.20643258211</v>
      </c>
      <c r="Z984" s="16">
        <f t="shared" si="388"/>
        <v>0.52007820643258207</v>
      </c>
      <c r="AA984" s="16">
        <f t="shared" si="384"/>
        <v>0.63592156985576254</v>
      </c>
      <c r="AB984" s="16">
        <f t="shared" si="385"/>
        <v>3.4520261974692002E-3</v>
      </c>
      <c r="AC984" s="16">
        <f t="shared" si="386"/>
        <v>3.8102285176146392E-3</v>
      </c>
    </row>
    <row r="985" spans="1:29" x14ac:dyDescent="0.15">
      <c r="A985" s="8">
        <v>42331</v>
      </c>
      <c r="B985" s="4">
        <v>2086.59</v>
      </c>
      <c r="C985" s="1">
        <v>14.770799999999999</v>
      </c>
      <c r="D985" s="1">
        <v>2.1</v>
      </c>
      <c r="E985" s="1">
        <v>0.40189999999999998</v>
      </c>
      <c r="F985" s="4">
        <f t="shared" si="376"/>
        <v>0.14770800000000001</v>
      </c>
      <c r="G985" s="4">
        <f t="shared" si="377"/>
        <v>2.1000000000000001E-2</v>
      </c>
      <c r="H985" s="4">
        <f t="shared" si="378"/>
        <v>4.019E-3</v>
      </c>
      <c r="I985" s="3">
        <f t="shared" si="379"/>
        <v>65.692927017263855</v>
      </c>
      <c r="J985" s="4">
        <f t="shared" si="366"/>
        <v>1568717.6244730616</v>
      </c>
      <c r="K985" s="1">
        <f t="shared" si="367"/>
        <v>2104.0500000000002</v>
      </c>
      <c r="L985" s="5">
        <f t="shared" si="368"/>
        <v>0.19178082191780838</v>
      </c>
      <c r="M985" s="5">
        <f t="shared" si="369"/>
        <v>-0.55612062514916905</v>
      </c>
      <c r="N985" s="5">
        <f t="shared" si="370"/>
        <v>66.908582923860465</v>
      </c>
      <c r="O985" s="1">
        <f t="shared" si="371"/>
        <v>0</v>
      </c>
      <c r="P985" s="1">
        <f t="shared" si="372"/>
        <v>2104.0500000000002</v>
      </c>
      <c r="Q985" s="5">
        <f t="shared" si="373"/>
        <v>0.19178082191780838</v>
      </c>
      <c r="R985" s="5">
        <f t="shared" si="374"/>
        <v>-0.55612062514916905</v>
      </c>
      <c r="S985" s="5">
        <f t="shared" si="380"/>
        <v>66.908582923860465</v>
      </c>
      <c r="T985" s="5">
        <f t="shared" si="381"/>
        <v>-724.42408383198278</v>
      </c>
      <c r="U985" s="4">
        <f t="shared" si="382"/>
        <v>1568742.9388478785</v>
      </c>
      <c r="V985" s="4">
        <f t="shared" si="375"/>
        <v>75.944349943676741</v>
      </c>
      <c r="W985" s="4">
        <f t="shared" si="383"/>
        <v>1520272.7499627646</v>
      </c>
      <c r="X985" s="4">
        <f t="shared" si="387"/>
        <v>194.54353018244728</v>
      </c>
      <c r="Y985" s="9">
        <f>SUM($X$6:X985)</f>
        <v>520272.74996276456</v>
      </c>
      <c r="Z985" s="16">
        <f t="shared" si="388"/>
        <v>0.52027274996276451</v>
      </c>
      <c r="AA985" s="16">
        <f t="shared" si="384"/>
        <v>0.63390130455890892</v>
      </c>
      <c r="AB985" s="16">
        <f t="shared" si="385"/>
        <v>1.2798257968516937E-4</v>
      </c>
      <c r="AC985" s="16">
        <f t="shared" si="386"/>
        <v>-1.2349401915592924E-3</v>
      </c>
    </row>
    <row r="986" spans="1:29" x14ac:dyDescent="0.15">
      <c r="A986" s="8">
        <v>42332</v>
      </c>
      <c r="B986" s="4">
        <v>2089.14</v>
      </c>
      <c r="C986" s="1">
        <v>14.769</v>
      </c>
      <c r="D986" s="1">
        <v>2.1</v>
      </c>
      <c r="E986" s="1">
        <v>0.41099999999999998</v>
      </c>
      <c r="F986" s="4">
        <f t="shared" si="376"/>
        <v>0.14768999999999999</v>
      </c>
      <c r="G986" s="4">
        <f t="shared" si="377"/>
        <v>2.1000000000000001E-2</v>
      </c>
      <c r="H986" s="4">
        <f t="shared" si="378"/>
        <v>4.1099999999999999E-3</v>
      </c>
      <c r="I986" s="3">
        <f t="shared" si="379"/>
        <v>65.740309321174692</v>
      </c>
      <c r="J986" s="4">
        <f t="shared" si="366"/>
        <v>1568742.9388478785</v>
      </c>
      <c r="K986" s="1">
        <f t="shared" si="367"/>
        <v>2104.0500000000002</v>
      </c>
      <c r="L986" s="5">
        <f t="shared" si="368"/>
        <v>0.18904109589041113</v>
      </c>
      <c r="M986" s="5">
        <f t="shared" si="369"/>
        <v>-0.54888617533452821</v>
      </c>
      <c r="N986" s="5">
        <f t="shared" si="370"/>
        <v>65.038259758339606</v>
      </c>
      <c r="O986" s="1">
        <f t="shared" si="371"/>
        <v>0</v>
      </c>
      <c r="P986" s="1">
        <f t="shared" si="372"/>
        <v>2104.0500000000002</v>
      </c>
      <c r="Q986" s="5">
        <f t="shared" si="373"/>
        <v>0.18904109589041113</v>
      </c>
      <c r="R986" s="5">
        <f t="shared" si="374"/>
        <v>-0.54888617533452821</v>
      </c>
      <c r="S986" s="5">
        <f t="shared" si="380"/>
        <v>65.038259758339606</v>
      </c>
      <c r="T986" s="5">
        <f t="shared" si="381"/>
        <v>-724.42408383198278</v>
      </c>
      <c r="U986" s="4">
        <f t="shared" si="382"/>
        <v>1568818.8831978221</v>
      </c>
      <c r="V986" s="4">
        <f t="shared" si="375"/>
        <v>25.316008827493622</v>
      </c>
      <c r="W986" s="4">
        <f t="shared" si="383"/>
        <v>1521703.6014583604</v>
      </c>
      <c r="X986" s="4">
        <f t="shared" si="387"/>
        <v>1430.8514955958817</v>
      </c>
      <c r="Y986" s="9">
        <f>SUM($X$6:X986)</f>
        <v>521703.60145836044</v>
      </c>
      <c r="Z986" s="16">
        <f t="shared" si="388"/>
        <v>0.52170360145836048</v>
      </c>
      <c r="AA986" s="16">
        <f t="shared" si="384"/>
        <v>0.63589807839882229</v>
      </c>
      <c r="AB986" s="16">
        <f t="shared" si="385"/>
        <v>9.4118078195568988E-4</v>
      </c>
      <c r="AC986" s="16">
        <f t="shared" si="386"/>
        <v>1.2220896294910485E-3</v>
      </c>
    </row>
    <row r="987" spans="1:29" x14ac:dyDescent="0.15">
      <c r="A987" s="8">
        <v>42333</v>
      </c>
      <c r="B987" s="4">
        <v>2088.87</v>
      </c>
      <c r="C987" s="1">
        <v>14.6121</v>
      </c>
      <c r="D987" s="1">
        <v>2.1</v>
      </c>
      <c r="E987" s="1">
        <v>0.41549999999999998</v>
      </c>
      <c r="F987" s="4">
        <f t="shared" si="376"/>
        <v>0.146121</v>
      </c>
      <c r="G987" s="4">
        <f t="shared" si="377"/>
        <v>2.1000000000000001E-2</v>
      </c>
      <c r="H987" s="4">
        <f t="shared" si="378"/>
        <v>4.1549999999999998E-3</v>
      </c>
      <c r="I987" s="3">
        <f t="shared" si="379"/>
        <v>65.069920501142732</v>
      </c>
      <c r="J987" s="4">
        <f t="shared" si="366"/>
        <v>1568818.8831978221</v>
      </c>
      <c r="K987" s="1">
        <f t="shared" si="367"/>
        <v>2104.0500000000002</v>
      </c>
      <c r="L987" s="5">
        <f t="shared" si="368"/>
        <v>0.18630136986301388</v>
      </c>
      <c r="M987" s="5">
        <f t="shared" si="369"/>
        <v>-0.55075623020895714</v>
      </c>
      <c r="N987" s="5">
        <f t="shared" si="370"/>
        <v>64.182346611757879</v>
      </c>
      <c r="O987" s="1">
        <f t="shared" si="371"/>
        <v>0</v>
      </c>
      <c r="P987" s="1">
        <f t="shared" si="372"/>
        <v>2104.0500000000002</v>
      </c>
      <c r="Q987" s="5">
        <f t="shared" si="373"/>
        <v>0.18630136986301388</v>
      </c>
      <c r="R987" s="5">
        <f t="shared" si="374"/>
        <v>-0.55075623020895714</v>
      </c>
      <c r="S987" s="5">
        <f t="shared" si="380"/>
        <v>64.182346611757879</v>
      </c>
      <c r="T987" s="5">
        <f t="shared" si="381"/>
        <v>-724.42408383198278</v>
      </c>
      <c r="U987" s="4">
        <f t="shared" si="382"/>
        <v>1568844.1992066496</v>
      </c>
      <c r="V987" s="4">
        <f t="shared" si="375"/>
        <v>25.316417351581276</v>
      </c>
      <c r="W987" s="4">
        <f t="shared" si="383"/>
        <v>1522348.96156424</v>
      </c>
      <c r="X987" s="4">
        <f t="shared" si="387"/>
        <v>645.36010587960482</v>
      </c>
      <c r="Y987" s="9">
        <f>SUM($X$6:X987)</f>
        <v>522348.96156424005</v>
      </c>
      <c r="Z987" s="16">
        <f t="shared" si="388"/>
        <v>0.52234896156424004</v>
      </c>
      <c r="AA987" s="16">
        <f t="shared" si="384"/>
        <v>0.63568665528636081</v>
      </c>
      <c r="AB987" s="16">
        <f t="shared" si="385"/>
        <v>4.2410368567249811E-4</v>
      </c>
      <c r="AC987" s="16">
        <f t="shared" si="386"/>
        <v>-1.2923978287715607E-4</v>
      </c>
    </row>
    <row r="988" spans="1:29" x14ac:dyDescent="0.15">
      <c r="A988" s="8">
        <v>42335</v>
      </c>
      <c r="B988" s="4">
        <v>2090.11</v>
      </c>
      <c r="C988" s="1">
        <v>14.793699999999999</v>
      </c>
      <c r="D988" s="1">
        <v>2.1</v>
      </c>
      <c r="E988" s="1">
        <v>0.41880000000000001</v>
      </c>
      <c r="F988" s="4">
        <f t="shared" si="376"/>
        <v>0.14793699999999999</v>
      </c>
      <c r="G988" s="4">
        <f t="shared" si="377"/>
        <v>2.1000000000000001E-2</v>
      </c>
      <c r="H988" s="4">
        <f t="shared" si="378"/>
        <v>4.1879999999999999E-3</v>
      </c>
      <c r="I988" s="3">
        <f t="shared" si="379"/>
        <v>65.851293338502728</v>
      </c>
      <c r="J988" s="4">
        <f t="shared" ref="J988:J1051" si="389">U987</f>
        <v>1568844.1992066496</v>
      </c>
      <c r="K988" s="1">
        <f t="shared" ref="K988:K1051" si="390">P987</f>
        <v>2104.0500000000002</v>
      </c>
      <c r="L988" s="5">
        <f t="shared" ref="L988:L1051" si="391">Q987-(A988-A987)/365</f>
        <v>0.18082191780821935</v>
      </c>
      <c r="M988" s="5">
        <f t="shared" ref="M988:M1051" si="392">BSM_Put(B988,K988,F988,H988,G988,L988,$G$3)</f>
        <v>-0.54668434774492258</v>
      </c>
      <c r="N988" s="5">
        <f t="shared" ref="N988:N1051" si="393">BSM_Put(B988,K988,F988,H988,G988,L988,$F$3)</f>
        <v>63.256742636052962</v>
      </c>
      <c r="O988" s="1">
        <f t="shared" ref="O988:O1051" si="394">IF(OR(M988&gt;-0.05,L988&lt;=0.00001),1,0)</f>
        <v>0</v>
      </c>
      <c r="P988" s="1">
        <f t="shared" ref="P988:P1051" si="395">IF(O988,B988,K988)</f>
        <v>2104.0500000000002</v>
      </c>
      <c r="Q988" s="5">
        <f t="shared" ref="Q988:Q1051" si="396">IF(O988,$B$3,L988)</f>
        <v>0.18082191780821935</v>
      </c>
      <c r="R988" s="5">
        <f t="shared" ref="R988:R1051" si="397">IF(O988,BSM_Put(B988,P988,F988,H988,G988,Q988,$G$3),M988)</f>
        <v>-0.54668434774492258</v>
      </c>
      <c r="S988" s="5">
        <f t="shared" si="380"/>
        <v>63.256742636052962</v>
      </c>
      <c r="T988" s="5">
        <f t="shared" si="381"/>
        <v>-724.42408383198278</v>
      </c>
      <c r="U988" s="4">
        <f t="shared" si="382"/>
        <v>1568869.5156240012</v>
      </c>
      <c r="V988" s="4">
        <f t="shared" ref="V988:V1051" si="398">U988*$H$6*(A988-A987)/365</f>
        <v>50.633651764522554</v>
      </c>
      <c r="W988" s="4">
        <f t="shared" si="383"/>
        <v>1523044.8077936829</v>
      </c>
      <c r="X988" s="4">
        <f t="shared" si="387"/>
        <v>695.84622944286093</v>
      </c>
      <c r="Y988" s="9">
        <f>SUM($X$6:X988)</f>
        <v>523044.80779368291</v>
      </c>
      <c r="Z988" s="16">
        <f t="shared" si="388"/>
        <v>0.5230448077936829</v>
      </c>
      <c r="AA988" s="16">
        <f t="shared" si="384"/>
        <v>0.6366576355065543</v>
      </c>
      <c r="AB988" s="16">
        <f t="shared" si="385"/>
        <v>4.570872034016871E-4</v>
      </c>
      <c r="AC988" s="16">
        <f t="shared" si="386"/>
        <v>5.9362238913873841E-4</v>
      </c>
    </row>
    <row r="989" spans="1:29" x14ac:dyDescent="0.15">
      <c r="A989" s="8">
        <v>42338</v>
      </c>
      <c r="B989" s="4">
        <v>2080.41</v>
      </c>
      <c r="C989" s="1">
        <v>15.0436</v>
      </c>
      <c r="D989" s="1">
        <v>2.11</v>
      </c>
      <c r="E989" s="1">
        <v>0.42080000000000001</v>
      </c>
      <c r="F989" s="4">
        <f t="shared" si="376"/>
        <v>0.15043599999999999</v>
      </c>
      <c r="G989" s="4">
        <f t="shared" si="377"/>
        <v>2.1099999999999997E-2</v>
      </c>
      <c r="H989" s="4">
        <f t="shared" si="378"/>
        <v>4.2079999999999999E-3</v>
      </c>
      <c r="I989" s="3">
        <f t="shared" si="379"/>
        <v>66.596316264886013</v>
      </c>
      <c r="J989" s="4">
        <f t="shared" si="389"/>
        <v>1568869.5156240012</v>
      </c>
      <c r="K989" s="1">
        <f t="shared" si="390"/>
        <v>2104.0500000000002</v>
      </c>
      <c r="L989" s="5">
        <f t="shared" si="391"/>
        <v>0.17260273972602758</v>
      </c>
      <c r="M989" s="5">
        <f t="shared" si="392"/>
        <v>-0.57566790303276993</v>
      </c>
      <c r="N989" s="5">
        <f t="shared" si="393"/>
        <v>68.222586572129657</v>
      </c>
      <c r="O989" s="1">
        <f t="shared" si="394"/>
        <v>0</v>
      </c>
      <c r="P989" s="1">
        <f t="shared" si="395"/>
        <v>2104.0500000000002</v>
      </c>
      <c r="Q989" s="5">
        <f t="shared" si="396"/>
        <v>0.17260273972602758</v>
      </c>
      <c r="R989" s="5">
        <f t="shared" si="397"/>
        <v>-0.57566790303276993</v>
      </c>
      <c r="S989" s="5">
        <f t="shared" si="380"/>
        <v>68.222586572129657</v>
      </c>
      <c r="T989" s="5">
        <f t="shared" si="381"/>
        <v>-724.42408383198278</v>
      </c>
      <c r="U989" s="4">
        <f t="shared" si="382"/>
        <v>1568920.1492757658</v>
      </c>
      <c r="V989" s="4">
        <f t="shared" si="398"/>
        <v>75.952928870418575</v>
      </c>
      <c r="W989" s="4">
        <f t="shared" si="383"/>
        <v>1519498.0645016027</v>
      </c>
      <c r="X989" s="4">
        <f t="shared" si="387"/>
        <v>-3546.7432920802385</v>
      </c>
      <c r="Y989" s="9">
        <f>SUM($X$6:X989)</f>
        <v>519498.06450160267</v>
      </c>
      <c r="Z989" s="16">
        <f t="shared" si="388"/>
        <v>0.51949806450160263</v>
      </c>
      <c r="AA989" s="16">
        <f t="shared" si="384"/>
        <v>0.62906206442923585</v>
      </c>
      <c r="AB989" s="16">
        <f t="shared" si="385"/>
        <v>-2.3287189411177801E-3</v>
      </c>
      <c r="AC989" s="16">
        <f t="shared" si="386"/>
        <v>-4.6409040672501789E-3</v>
      </c>
    </row>
    <row r="990" spans="1:29" x14ac:dyDescent="0.15">
      <c r="A990" s="8">
        <v>42339</v>
      </c>
      <c r="B990" s="4">
        <v>2102.63</v>
      </c>
      <c r="C990" s="1">
        <v>14.0449</v>
      </c>
      <c r="D990" s="1">
        <v>2.09</v>
      </c>
      <c r="E990" s="1">
        <v>0.4269</v>
      </c>
      <c r="F990" s="4">
        <f t="shared" si="376"/>
        <v>0.14044899999999999</v>
      </c>
      <c r="G990" s="4">
        <f t="shared" si="377"/>
        <v>2.0899999999999998E-2</v>
      </c>
      <c r="H990" s="4">
        <f t="shared" si="378"/>
        <v>4.2690000000000002E-3</v>
      </c>
      <c r="I990" s="3">
        <f t="shared" si="379"/>
        <v>63.077247686345295</v>
      </c>
      <c r="J990" s="4">
        <f t="shared" si="389"/>
        <v>1568920.1492757658</v>
      </c>
      <c r="K990" s="1">
        <f t="shared" si="390"/>
        <v>2104.0500000000002</v>
      </c>
      <c r="L990" s="5">
        <f t="shared" si="391"/>
        <v>0.16986301369863033</v>
      </c>
      <c r="M990" s="5">
        <f t="shared" si="392"/>
        <v>-0.51075756130717553</v>
      </c>
      <c r="N990" s="5">
        <f t="shared" si="393"/>
        <v>52.223409316281007</v>
      </c>
      <c r="O990" s="1">
        <f t="shared" si="394"/>
        <v>0</v>
      </c>
      <c r="P990" s="1">
        <f t="shared" si="395"/>
        <v>2104.0500000000002</v>
      </c>
      <c r="Q990" s="5">
        <f t="shared" si="396"/>
        <v>0.16986301369863033</v>
      </c>
      <c r="R990" s="5">
        <f t="shared" si="397"/>
        <v>-0.51075756130717553</v>
      </c>
      <c r="S990" s="5">
        <f t="shared" si="380"/>
        <v>52.223409316281007</v>
      </c>
      <c r="T990" s="5">
        <f t="shared" si="381"/>
        <v>-724.42408383198278</v>
      </c>
      <c r="U990" s="4">
        <f t="shared" si="382"/>
        <v>1568996.1022046362</v>
      </c>
      <c r="V990" s="4">
        <f t="shared" si="398"/>
        <v>25.318868608178921</v>
      </c>
      <c r="W990" s="4">
        <f t="shared" si="383"/>
        <v>1531164.2067561068</v>
      </c>
      <c r="X990" s="4">
        <f t="shared" si="387"/>
        <v>11666.142254504142</v>
      </c>
      <c r="Y990" s="9">
        <f>SUM($X$6:X990)</f>
        <v>531164.20675610681</v>
      </c>
      <c r="Z990" s="16">
        <f t="shared" si="388"/>
        <v>0.53116420675610676</v>
      </c>
      <c r="AA990" s="16">
        <f t="shared" si="384"/>
        <v>0.64646140353624748</v>
      </c>
      <c r="AB990" s="16">
        <f t="shared" si="385"/>
        <v>7.6776289006532245E-3</v>
      </c>
      <c r="AC990" s="16">
        <f t="shared" si="386"/>
        <v>1.0680586999678072E-2</v>
      </c>
    </row>
    <row r="991" spans="1:29" x14ac:dyDescent="0.15">
      <c r="A991" s="8">
        <v>42340</v>
      </c>
      <c r="B991" s="4">
        <v>2079.5100000000002</v>
      </c>
      <c r="C991" s="1">
        <v>14.899900000000001</v>
      </c>
      <c r="D991" s="1">
        <v>2.11</v>
      </c>
      <c r="E991" s="1">
        <v>0.44080000000000003</v>
      </c>
      <c r="F991" s="4">
        <f t="shared" si="376"/>
        <v>0.14899899999999999</v>
      </c>
      <c r="G991" s="4">
        <f t="shared" si="377"/>
        <v>2.1099999999999997E-2</v>
      </c>
      <c r="H991" s="4">
        <f t="shared" si="378"/>
        <v>4.4080000000000005E-3</v>
      </c>
      <c r="I991" s="3">
        <f t="shared" si="379"/>
        <v>65.919835612246771</v>
      </c>
      <c r="J991" s="4">
        <f t="shared" si="389"/>
        <v>1568996.1022046362</v>
      </c>
      <c r="K991" s="1">
        <f t="shared" si="390"/>
        <v>2104.0500000000002</v>
      </c>
      <c r="L991" s="5">
        <f t="shared" si="391"/>
        <v>0.16712328767123308</v>
      </c>
      <c r="M991" s="5">
        <f t="shared" si="392"/>
        <v>-0.58031374042675865</v>
      </c>
      <c r="N991" s="5">
        <f t="shared" si="393"/>
        <v>67.304549450498129</v>
      </c>
      <c r="O991" s="1">
        <f t="shared" si="394"/>
        <v>0</v>
      </c>
      <c r="P991" s="1">
        <f t="shared" si="395"/>
        <v>2104.0500000000002</v>
      </c>
      <c r="Q991" s="5">
        <f t="shared" si="396"/>
        <v>0.16712328767123308</v>
      </c>
      <c r="R991" s="5">
        <f t="shared" si="397"/>
        <v>-0.58031374042675865</v>
      </c>
      <c r="S991" s="5">
        <f t="shared" si="380"/>
        <v>67.304549450498129</v>
      </c>
      <c r="T991" s="5">
        <f t="shared" si="381"/>
        <v>-724.42408383198278</v>
      </c>
      <c r="U991" s="4">
        <f t="shared" si="382"/>
        <v>1569021.4210732444</v>
      </c>
      <c r="V991" s="4">
        <f t="shared" si="398"/>
        <v>25.319277178414815</v>
      </c>
      <c r="W991" s="4">
        <f t="shared" si="383"/>
        <v>1520264.384499843</v>
      </c>
      <c r="X991" s="4">
        <f t="shared" si="387"/>
        <v>-10899.822256263811</v>
      </c>
      <c r="Y991" s="9">
        <f>SUM($X$6:X991)</f>
        <v>520264.384499843</v>
      </c>
      <c r="Z991" s="16">
        <f t="shared" si="388"/>
        <v>0.52026438449984302</v>
      </c>
      <c r="AA991" s="16">
        <f t="shared" si="384"/>
        <v>0.62835732072103134</v>
      </c>
      <c r="AB991" s="16">
        <f t="shared" si="385"/>
        <v>-7.1186501148403619E-3</v>
      </c>
      <c r="AC991" s="16">
        <f t="shared" si="386"/>
        <v>-1.0995752937987135E-2</v>
      </c>
    </row>
    <row r="992" spans="1:29" x14ac:dyDescent="0.15">
      <c r="A992" s="8">
        <v>42341</v>
      </c>
      <c r="B992" s="4">
        <v>2049.62</v>
      </c>
      <c r="C992" s="1">
        <v>16.194700000000001</v>
      </c>
      <c r="D992" s="1">
        <v>2.14</v>
      </c>
      <c r="E992" s="1">
        <v>0.45700000000000002</v>
      </c>
      <c r="F992" s="4">
        <f t="shared" si="376"/>
        <v>0.16194700000000001</v>
      </c>
      <c r="G992" s="4">
        <f t="shared" si="377"/>
        <v>2.1400000000000002E-2</v>
      </c>
      <c r="H992" s="4">
        <f t="shared" si="378"/>
        <v>4.5700000000000003E-3</v>
      </c>
      <c r="I992" s="3">
        <f t="shared" si="379"/>
        <v>70.262959113611586</v>
      </c>
      <c r="J992" s="4">
        <f t="shared" si="389"/>
        <v>1569021.4210732444</v>
      </c>
      <c r="K992" s="1">
        <f t="shared" si="390"/>
        <v>2104.0500000000002</v>
      </c>
      <c r="L992" s="5">
        <f t="shared" si="391"/>
        <v>0.16438356164383583</v>
      </c>
      <c r="M992" s="5">
        <f t="shared" si="392"/>
        <v>-0.65622525032903278</v>
      </c>
      <c r="N992" s="5">
        <f t="shared" si="393"/>
        <v>89.499741026543902</v>
      </c>
      <c r="O992" s="1">
        <f t="shared" si="394"/>
        <v>0</v>
      </c>
      <c r="P992" s="1">
        <f t="shared" si="395"/>
        <v>2104.0500000000002</v>
      </c>
      <c r="Q992" s="5">
        <f t="shared" si="396"/>
        <v>0.16438356164383583</v>
      </c>
      <c r="R992" s="5">
        <f t="shared" si="397"/>
        <v>-0.65622525032903278</v>
      </c>
      <c r="S992" s="5">
        <f t="shared" si="380"/>
        <v>89.499741026543902</v>
      </c>
      <c r="T992" s="5">
        <f t="shared" si="381"/>
        <v>-724.42408383198278</v>
      </c>
      <c r="U992" s="4">
        <f t="shared" si="382"/>
        <v>1569046.7403504229</v>
      </c>
      <c r="V992" s="4">
        <f t="shared" si="398"/>
        <v>25.31968575524381</v>
      </c>
      <c r="W992" s="4">
        <f t="shared" si="383"/>
        <v>1504210.9724540692</v>
      </c>
      <c r="X992" s="4">
        <f t="shared" si="387"/>
        <v>-16053.412045773817</v>
      </c>
      <c r="Y992" s="9">
        <f>SUM($X$6:X992)</f>
        <v>504210.97245406918</v>
      </c>
      <c r="Z992" s="16">
        <f t="shared" si="388"/>
        <v>0.50421097245406921</v>
      </c>
      <c r="AA992" s="16">
        <f t="shared" si="384"/>
        <v>0.60495199912298558</v>
      </c>
      <c r="AB992" s="16">
        <f t="shared" si="385"/>
        <v>-1.0559618583089601E-2</v>
      </c>
      <c r="AC992" s="16">
        <f t="shared" si="386"/>
        <v>-1.4373578391063435E-2</v>
      </c>
    </row>
    <row r="993" spans="1:29" x14ac:dyDescent="0.15">
      <c r="A993" s="8">
        <v>42342</v>
      </c>
      <c r="B993" s="4">
        <v>2091.69</v>
      </c>
      <c r="C993" s="1">
        <v>14.4549</v>
      </c>
      <c r="D993" s="1">
        <v>2.1</v>
      </c>
      <c r="E993" s="1">
        <v>0.46710000000000002</v>
      </c>
      <c r="F993" s="4">
        <f t="shared" si="376"/>
        <v>0.14454900000000001</v>
      </c>
      <c r="G993" s="4">
        <f t="shared" si="377"/>
        <v>2.1000000000000001E-2</v>
      </c>
      <c r="H993" s="4">
        <f t="shared" si="378"/>
        <v>4.6709999999999998E-3</v>
      </c>
      <c r="I993" s="3">
        <f t="shared" si="379"/>
        <v>64.361952846922989</v>
      </c>
      <c r="J993" s="4">
        <f t="shared" si="389"/>
        <v>1569046.7403504229</v>
      </c>
      <c r="K993" s="1">
        <f t="shared" si="390"/>
        <v>2104.0500000000002</v>
      </c>
      <c r="L993" s="5">
        <f t="shared" si="391"/>
        <v>0.16164383561643858</v>
      </c>
      <c r="M993" s="5">
        <f t="shared" si="392"/>
        <v>-0.5450093038944368</v>
      </c>
      <c r="N993" s="5">
        <f t="shared" si="393"/>
        <v>57.983363161911605</v>
      </c>
      <c r="O993" s="1">
        <f t="shared" si="394"/>
        <v>0</v>
      </c>
      <c r="P993" s="1">
        <f t="shared" si="395"/>
        <v>2104.0500000000002</v>
      </c>
      <c r="Q993" s="5">
        <f t="shared" si="396"/>
        <v>0.16164383561643858</v>
      </c>
      <c r="R993" s="5">
        <f t="shared" si="397"/>
        <v>-0.5450093038944368</v>
      </c>
      <c r="S993" s="5">
        <f t="shared" si="380"/>
        <v>57.983363161911605</v>
      </c>
      <c r="T993" s="5">
        <f t="shared" si="381"/>
        <v>-724.42408383198278</v>
      </c>
      <c r="U993" s="4">
        <f t="shared" si="382"/>
        <v>1569072.0600361782</v>
      </c>
      <c r="V993" s="4">
        <f t="shared" si="398"/>
        <v>25.320094338665996</v>
      </c>
      <c r="W993" s="4">
        <f t="shared" si="383"/>
        <v>1527067.5153001132</v>
      </c>
      <c r="X993" s="4">
        <f t="shared" si="387"/>
        <v>22856.54284604406</v>
      </c>
      <c r="Y993" s="9">
        <f>SUM($X$6:X993)</f>
        <v>527067.51530011324</v>
      </c>
      <c r="Z993" s="16">
        <f t="shared" si="388"/>
        <v>0.5270675153001132</v>
      </c>
      <c r="AA993" s="16">
        <f t="shared" si="384"/>
        <v>0.63789485223873599</v>
      </c>
      <c r="AB993" s="16">
        <f t="shared" si="385"/>
        <v>1.5195037973133773E-2</v>
      </c>
      <c r="AC993" s="16">
        <f t="shared" si="386"/>
        <v>2.0525755993794054E-2</v>
      </c>
    </row>
    <row r="994" spans="1:29" x14ac:dyDescent="0.15">
      <c r="A994" s="8">
        <v>42345</v>
      </c>
      <c r="B994" s="4">
        <v>2077.0700000000002</v>
      </c>
      <c r="C994" s="1">
        <v>14.983599999999999</v>
      </c>
      <c r="D994" s="1">
        <v>2.11</v>
      </c>
      <c r="E994" s="1">
        <v>0.48230000000000001</v>
      </c>
      <c r="F994" s="4">
        <f t="shared" si="376"/>
        <v>0.149836</v>
      </c>
      <c r="G994" s="4">
        <f t="shared" si="377"/>
        <v>2.1099999999999997E-2</v>
      </c>
      <c r="H994" s="4">
        <f t="shared" si="378"/>
        <v>4.823E-3</v>
      </c>
      <c r="I994" s="3">
        <f t="shared" si="379"/>
        <v>66.071693561759716</v>
      </c>
      <c r="J994" s="4">
        <f t="shared" si="389"/>
        <v>1569072.0600361782</v>
      </c>
      <c r="K994" s="1">
        <f t="shared" si="390"/>
        <v>2104.0500000000002</v>
      </c>
      <c r="L994" s="5">
        <f t="shared" si="391"/>
        <v>0.15342465753424681</v>
      </c>
      <c r="M994" s="5">
        <f t="shared" si="392"/>
        <v>-0.59024571773062728</v>
      </c>
      <c r="N994" s="5">
        <f t="shared" si="393"/>
        <v>66.5848173244392</v>
      </c>
      <c r="O994" s="1">
        <f t="shared" si="394"/>
        <v>0</v>
      </c>
      <c r="P994" s="1">
        <f t="shared" si="395"/>
        <v>2104.0500000000002</v>
      </c>
      <c r="Q994" s="5">
        <f t="shared" si="396"/>
        <v>0.15342465753424681</v>
      </c>
      <c r="R994" s="5">
        <f t="shared" si="397"/>
        <v>-0.59024571773062728</v>
      </c>
      <c r="S994" s="5">
        <f t="shared" si="380"/>
        <v>66.5848173244392</v>
      </c>
      <c r="T994" s="5">
        <f t="shared" si="381"/>
        <v>-724.42408383198278</v>
      </c>
      <c r="U994" s="4">
        <f t="shared" si="382"/>
        <v>1569097.3801305168</v>
      </c>
      <c r="V994" s="4">
        <f t="shared" si="398"/>
        <v>75.961508786044462</v>
      </c>
      <c r="W994" s="4">
        <f t="shared" si="383"/>
        <v>1520861.73484314</v>
      </c>
      <c r="X994" s="4">
        <f t="shared" si="387"/>
        <v>-6205.7804569732398</v>
      </c>
      <c r="Y994" s="9">
        <f>SUM($X$6:X994)</f>
        <v>520861.73484314</v>
      </c>
      <c r="Z994" s="16">
        <f t="shared" si="388"/>
        <v>0.52086173484314002</v>
      </c>
      <c r="AA994" s="16">
        <f t="shared" si="384"/>
        <v>0.62644668222323163</v>
      </c>
      <c r="AB994" s="16">
        <f t="shared" si="385"/>
        <v>-4.0638546723021762E-3</v>
      </c>
      <c r="AC994" s="16">
        <f t="shared" si="386"/>
        <v>-6.9895634630370131E-3</v>
      </c>
    </row>
    <row r="995" spans="1:29" x14ac:dyDescent="0.15">
      <c r="A995" s="8">
        <v>42346</v>
      </c>
      <c r="B995" s="4">
        <v>2063.59</v>
      </c>
      <c r="C995" s="1">
        <v>15.9199</v>
      </c>
      <c r="D995" s="1">
        <v>2.13</v>
      </c>
      <c r="E995" s="1">
        <v>0.4919</v>
      </c>
      <c r="F995" s="4">
        <f t="shared" si="376"/>
        <v>0.15919900000000001</v>
      </c>
      <c r="G995" s="4">
        <f t="shared" si="377"/>
        <v>2.1299999999999999E-2</v>
      </c>
      <c r="H995" s="4">
        <f t="shared" si="378"/>
        <v>4.9189999999999998E-3</v>
      </c>
      <c r="I995" s="3">
        <f t="shared" si="379"/>
        <v>69.496288330875927</v>
      </c>
      <c r="J995" s="4">
        <f t="shared" si="389"/>
        <v>1569097.3801305168</v>
      </c>
      <c r="K995" s="1">
        <f t="shared" si="390"/>
        <v>2104.0500000000002</v>
      </c>
      <c r="L995" s="5">
        <f t="shared" si="391"/>
        <v>0.15068493150684956</v>
      </c>
      <c r="M995" s="5">
        <f t="shared" si="392"/>
        <v>-0.62473560581822374</v>
      </c>
      <c r="N995" s="5">
        <f t="shared" si="393"/>
        <v>77.202591437946353</v>
      </c>
      <c r="O995" s="1">
        <f t="shared" si="394"/>
        <v>0</v>
      </c>
      <c r="P995" s="1">
        <f t="shared" si="395"/>
        <v>2104.0500000000002</v>
      </c>
      <c r="Q995" s="5">
        <f t="shared" si="396"/>
        <v>0.15068493150684956</v>
      </c>
      <c r="R995" s="5">
        <f t="shared" si="397"/>
        <v>-0.62473560581822374</v>
      </c>
      <c r="S995" s="5">
        <f t="shared" si="380"/>
        <v>77.202591437946353</v>
      </c>
      <c r="T995" s="5">
        <f t="shared" si="381"/>
        <v>-724.42408383198278</v>
      </c>
      <c r="U995" s="4">
        <f t="shared" si="382"/>
        <v>1569173.3416393029</v>
      </c>
      <c r="V995" s="4">
        <f t="shared" si="398"/>
        <v>25.321728718508201</v>
      </c>
      <c r="W995" s="4">
        <f t="shared" si="383"/>
        <v>1513245.9250674138</v>
      </c>
      <c r="X995" s="4">
        <f t="shared" si="387"/>
        <v>-7615.8097757261712</v>
      </c>
      <c r="Y995" s="9">
        <f>SUM($X$6:X995)</f>
        <v>513245.92506741383</v>
      </c>
      <c r="Z995" s="16">
        <f t="shared" si="388"/>
        <v>0.51324592506741384</v>
      </c>
      <c r="AA995" s="16">
        <f t="shared" si="384"/>
        <v>0.61589118757145334</v>
      </c>
      <c r="AB995" s="16">
        <f t="shared" si="385"/>
        <v>-5.0075622268921493E-3</v>
      </c>
      <c r="AC995" s="16">
        <f t="shared" si="386"/>
        <v>-6.489911269239851E-3</v>
      </c>
    </row>
    <row r="996" spans="1:29" x14ac:dyDescent="0.15">
      <c r="A996" s="8">
        <v>42347</v>
      </c>
      <c r="B996" s="4">
        <v>2047.62</v>
      </c>
      <c r="C996" s="1">
        <v>16.675799999999999</v>
      </c>
      <c r="D996" s="1">
        <v>2.14</v>
      </c>
      <c r="E996" s="1">
        <v>0.4975</v>
      </c>
      <c r="F996" s="4">
        <f t="shared" si="376"/>
        <v>0.16675799999999999</v>
      </c>
      <c r="G996" s="4">
        <f t="shared" si="377"/>
        <v>2.1400000000000002E-2</v>
      </c>
      <c r="H996" s="4">
        <f t="shared" si="378"/>
        <v>4.9750000000000003E-3</v>
      </c>
      <c r="I996" s="3">
        <f t="shared" si="379"/>
        <v>72.035396812683857</v>
      </c>
      <c r="J996" s="4">
        <f t="shared" si="389"/>
        <v>1569173.3416393029</v>
      </c>
      <c r="K996" s="1">
        <f t="shared" si="390"/>
        <v>2104.0500000000002</v>
      </c>
      <c r="L996" s="5">
        <f t="shared" si="391"/>
        <v>0.14794520547945231</v>
      </c>
      <c r="M996" s="5">
        <f t="shared" si="392"/>
        <v>-0.66417214861188167</v>
      </c>
      <c r="N996" s="5">
        <f t="shared" si="393"/>
        <v>89.232948905613299</v>
      </c>
      <c r="O996" s="1">
        <f t="shared" si="394"/>
        <v>0</v>
      </c>
      <c r="P996" s="1">
        <f t="shared" si="395"/>
        <v>2104.0500000000002</v>
      </c>
      <c r="Q996" s="5">
        <f t="shared" si="396"/>
        <v>0.14794520547945231</v>
      </c>
      <c r="R996" s="5">
        <f t="shared" si="397"/>
        <v>-0.66417214861188167</v>
      </c>
      <c r="S996" s="5">
        <f t="shared" si="380"/>
        <v>89.232948905613299</v>
      </c>
      <c r="T996" s="5">
        <f t="shared" si="381"/>
        <v>-724.42408383198278</v>
      </c>
      <c r="U996" s="4">
        <f t="shared" si="382"/>
        <v>1569198.6633680214</v>
      </c>
      <c r="V996" s="4">
        <f t="shared" si="398"/>
        <v>25.322137334897658</v>
      </c>
      <c r="W996" s="4">
        <f t="shared" si="383"/>
        <v>1504556.1661094464</v>
      </c>
      <c r="X996" s="4">
        <f t="shared" si="387"/>
        <v>-8689.758957967395</v>
      </c>
      <c r="Y996" s="9">
        <f>SUM($X$6:X996)</f>
        <v>504556.16610944644</v>
      </c>
      <c r="Z996" s="16">
        <f t="shared" si="388"/>
        <v>0.50455616610944642</v>
      </c>
      <c r="AA996" s="16">
        <f t="shared" si="384"/>
        <v>0.60338590199364162</v>
      </c>
      <c r="AB996" s="16">
        <f t="shared" si="385"/>
        <v>-5.742463147607864E-3</v>
      </c>
      <c r="AC996" s="16">
        <f t="shared" si="386"/>
        <v>-7.7389403902908297E-3</v>
      </c>
    </row>
    <row r="997" spans="1:29" x14ac:dyDescent="0.15">
      <c r="A997" s="8">
        <v>42348</v>
      </c>
      <c r="B997" s="4">
        <v>2052.23</v>
      </c>
      <c r="C997" s="1">
        <v>17.182400000000001</v>
      </c>
      <c r="D997" s="1">
        <v>2.14</v>
      </c>
      <c r="E997" s="1">
        <v>0.50760000000000005</v>
      </c>
      <c r="F997" s="4">
        <f t="shared" si="376"/>
        <v>0.171824</v>
      </c>
      <c r="G997" s="4">
        <f t="shared" si="377"/>
        <v>2.1400000000000002E-2</v>
      </c>
      <c r="H997" s="4">
        <f t="shared" si="378"/>
        <v>5.0760000000000007E-3</v>
      </c>
      <c r="I997" s="3">
        <f t="shared" si="379"/>
        <v>74.22982866902484</v>
      </c>
      <c r="J997" s="4">
        <f t="shared" si="389"/>
        <v>1569198.6633680214</v>
      </c>
      <c r="K997" s="1">
        <f t="shared" si="390"/>
        <v>2104.0500000000002</v>
      </c>
      <c r="L997" s="5">
        <f t="shared" si="391"/>
        <v>0.14520547945205506</v>
      </c>
      <c r="M997" s="5">
        <f t="shared" si="392"/>
        <v>-0.64761698532018419</v>
      </c>
      <c r="N997" s="5">
        <f t="shared" si="393"/>
        <v>87.13002674721038</v>
      </c>
      <c r="O997" s="1">
        <f t="shared" si="394"/>
        <v>0</v>
      </c>
      <c r="P997" s="1">
        <f t="shared" si="395"/>
        <v>2104.0500000000002</v>
      </c>
      <c r="Q997" s="5">
        <f t="shared" si="396"/>
        <v>0.14520547945205506</v>
      </c>
      <c r="R997" s="5">
        <f t="shared" si="397"/>
        <v>-0.64761698532018419</v>
      </c>
      <c r="S997" s="5">
        <f t="shared" si="380"/>
        <v>87.13002674721038</v>
      </c>
      <c r="T997" s="5">
        <f t="shared" si="381"/>
        <v>-724.42408383198278</v>
      </c>
      <c r="U997" s="4">
        <f t="shared" si="382"/>
        <v>1569223.9855053562</v>
      </c>
      <c r="V997" s="4">
        <f t="shared" si="398"/>
        <v>25.322545957880951</v>
      </c>
      <c r="W997" s="4">
        <f t="shared" si="383"/>
        <v>1506104.8957047523</v>
      </c>
      <c r="X997" s="4">
        <f t="shared" si="387"/>
        <v>1548.7295953058638</v>
      </c>
      <c r="Y997" s="9">
        <f>SUM($X$6:X997)</f>
        <v>506104.8957047523</v>
      </c>
      <c r="Z997" s="16">
        <f t="shared" si="388"/>
        <v>0.50610489570475226</v>
      </c>
      <c r="AA997" s="16">
        <f t="shared" si="384"/>
        <v>0.60699575587677956</v>
      </c>
      <c r="AB997" s="16">
        <f t="shared" si="385"/>
        <v>1.0293597741257098E-3</v>
      </c>
      <c r="AC997" s="16">
        <f t="shared" si="386"/>
        <v>2.2513943016771315E-3</v>
      </c>
    </row>
    <row r="998" spans="1:29" x14ac:dyDescent="0.15">
      <c r="A998" s="8">
        <v>42349</v>
      </c>
      <c r="B998" s="4">
        <v>2012.37</v>
      </c>
      <c r="C998" s="1">
        <v>19.003399999999999</v>
      </c>
      <c r="D998" s="1">
        <v>2.1800000000000002</v>
      </c>
      <c r="E998" s="1">
        <v>0.51770000000000005</v>
      </c>
      <c r="F998" s="4">
        <f t="shared" si="376"/>
        <v>0.19003399999999998</v>
      </c>
      <c r="G998" s="4">
        <f t="shared" si="377"/>
        <v>2.18E-2</v>
      </c>
      <c r="H998" s="4">
        <f t="shared" si="378"/>
        <v>5.1770000000000002E-3</v>
      </c>
      <c r="I998" s="3">
        <f t="shared" si="379"/>
        <v>80.121202489072317</v>
      </c>
      <c r="J998" s="4">
        <f t="shared" si="389"/>
        <v>1569223.9855053562</v>
      </c>
      <c r="K998" s="1">
        <f t="shared" si="390"/>
        <v>2104.0500000000002</v>
      </c>
      <c r="L998" s="5">
        <f t="shared" si="391"/>
        <v>0.14246575342465781</v>
      </c>
      <c r="M998" s="5">
        <f t="shared" si="392"/>
        <v>-0.72953048297376244</v>
      </c>
      <c r="N998" s="5">
        <f t="shared" si="393"/>
        <v>119.09245010329199</v>
      </c>
      <c r="O998" s="1">
        <f t="shared" si="394"/>
        <v>0</v>
      </c>
      <c r="P998" s="1">
        <f t="shared" si="395"/>
        <v>2104.0500000000002</v>
      </c>
      <c r="Q998" s="5">
        <f t="shared" si="396"/>
        <v>0.14246575342465781</v>
      </c>
      <c r="R998" s="5">
        <f t="shared" si="397"/>
        <v>-0.72953048297376244</v>
      </c>
      <c r="S998" s="5">
        <f t="shared" si="380"/>
        <v>119.09245010329199</v>
      </c>
      <c r="T998" s="5">
        <f t="shared" si="381"/>
        <v>-724.42408383198278</v>
      </c>
      <c r="U998" s="4">
        <f t="shared" si="382"/>
        <v>1569249.3080513142</v>
      </c>
      <c r="V998" s="4">
        <f t="shared" si="398"/>
        <v>25.322954587458188</v>
      </c>
      <c r="W998" s="4">
        <f t="shared" si="383"/>
        <v>1482975.8689939308</v>
      </c>
      <c r="X998" s="4">
        <f t="shared" si="387"/>
        <v>-23129.026710821548</v>
      </c>
      <c r="Y998" s="9">
        <f>SUM($X$6:X998)</f>
        <v>482975.86899393075</v>
      </c>
      <c r="Z998" s="16">
        <f t="shared" si="388"/>
        <v>0.48297586899393075</v>
      </c>
      <c r="AA998" s="16">
        <f t="shared" si="384"/>
        <v>0.57578344008895432</v>
      </c>
      <c r="AB998" s="16">
        <f t="shared" si="385"/>
        <v>-1.5356849829505914E-2</v>
      </c>
      <c r="AC998" s="16">
        <f t="shared" si="386"/>
        <v>-1.9422774250449575E-2</v>
      </c>
    </row>
    <row r="999" spans="1:29" x14ac:dyDescent="0.15">
      <c r="A999" s="8">
        <v>42352</v>
      </c>
      <c r="B999" s="4">
        <v>2021.94</v>
      </c>
      <c r="C999" s="1">
        <v>18.324400000000001</v>
      </c>
      <c r="D999" s="1">
        <v>2.17</v>
      </c>
      <c r="E999" s="1">
        <v>0.52349999999999997</v>
      </c>
      <c r="F999" s="4">
        <f t="shared" si="376"/>
        <v>0.18324400000000002</v>
      </c>
      <c r="G999" s="4">
        <f t="shared" si="377"/>
        <v>2.1700000000000001E-2</v>
      </c>
      <c r="H999" s="4">
        <f t="shared" si="378"/>
        <v>5.2350000000000001E-3</v>
      </c>
      <c r="I999" s="3">
        <f t="shared" si="379"/>
        <v>77.741564845010132</v>
      </c>
      <c r="J999" s="4">
        <f t="shared" si="389"/>
        <v>1569249.3080513142</v>
      </c>
      <c r="K999" s="1">
        <f t="shared" si="390"/>
        <v>2104.0500000000002</v>
      </c>
      <c r="L999" s="5">
        <f t="shared" si="391"/>
        <v>0.13424657534246603</v>
      </c>
      <c r="M999" s="5">
        <f t="shared" si="392"/>
        <v>-0.72105193570232784</v>
      </c>
      <c r="N999" s="5">
        <f t="shared" si="393"/>
        <v>108.85930305967059</v>
      </c>
      <c r="O999" s="1">
        <f t="shared" si="394"/>
        <v>0</v>
      </c>
      <c r="P999" s="1">
        <f t="shared" si="395"/>
        <v>2104.0500000000002</v>
      </c>
      <c r="Q999" s="5">
        <f t="shared" si="396"/>
        <v>0.13424657534246603</v>
      </c>
      <c r="R999" s="5">
        <f t="shared" si="397"/>
        <v>-0.72105193570232784</v>
      </c>
      <c r="S999" s="5">
        <f t="shared" si="380"/>
        <v>108.85930305967059</v>
      </c>
      <c r="T999" s="5">
        <f t="shared" si="381"/>
        <v>-724.42408383198278</v>
      </c>
      <c r="U999" s="4">
        <f t="shared" si="382"/>
        <v>1569274.6310059016</v>
      </c>
      <c r="V999" s="4">
        <f t="shared" si="398"/>
        <v>75.970089670888441</v>
      </c>
      <c r="W999" s="4">
        <f t="shared" si="383"/>
        <v>1490414.3301203116</v>
      </c>
      <c r="X999" s="4">
        <f t="shared" si="387"/>
        <v>7438.4611263808329</v>
      </c>
      <c r="Y999" s="9">
        <f>SUM($X$6:X999)</f>
        <v>490414.33012031158</v>
      </c>
      <c r="Z999" s="16">
        <f t="shared" si="388"/>
        <v>0.4904143301203116</v>
      </c>
      <c r="AA999" s="16">
        <f t="shared" si="384"/>
        <v>0.58327721485286532</v>
      </c>
      <c r="AB999" s="16">
        <f t="shared" si="385"/>
        <v>5.0159016622618258E-3</v>
      </c>
      <c r="AC999" s="16">
        <f t="shared" si="386"/>
        <v>4.7555866962835681E-3</v>
      </c>
    </row>
    <row r="1000" spans="1:29" x14ac:dyDescent="0.15">
      <c r="A1000" s="8">
        <v>42353</v>
      </c>
      <c r="B1000" s="4">
        <v>2043.41</v>
      </c>
      <c r="C1000" s="1">
        <v>17.361699999999999</v>
      </c>
      <c r="D1000" s="1">
        <v>2.15</v>
      </c>
      <c r="E1000" s="1">
        <v>0.53159999999999996</v>
      </c>
      <c r="F1000" s="4">
        <f t="shared" si="376"/>
        <v>0.17361699999999999</v>
      </c>
      <c r="G1000" s="4">
        <f t="shared" si="377"/>
        <v>2.1499999999999998E-2</v>
      </c>
      <c r="H1000" s="4">
        <f t="shared" si="378"/>
        <v>5.3159999999999995E-3</v>
      </c>
      <c r="I1000" s="3">
        <f t="shared" si="379"/>
        <v>74.596711696595989</v>
      </c>
      <c r="J1000" s="4">
        <f t="shared" si="389"/>
        <v>1569274.6310059016</v>
      </c>
      <c r="K1000" s="1">
        <f t="shared" si="390"/>
        <v>2104.0500000000002</v>
      </c>
      <c r="L1000" s="5">
        <f t="shared" si="391"/>
        <v>0.13150684931506879</v>
      </c>
      <c r="M1000" s="5">
        <f t="shared" si="392"/>
        <v>-0.67776258892446217</v>
      </c>
      <c r="N1000" s="5">
        <f t="shared" si="393"/>
        <v>90.777887138058546</v>
      </c>
      <c r="O1000" s="1">
        <f t="shared" si="394"/>
        <v>0</v>
      </c>
      <c r="P1000" s="1">
        <f t="shared" si="395"/>
        <v>2104.0500000000002</v>
      </c>
      <c r="Q1000" s="5">
        <f t="shared" si="396"/>
        <v>0.13150684931506879</v>
      </c>
      <c r="R1000" s="5">
        <f t="shared" si="397"/>
        <v>-0.67776258892446217</v>
      </c>
      <c r="S1000" s="5">
        <f t="shared" si="380"/>
        <v>90.777887138058546</v>
      </c>
      <c r="T1000" s="5">
        <f t="shared" si="381"/>
        <v>-724.42408383198278</v>
      </c>
      <c r="U1000" s="4">
        <f t="shared" si="382"/>
        <v>1569350.6010955726</v>
      </c>
      <c r="V1000" s="4">
        <f t="shared" si="398"/>
        <v>25.324589151925814</v>
      </c>
      <c r="W1000" s="4">
        <f t="shared" si="383"/>
        <v>1503588.9133733814</v>
      </c>
      <c r="X1000" s="4">
        <f t="shared" si="387"/>
        <v>13174.583253069781</v>
      </c>
      <c r="Y1000" s="9">
        <f>SUM($X$6:X1000)</f>
        <v>503588.91337338137</v>
      </c>
      <c r="Z1000" s="16">
        <f t="shared" si="388"/>
        <v>0.50358891337338141</v>
      </c>
      <c r="AA1000" s="16">
        <f t="shared" si="384"/>
        <v>0.60008926753637271</v>
      </c>
      <c r="AB1000" s="16">
        <f t="shared" si="385"/>
        <v>8.8395441367007527E-3</v>
      </c>
      <c r="AC1000" s="16">
        <f t="shared" si="386"/>
        <v>1.0618514891638736E-2</v>
      </c>
    </row>
    <row r="1001" spans="1:29" x14ac:dyDescent="0.15">
      <c r="A1001" s="8">
        <v>42354</v>
      </c>
      <c r="B1001" s="4">
        <v>2073.0700000000002</v>
      </c>
      <c r="C1001" s="1">
        <v>15.8851</v>
      </c>
      <c r="D1001" s="1">
        <v>2.11</v>
      </c>
      <c r="E1001" s="1">
        <v>0.53839999999999999</v>
      </c>
      <c r="F1001" s="4">
        <f t="shared" si="376"/>
        <v>0.15885099999999999</v>
      </c>
      <c r="G1001" s="4">
        <f t="shared" si="377"/>
        <v>2.1099999999999997E-2</v>
      </c>
      <c r="H1001" s="4">
        <f t="shared" si="378"/>
        <v>5.3839999999999999E-3</v>
      </c>
      <c r="I1001" s="3">
        <f t="shared" si="379"/>
        <v>69.492129984609917</v>
      </c>
      <c r="J1001" s="4">
        <f t="shared" si="389"/>
        <v>1569350.6010955726</v>
      </c>
      <c r="K1001" s="1">
        <f t="shared" si="390"/>
        <v>2104.0500000000002</v>
      </c>
      <c r="L1001" s="5">
        <f t="shared" si="391"/>
        <v>0.12876712328767154</v>
      </c>
      <c r="M1001" s="5">
        <f t="shared" si="392"/>
        <v>-0.60371013340547619</v>
      </c>
      <c r="N1001" s="5">
        <f t="shared" si="393"/>
        <v>67.038994241373587</v>
      </c>
      <c r="O1001" s="1">
        <f t="shared" si="394"/>
        <v>0</v>
      </c>
      <c r="P1001" s="1">
        <f t="shared" si="395"/>
        <v>2104.0500000000002</v>
      </c>
      <c r="Q1001" s="5">
        <f t="shared" si="396"/>
        <v>0.12876712328767154</v>
      </c>
      <c r="R1001" s="5">
        <f t="shared" si="397"/>
        <v>-0.60371013340547619</v>
      </c>
      <c r="S1001" s="5">
        <f t="shared" si="380"/>
        <v>67.038994241373587</v>
      </c>
      <c r="T1001" s="5">
        <f t="shared" si="381"/>
        <v>-724.42408383198278</v>
      </c>
      <c r="U1001" s="4">
        <f t="shared" si="382"/>
        <v>1569375.9256847245</v>
      </c>
      <c r="V1001" s="4">
        <f t="shared" si="398"/>
        <v>25.324997814474045</v>
      </c>
      <c r="W1001" s="4">
        <f t="shared" si="383"/>
        <v>1520811.2637003998</v>
      </c>
      <c r="X1001" s="4">
        <f t="shared" si="387"/>
        <v>17222.350327018416</v>
      </c>
      <c r="Y1001" s="9">
        <f>SUM($X$6:X1001)</f>
        <v>520811.26370039978</v>
      </c>
      <c r="Z1001" s="16">
        <f t="shared" si="388"/>
        <v>0.52081126370039976</v>
      </c>
      <c r="AA1001" s="16">
        <f t="shared" si="384"/>
        <v>0.62331448796454381</v>
      </c>
      <c r="AB1001" s="16">
        <f t="shared" si="385"/>
        <v>1.1454161555620386E-2</v>
      </c>
      <c r="AC1001" s="16">
        <f t="shared" si="386"/>
        <v>1.4514952946300586E-2</v>
      </c>
    </row>
    <row r="1002" spans="1:29" x14ac:dyDescent="0.15">
      <c r="A1002" s="8">
        <v>42355</v>
      </c>
      <c r="B1002" s="4">
        <v>2041.89</v>
      </c>
      <c r="C1002" s="1">
        <v>16.874199999999998</v>
      </c>
      <c r="D1002" s="1">
        <v>2.15</v>
      </c>
      <c r="E1002" s="1">
        <v>0.57579999999999998</v>
      </c>
      <c r="F1002" s="4">
        <f t="shared" si="376"/>
        <v>0.16874199999999998</v>
      </c>
      <c r="G1002" s="4">
        <f t="shared" si="377"/>
        <v>2.1499999999999998E-2</v>
      </c>
      <c r="H1002" s="4">
        <f t="shared" si="378"/>
        <v>5.7580000000000001E-3</v>
      </c>
      <c r="I1002" s="3">
        <f t="shared" si="379"/>
        <v>72.44863635888639</v>
      </c>
      <c r="J1002" s="4">
        <f t="shared" si="389"/>
        <v>1569375.9256847245</v>
      </c>
      <c r="K1002" s="1">
        <f t="shared" si="390"/>
        <v>2104.0500000000002</v>
      </c>
      <c r="L1002" s="5">
        <f t="shared" si="391"/>
        <v>0.12602739726027429</v>
      </c>
      <c r="M1002" s="5">
        <f t="shared" si="392"/>
        <v>-0.69091422183076279</v>
      </c>
      <c r="N1002" s="5">
        <f t="shared" si="393"/>
        <v>89.40576414579678</v>
      </c>
      <c r="O1002" s="1">
        <f t="shared" si="394"/>
        <v>0</v>
      </c>
      <c r="P1002" s="1">
        <f t="shared" si="395"/>
        <v>2104.0500000000002</v>
      </c>
      <c r="Q1002" s="5">
        <f t="shared" si="396"/>
        <v>0.12602739726027429</v>
      </c>
      <c r="R1002" s="5">
        <f t="shared" si="397"/>
        <v>-0.69091422183076279</v>
      </c>
      <c r="S1002" s="5">
        <f t="shared" si="380"/>
        <v>89.40576414579678</v>
      </c>
      <c r="T1002" s="5">
        <f t="shared" si="381"/>
        <v>-724.42408383198278</v>
      </c>
      <c r="U1002" s="4">
        <f t="shared" si="382"/>
        <v>1569401.2506825388</v>
      </c>
      <c r="V1002" s="4">
        <f t="shared" si="398"/>
        <v>25.325406483616856</v>
      </c>
      <c r="W1002" s="4">
        <f t="shared" si="383"/>
        <v>1504633.5619019216</v>
      </c>
      <c r="X1002" s="4">
        <f t="shared" si="387"/>
        <v>-16177.701798478141</v>
      </c>
      <c r="Y1002" s="9">
        <f>SUM($X$6:X1002)</f>
        <v>504633.56190192164</v>
      </c>
      <c r="Z1002" s="16">
        <f t="shared" si="388"/>
        <v>0.50463356190192166</v>
      </c>
      <c r="AA1002" s="16">
        <f t="shared" si="384"/>
        <v>0.59889903371807129</v>
      </c>
      <c r="AB1002" s="16">
        <f t="shared" si="385"/>
        <v>-1.0637547330570766E-2</v>
      </c>
      <c r="AC1002" s="16">
        <f t="shared" si="386"/>
        <v>-1.5040495497016531E-2</v>
      </c>
    </row>
    <row r="1003" spans="1:29" x14ac:dyDescent="0.15">
      <c r="A1003" s="8">
        <v>42356</v>
      </c>
      <c r="B1003" s="4">
        <v>2005.55</v>
      </c>
      <c r="C1003" s="1">
        <v>18.192399999999999</v>
      </c>
      <c r="D1003" s="1">
        <v>2.19</v>
      </c>
      <c r="E1003" s="1">
        <v>0.59199999999999997</v>
      </c>
      <c r="F1003" s="4">
        <f t="shared" si="376"/>
        <v>0.181924</v>
      </c>
      <c r="G1003" s="4">
        <f t="shared" si="377"/>
        <v>2.1899999999999999E-2</v>
      </c>
      <c r="H1003" s="4">
        <f t="shared" si="378"/>
        <v>5.9199999999999999E-3</v>
      </c>
      <c r="I1003" s="3">
        <f t="shared" si="379"/>
        <v>76.453311619085056</v>
      </c>
      <c r="J1003" s="4">
        <f t="shared" si="389"/>
        <v>1569401.2506825388</v>
      </c>
      <c r="K1003" s="1">
        <f t="shared" si="390"/>
        <v>2104.0500000000002</v>
      </c>
      <c r="L1003" s="5">
        <f t="shared" si="391"/>
        <v>0.12328767123287702</v>
      </c>
      <c r="M1003" s="5">
        <f t="shared" si="392"/>
        <v>-0.77113376262518218</v>
      </c>
      <c r="N1003" s="5">
        <f t="shared" si="393"/>
        <v>118.63607822626093</v>
      </c>
      <c r="O1003" s="1">
        <f t="shared" si="394"/>
        <v>0</v>
      </c>
      <c r="P1003" s="1">
        <f t="shared" si="395"/>
        <v>2104.0500000000002</v>
      </c>
      <c r="Q1003" s="5">
        <f t="shared" si="396"/>
        <v>0.12328767123287702</v>
      </c>
      <c r="R1003" s="5">
        <f t="shared" si="397"/>
        <v>-0.77113376262518218</v>
      </c>
      <c r="S1003" s="5">
        <f t="shared" si="380"/>
        <v>118.63607822626093</v>
      </c>
      <c r="T1003" s="5">
        <f t="shared" si="381"/>
        <v>-724.42408383198278</v>
      </c>
      <c r="U1003" s="4">
        <f t="shared" si="382"/>
        <v>1569426.5760890224</v>
      </c>
      <c r="V1003" s="4">
        <f t="shared" si="398"/>
        <v>25.325815159354359</v>
      </c>
      <c r="W1003" s="4">
        <f t="shared" si="383"/>
        <v>1483483.743810544</v>
      </c>
      <c r="X1003" s="4">
        <f t="shared" si="387"/>
        <v>-21149.818091377616</v>
      </c>
      <c r="Y1003" s="9">
        <f>SUM($X$6:X1003)</f>
        <v>483483.74381054402</v>
      </c>
      <c r="Z1003" s="16">
        <f t="shared" si="388"/>
        <v>0.48348374381054404</v>
      </c>
      <c r="AA1003" s="16">
        <f t="shared" si="384"/>
        <v>0.57044304887789143</v>
      </c>
      <c r="AB1003" s="16">
        <f t="shared" si="385"/>
        <v>-1.4056457749515659E-2</v>
      </c>
      <c r="AC1003" s="16">
        <f t="shared" si="386"/>
        <v>-1.7797236873680827E-2</v>
      </c>
    </row>
    <row r="1004" spans="1:29" x14ac:dyDescent="0.15">
      <c r="A1004" s="8">
        <v>42359</v>
      </c>
      <c r="B1004" s="4">
        <v>2021.15</v>
      </c>
      <c r="C1004" s="1">
        <v>17.2318</v>
      </c>
      <c r="D1004" s="1">
        <v>2.17</v>
      </c>
      <c r="E1004" s="1">
        <v>0.59970000000000001</v>
      </c>
      <c r="F1004" s="4">
        <f t="shared" si="376"/>
        <v>0.172318</v>
      </c>
      <c r="G1004" s="4">
        <f t="shared" si="377"/>
        <v>2.1700000000000001E-2</v>
      </c>
      <c r="H1004" s="4">
        <f t="shared" si="378"/>
        <v>5.9969999999999997E-3</v>
      </c>
      <c r="I1004" s="3">
        <f t="shared" si="379"/>
        <v>73.130627876687072</v>
      </c>
      <c r="J1004" s="4">
        <f t="shared" si="389"/>
        <v>1569426.5760890224</v>
      </c>
      <c r="K1004" s="1">
        <f t="shared" si="390"/>
        <v>2104.0500000000002</v>
      </c>
      <c r="L1004" s="5">
        <f t="shared" si="391"/>
        <v>0.11506849315068525</v>
      </c>
      <c r="M1004" s="5">
        <f t="shared" si="392"/>
        <v>-0.75282260896657749</v>
      </c>
      <c r="N1004" s="5">
        <f t="shared" si="393"/>
        <v>103.14539020690474</v>
      </c>
      <c r="O1004" s="1">
        <f t="shared" si="394"/>
        <v>0</v>
      </c>
      <c r="P1004" s="1">
        <f t="shared" si="395"/>
        <v>2104.0500000000002</v>
      </c>
      <c r="Q1004" s="5">
        <f t="shared" si="396"/>
        <v>0.11506849315068525</v>
      </c>
      <c r="R1004" s="5">
        <f t="shared" si="397"/>
        <v>-0.75282260896657749</v>
      </c>
      <c r="S1004" s="5">
        <f t="shared" si="380"/>
        <v>103.14539020690474</v>
      </c>
      <c r="T1004" s="5">
        <f t="shared" si="381"/>
        <v>-724.42408383198278</v>
      </c>
      <c r="U1004" s="4">
        <f t="shared" si="382"/>
        <v>1569451.9019041818</v>
      </c>
      <c r="V1004" s="4">
        <f t="shared" si="398"/>
        <v>75.978671525059966</v>
      </c>
      <c r="W1004" s="4">
        <f t="shared" si="383"/>
        <v>1494730.8971020526</v>
      </c>
      <c r="X1004" s="4">
        <f t="shared" si="387"/>
        <v>11247.153291508555</v>
      </c>
      <c r="Y1004" s="9">
        <f>SUM($X$6:X1004)</f>
        <v>494730.89710205258</v>
      </c>
      <c r="Z1004" s="16">
        <f t="shared" si="388"/>
        <v>0.49473089710205259</v>
      </c>
      <c r="AA1004" s="16">
        <f t="shared" si="384"/>
        <v>0.58265860648677448</v>
      </c>
      <c r="AB1004" s="16">
        <f t="shared" si="385"/>
        <v>7.5815817587718244E-3</v>
      </c>
      <c r="AC1004" s="16">
        <f t="shared" si="386"/>
        <v>7.7784148986562969E-3</v>
      </c>
    </row>
    <row r="1005" spans="1:29" x14ac:dyDescent="0.15">
      <c r="A1005" s="8">
        <v>42360</v>
      </c>
      <c r="B1005" s="4">
        <v>2038.97</v>
      </c>
      <c r="C1005" s="1">
        <v>16.2102</v>
      </c>
      <c r="D1005" s="1">
        <v>2.15</v>
      </c>
      <c r="E1005" s="1">
        <v>0.60099999999999998</v>
      </c>
      <c r="F1005" s="4">
        <f t="shared" si="376"/>
        <v>0.162102</v>
      </c>
      <c r="G1005" s="4">
        <f t="shared" si="377"/>
        <v>2.1499999999999998E-2</v>
      </c>
      <c r="H1005" s="4">
        <f t="shared" si="378"/>
        <v>6.0099999999999997E-3</v>
      </c>
      <c r="I1005" s="3">
        <f t="shared" si="379"/>
        <v>69.594140393963002</v>
      </c>
      <c r="J1005" s="4">
        <f t="shared" si="389"/>
        <v>1569451.9019041818</v>
      </c>
      <c r="K1005" s="1">
        <f t="shared" si="390"/>
        <v>2104.0500000000002</v>
      </c>
      <c r="L1005" s="5">
        <f t="shared" si="391"/>
        <v>0.11232876712328799</v>
      </c>
      <c r="M1005" s="5">
        <f t="shared" si="392"/>
        <v>-0.71837489643506536</v>
      </c>
      <c r="N1005" s="5">
        <f t="shared" si="393"/>
        <v>87.209449461188754</v>
      </c>
      <c r="O1005" s="1">
        <f t="shared" si="394"/>
        <v>0</v>
      </c>
      <c r="P1005" s="1">
        <f t="shared" si="395"/>
        <v>2104.0500000000002</v>
      </c>
      <c r="Q1005" s="5">
        <f t="shared" si="396"/>
        <v>0.11232876712328799</v>
      </c>
      <c r="R1005" s="5">
        <f t="shared" si="397"/>
        <v>-0.71837489643506536</v>
      </c>
      <c r="S1005" s="5">
        <f t="shared" si="380"/>
        <v>87.209449461188754</v>
      </c>
      <c r="T1005" s="5">
        <f t="shared" si="381"/>
        <v>-724.42408383198278</v>
      </c>
      <c r="U1005" s="4">
        <f t="shared" si="382"/>
        <v>1569527.8805757069</v>
      </c>
      <c r="V1005" s="4">
        <f t="shared" si="398"/>
        <v>25.327449908468257</v>
      </c>
      <c r="W1005" s="4">
        <f t="shared" si="383"/>
        <v>1506351.2550482936</v>
      </c>
      <c r="X1005" s="4">
        <f t="shared" si="387"/>
        <v>11620.357946241042</v>
      </c>
      <c r="Y1005" s="9">
        <f>SUM($X$6:X1005)</f>
        <v>506351.25504829362</v>
      </c>
      <c r="Z1005" s="16">
        <f t="shared" si="388"/>
        <v>0.50635125504829359</v>
      </c>
      <c r="AA1005" s="16">
        <f t="shared" si="384"/>
        <v>0.59661253190922914</v>
      </c>
      <c r="AB1005" s="16">
        <f t="shared" si="385"/>
        <v>7.7742140533592404E-3</v>
      </c>
      <c r="AC1005" s="16">
        <f t="shared" si="386"/>
        <v>8.8167627340869983E-3</v>
      </c>
    </row>
    <row r="1006" spans="1:29" x14ac:dyDescent="0.15">
      <c r="A1006" s="8">
        <v>42361</v>
      </c>
      <c r="B1006" s="4">
        <v>2064.29</v>
      </c>
      <c r="C1006" s="1">
        <v>15.559200000000001</v>
      </c>
      <c r="D1006" s="1">
        <v>2.13</v>
      </c>
      <c r="E1006" s="1">
        <v>0.60980000000000001</v>
      </c>
      <c r="F1006" s="4">
        <f t="shared" si="376"/>
        <v>0.15559200000000001</v>
      </c>
      <c r="G1006" s="4">
        <f t="shared" si="377"/>
        <v>2.1299999999999999E-2</v>
      </c>
      <c r="H1006" s="4">
        <f t="shared" si="378"/>
        <v>6.0980000000000001E-3</v>
      </c>
      <c r="I1006" s="3">
        <f t="shared" si="379"/>
        <v>67.720044921343785</v>
      </c>
      <c r="J1006" s="4">
        <f t="shared" si="389"/>
        <v>1569527.8805757069</v>
      </c>
      <c r="K1006" s="1">
        <f t="shared" si="390"/>
        <v>2104.0500000000002</v>
      </c>
      <c r="L1006" s="5">
        <f t="shared" si="391"/>
        <v>0.10958904109589072</v>
      </c>
      <c r="M1006" s="5">
        <f t="shared" si="392"/>
        <v>-0.64539650439529894</v>
      </c>
      <c r="N1006" s="5">
        <f t="shared" si="393"/>
        <v>67.76217549958568</v>
      </c>
      <c r="O1006" s="1">
        <f t="shared" si="394"/>
        <v>0</v>
      </c>
      <c r="P1006" s="1">
        <f t="shared" si="395"/>
        <v>2104.0500000000002</v>
      </c>
      <c r="Q1006" s="5">
        <f t="shared" si="396"/>
        <v>0.10958904109589072</v>
      </c>
      <c r="R1006" s="5">
        <f t="shared" si="397"/>
        <v>-0.64539650439529894</v>
      </c>
      <c r="S1006" s="5">
        <f t="shared" si="380"/>
        <v>67.76217549958568</v>
      </c>
      <c r="T1006" s="5">
        <f t="shared" si="381"/>
        <v>-724.42408383198278</v>
      </c>
      <c r="U1006" s="4">
        <f t="shared" si="382"/>
        <v>1569553.2080256154</v>
      </c>
      <c r="V1006" s="4">
        <f t="shared" si="398"/>
        <v>25.327858617180475</v>
      </c>
      <c r="W1006" s="4">
        <f t="shared" si="383"/>
        <v>1520464.6561208661</v>
      </c>
      <c r="X1006" s="4">
        <f t="shared" si="387"/>
        <v>14113.401072572451</v>
      </c>
      <c r="Y1006" s="9">
        <f>SUM($X$6:X1006)</f>
        <v>520464.65612086607</v>
      </c>
      <c r="Z1006" s="16">
        <f t="shared" si="388"/>
        <v>0.52046465612086612</v>
      </c>
      <c r="AA1006" s="16">
        <f t="shared" si="384"/>
        <v>0.61643932156672365</v>
      </c>
      <c r="AB1006" s="16">
        <f t="shared" si="385"/>
        <v>9.3692629957811378E-3</v>
      </c>
      <c r="AC1006" s="16">
        <f t="shared" si="386"/>
        <v>1.2418034595898879E-2</v>
      </c>
    </row>
    <row r="1007" spans="1:29" x14ac:dyDescent="0.15">
      <c r="A1007" s="8">
        <v>42362</v>
      </c>
      <c r="B1007" s="4">
        <v>2060.9899999999998</v>
      </c>
      <c r="C1007" s="1">
        <v>15.6104</v>
      </c>
      <c r="D1007" s="1">
        <v>2.13</v>
      </c>
      <c r="E1007" s="1">
        <v>0.60980000000000001</v>
      </c>
      <c r="F1007" s="4">
        <f t="shared" si="376"/>
        <v>0.15610399999999999</v>
      </c>
      <c r="G1007" s="4">
        <f t="shared" si="377"/>
        <v>2.1299999999999999E-2</v>
      </c>
      <c r="H1007" s="4">
        <f t="shared" si="378"/>
        <v>6.0980000000000001E-3</v>
      </c>
      <c r="I1007" s="3">
        <f t="shared" si="379"/>
        <v>67.820862259973993</v>
      </c>
      <c r="J1007" s="4">
        <f t="shared" si="389"/>
        <v>1569553.2080256154</v>
      </c>
      <c r="K1007" s="1">
        <f t="shared" si="390"/>
        <v>2104.0500000000002</v>
      </c>
      <c r="L1007" s="5">
        <f t="shared" si="391"/>
        <v>0.10684931506849346</v>
      </c>
      <c r="M1007" s="5">
        <f t="shared" si="392"/>
        <v>-0.65816502328583248</v>
      </c>
      <c r="N1007" s="5">
        <f t="shared" si="393"/>
        <v>69.493163652706642</v>
      </c>
      <c r="O1007" s="1">
        <f t="shared" si="394"/>
        <v>0</v>
      </c>
      <c r="P1007" s="1">
        <f t="shared" si="395"/>
        <v>2104.0500000000002</v>
      </c>
      <c r="Q1007" s="5">
        <f t="shared" si="396"/>
        <v>0.10684931506849346</v>
      </c>
      <c r="R1007" s="5">
        <f t="shared" si="397"/>
        <v>-0.65816502328583248</v>
      </c>
      <c r="S1007" s="5">
        <f t="shared" si="380"/>
        <v>69.493163652706642</v>
      </c>
      <c r="T1007" s="5">
        <f t="shared" si="381"/>
        <v>-724.42408383198278</v>
      </c>
      <c r="U1007" s="4">
        <f t="shared" si="382"/>
        <v>1569578.5358842327</v>
      </c>
      <c r="V1007" s="4">
        <f t="shared" si="398"/>
        <v>25.328267332488025</v>
      </c>
      <c r="W1007" s="4">
        <f t="shared" si="383"/>
        <v>1519236.0144725346</v>
      </c>
      <c r="X1007" s="4">
        <f t="shared" si="387"/>
        <v>-1228.6416483314242</v>
      </c>
      <c r="Y1007" s="9">
        <f>SUM($X$6:X1007)</f>
        <v>519236.01447253465</v>
      </c>
      <c r="Z1007" s="16">
        <f t="shared" si="388"/>
        <v>0.51923601447253465</v>
      </c>
      <c r="AA1007" s="16">
        <f t="shared" si="384"/>
        <v>0.61385526130330592</v>
      </c>
      <c r="AB1007" s="16">
        <f t="shared" si="385"/>
        <v>-8.0806985113750381E-4</v>
      </c>
      <c r="AC1007" s="16">
        <f t="shared" si="386"/>
        <v>-1.5986125980362168E-3</v>
      </c>
    </row>
    <row r="1008" spans="1:29" x14ac:dyDescent="0.15">
      <c r="A1008" s="8">
        <v>42366</v>
      </c>
      <c r="B1008" s="4">
        <v>2056.5</v>
      </c>
      <c r="C1008" s="1">
        <v>15.853899999999999</v>
      </c>
      <c r="D1008" s="1">
        <v>2.13</v>
      </c>
      <c r="E1008" s="1">
        <v>0.60980000000000001</v>
      </c>
      <c r="F1008" s="4">
        <f t="shared" si="376"/>
        <v>0.15853899999999999</v>
      </c>
      <c r="G1008" s="4">
        <f t="shared" si="377"/>
        <v>2.1299999999999999E-2</v>
      </c>
      <c r="H1008" s="4">
        <f t="shared" si="378"/>
        <v>6.0980000000000001E-3</v>
      </c>
      <c r="I1008" s="3">
        <f t="shared" si="379"/>
        <v>68.665284963372031</v>
      </c>
      <c r="J1008" s="4">
        <f t="shared" si="389"/>
        <v>1569578.5358842327</v>
      </c>
      <c r="K1008" s="1">
        <f t="shared" si="390"/>
        <v>2104.0500000000002</v>
      </c>
      <c r="L1008" s="5">
        <f t="shared" si="391"/>
        <v>9.5890410958904423E-2</v>
      </c>
      <c r="M1008" s="5">
        <f t="shared" si="392"/>
        <v>-0.67970388939865822</v>
      </c>
      <c r="N1008" s="5">
        <f t="shared" si="393"/>
        <v>70.833792284690617</v>
      </c>
      <c r="O1008" s="1">
        <f t="shared" si="394"/>
        <v>0</v>
      </c>
      <c r="P1008" s="1">
        <f t="shared" si="395"/>
        <v>2104.0500000000002</v>
      </c>
      <c r="Q1008" s="5">
        <f t="shared" si="396"/>
        <v>9.5890410958904423E-2</v>
      </c>
      <c r="R1008" s="5">
        <f t="shared" si="397"/>
        <v>-0.67970388939865822</v>
      </c>
      <c r="S1008" s="5">
        <f t="shared" si="380"/>
        <v>70.833792284690617</v>
      </c>
      <c r="T1008" s="5">
        <f t="shared" si="381"/>
        <v>-724.42408383198278</v>
      </c>
      <c r="U1008" s="4">
        <f t="shared" si="382"/>
        <v>1569603.8641515651</v>
      </c>
      <c r="V1008" s="4">
        <f t="shared" si="398"/>
        <v>101.31470421756403</v>
      </c>
      <c r="W1008" s="4">
        <f t="shared" si="383"/>
        <v>1518290.1590713831</v>
      </c>
      <c r="X1008" s="4">
        <f t="shared" si="387"/>
        <v>-945.85540115158074</v>
      </c>
      <c r="Y1008" s="9">
        <f>SUM($X$6:X1008)</f>
        <v>518290.15907138307</v>
      </c>
      <c r="Z1008" s="16">
        <f t="shared" si="388"/>
        <v>0.51829015907138309</v>
      </c>
      <c r="AA1008" s="16">
        <f t="shared" si="384"/>
        <v>0.61033937324792886</v>
      </c>
      <c r="AB1008" s="16">
        <f t="shared" si="385"/>
        <v>-6.225862157960844E-4</v>
      </c>
      <c r="AC1008" s="16">
        <f t="shared" si="386"/>
        <v>-2.178564670376752E-3</v>
      </c>
    </row>
    <row r="1009" spans="1:29" x14ac:dyDescent="0.15">
      <c r="A1009" s="8">
        <v>42367</v>
      </c>
      <c r="B1009" s="4">
        <v>2078.36</v>
      </c>
      <c r="C1009" s="1">
        <v>15.061</v>
      </c>
      <c r="D1009" s="1">
        <v>2.11</v>
      </c>
      <c r="E1009" s="1">
        <v>0.61339999999999995</v>
      </c>
      <c r="F1009" s="4">
        <f t="shared" si="376"/>
        <v>0.15060999999999999</v>
      </c>
      <c r="G1009" s="4">
        <f t="shared" si="377"/>
        <v>2.1099999999999997E-2</v>
      </c>
      <c r="H1009" s="4">
        <f t="shared" si="378"/>
        <v>6.1339999999999997E-3</v>
      </c>
      <c r="I1009" s="3">
        <f t="shared" si="379"/>
        <v>66.068088041934956</v>
      </c>
      <c r="J1009" s="4">
        <f t="shared" si="389"/>
        <v>1569603.8641515651</v>
      </c>
      <c r="K1009" s="1">
        <f t="shared" si="390"/>
        <v>2104.0500000000002</v>
      </c>
      <c r="L1009" s="5">
        <f t="shared" si="391"/>
        <v>9.3150684931507161E-2</v>
      </c>
      <c r="M1009" s="5">
        <f t="shared" si="392"/>
        <v>-0.6069939027068505</v>
      </c>
      <c r="N1009" s="5">
        <f t="shared" si="393"/>
        <v>54.264666117144607</v>
      </c>
      <c r="O1009" s="1">
        <f t="shared" si="394"/>
        <v>0</v>
      </c>
      <c r="P1009" s="1">
        <f t="shared" si="395"/>
        <v>2104.0500000000002</v>
      </c>
      <c r="Q1009" s="5">
        <f t="shared" si="396"/>
        <v>9.3150684931507161E-2</v>
      </c>
      <c r="R1009" s="5">
        <f t="shared" si="397"/>
        <v>-0.6069939027068505</v>
      </c>
      <c r="S1009" s="5">
        <f t="shared" si="380"/>
        <v>54.264666117144607</v>
      </c>
      <c r="T1009" s="5">
        <f t="shared" si="381"/>
        <v>-724.42408383198278</v>
      </c>
      <c r="U1009" s="4">
        <f t="shared" si="382"/>
        <v>1569705.1788557826</v>
      </c>
      <c r="V1009" s="4">
        <f t="shared" si="398"/>
        <v>25.330310968385092</v>
      </c>
      <c r="W1009" s="4">
        <f t="shared" si="383"/>
        <v>1530394.5478194216</v>
      </c>
      <c r="X1009" s="4">
        <f t="shared" si="387"/>
        <v>12104.38874803856</v>
      </c>
      <c r="Y1009" s="9">
        <f>SUM($X$6:X1009)</f>
        <v>530394.54781942163</v>
      </c>
      <c r="Z1009" s="16">
        <f t="shared" si="388"/>
        <v>0.53039454781942164</v>
      </c>
      <c r="AA1009" s="16">
        <f t="shared" si="384"/>
        <v>0.6274568148716585</v>
      </c>
      <c r="AB1009" s="16">
        <f t="shared" si="385"/>
        <v>7.9723817451611816E-3</v>
      </c>
      <c r="AC1009" s="16">
        <f t="shared" si="386"/>
        <v>1.0629710673474412E-2</v>
      </c>
    </row>
    <row r="1010" spans="1:29" x14ac:dyDescent="0.15">
      <c r="A1010" s="8">
        <v>42368</v>
      </c>
      <c r="B1010" s="4">
        <v>2063.36</v>
      </c>
      <c r="C1010" s="1">
        <v>15.6431</v>
      </c>
      <c r="D1010" s="1">
        <v>2.13</v>
      </c>
      <c r="E1010" s="1">
        <v>0.61899999999999999</v>
      </c>
      <c r="F1010" s="4">
        <f t="shared" si="376"/>
        <v>0.15643100000000001</v>
      </c>
      <c r="G1010" s="4">
        <f t="shared" si="377"/>
        <v>2.1299999999999999E-2</v>
      </c>
      <c r="H1010" s="4">
        <f t="shared" si="378"/>
        <v>6.1900000000000002E-3</v>
      </c>
      <c r="I1010" s="3">
        <f t="shared" si="379"/>
        <v>68.007262609845952</v>
      </c>
      <c r="J1010" s="4">
        <f t="shared" si="389"/>
        <v>1569705.1788557826</v>
      </c>
      <c r="K1010" s="1">
        <f t="shared" si="390"/>
        <v>2104.0500000000002</v>
      </c>
      <c r="L1010" s="5">
        <f t="shared" si="391"/>
        <v>9.0410958904109898E-2</v>
      </c>
      <c r="M1010" s="5">
        <f t="shared" si="392"/>
        <v>-0.66173779599990179</v>
      </c>
      <c r="N1010" s="5">
        <f t="shared" si="393"/>
        <v>64.579353404171513</v>
      </c>
      <c r="O1010" s="1">
        <f t="shared" si="394"/>
        <v>0</v>
      </c>
      <c r="P1010" s="1">
        <f t="shared" si="395"/>
        <v>2104.0500000000002</v>
      </c>
      <c r="Q1010" s="5">
        <f t="shared" si="396"/>
        <v>9.0410958904109898E-2</v>
      </c>
      <c r="R1010" s="5">
        <f t="shared" si="397"/>
        <v>-0.66173779599990179</v>
      </c>
      <c r="S1010" s="5">
        <f t="shared" si="380"/>
        <v>64.579353404171513</v>
      </c>
      <c r="T1010" s="5">
        <f t="shared" si="381"/>
        <v>-724.42408383198278</v>
      </c>
      <c r="U1010" s="4">
        <f t="shared" si="382"/>
        <v>1569730.5091667511</v>
      </c>
      <c r="V1010" s="4">
        <f t="shared" si="398"/>
        <v>25.330719723266203</v>
      </c>
      <c r="W1010" s="4">
        <f t="shared" si="383"/>
        <v>1522947.6702424723</v>
      </c>
      <c r="X1010" s="4">
        <f t="shared" si="387"/>
        <v>-7446.8775769493077</v>
      </c>
      <c r="Y1010" s="9">
        <f>SUM($X$6:X1010)</f>
        <v>522947.67024247232</v>
      </c>
      <c r="Z1010" s="16">
        <f t="shared" si="388"/>
        <v>0.52294767024247235</v>
      </c>
      <c r="AA1010" s="16">
        <f t="shared" si="384"/>
        <v>0.61571108640157879</v>
      </c>
      <c r="AB1010" s="16">
        <f t="shared" si="385"/>
        <v>-4.86598543333807E-3</v>
      </c>
      <c r="AC1010" s="16">
        <f t="shared" si="386"/>
        <v>-7.2172289689947837E-3</v>
      </c>
    </row>
    <row r="1011" spans="1:29" x14ac:dyDescent="0.15">
      <c r="A1011" s="8">
        <v>42369</v>
      </c>
      <c r="B1011" s="4">
        <v>2043.94</v>
      </c>
      <c r="C1011" s="1">
        <v>16.191299999999998</v>
      </c>
      <c r="D1011" s="1">
        <v>2.15</v>
      </c>
      <c r="E1011" s="1">
        <v>0.61950000000000005</v>
      </c>
      <c r="F1011" s="4">
        <f t="shared" si="376"/>
        <v>0.16191299999999997</v>
      </c>
      <c r="G1011" s="4">
        <f t="shared" si="377"/>
        <v>2.1499999999999998E-2</v>
      </c>
      <c r="H1011" s="4">
        <f t="shared" si="378"/>
        <v>6.1950000000000009E-3</v>
      </c>
      <c r="I1011" s="3">
        <f t="shared" si="379"/>
        <v>69.63687708371188</v>
      </c>
      <c r="J1011" s="4">
        <f t="shared" si="389"/>
        <v>1569730.5091667511</v>
      </c>
      <c r="K1011" s="1">
        <f t="shared" si="390"/>
        <v>2104.0500000000002</v>
      </c>
      <c r="L1011" s="5">
        <f t="shared" si="391"/>
        <v>8.7671232876712635E-2</v>
      </c>
      <c r="M1011" s="5">
        <f t="shared" si="392"/>
        <v>-0.7272348871309875</v>
      </c>
      <c r="N1011" s="5">
        <f t="shared" si="393"/>
        <v>78.693452764544091</v>
      </c>
      <c r="O1011" s="1">
        <f t="shared" si="394"/>
        <v>0</v>
      </c>
      <c r="P1011" s="1">
        <f t="shared" si="395"/>
        <v>2104.0500000000002</v>
      </c>
      <c r="Q1011" s="5">
        <f t="shared" si="396"/>
        <v>8.7671232876712635E-2</v>
      </c>
      <c r="R1011" s="5">
        <f t="shared" si="397"/>
        <v>-0.7272348871309875</v>
      </c>
      <c r="S1011" s="5">
        <f t="shared" si="380"/>
        <v>78.693452764544091</v>
      </c>
      <c r="T1011" s="5">
        <f t="shared" si="381"/>
        <v>-724.42408383198278</v>
      </c>
      <c r="U1011" s="4">
        <f t="shared" si="382"/>
        <v>1569755.8398864744</v>
      </c>
      <c r="V1011" s="4">
        <f t="shared" si="398"/>
        <v>25.331128484743381</v>
      </c>
      <c r="W1011" s="4">
        <f t="shared" si="383"/>
        <v>1512748.4074639441</v>
      </c>
      <c r="X1011" s="4">
        <f t="shared" si="387"/>
        <v>-10199.262778528268</v>
      </c>
      <c r="Y1011" s="9">
        <f>SUM($X$6:X1011)</f>
        <v>512748.40746394405</v>
      </c>
      <c r="Z1011" s="16">
        <f t="shared" si="388"/>
        <v>0.51274840746394401</v>
      </c>
      <c r="AA1011" s="16">
        <f t="shared" si="384"/>
        <v>0.60050428327564886</v>
      </c>
      <c r="AB1011" s="16">
        <f t="shared" si="385"/>
        <v>-6.6970539945764634E-3</v>
      </c>
      <c r="AC1011" s="16">
        <f t="shared" si="386"/>
        <v>-9.4118331265509031E-3</v>
      </c>
    </row>
    <row r="1012" spans="1:29" x14ac:dyDescent="0.15">
      <c r="A1012" s="8">
        <v>42373</v>
      </c>
      <c r="B1012" s="4">
        <v>2012.66</v>
      </c>
      <c r="C1012" s="1">
        <v>17.6937</v>
      </c>
      <c r="D1012" s="1">
        <v>2.29</v>
      </c>
      <c r="E1012" s="1">
        <v>0.61850000000000005</v>
      </c>
      <c r="F1012" s="4">
        <f t="shared" si="376"/>
        <v>0.17693700000000001</v>
      </c>
      <c r="G1012" s="4">
        <f t="shared" si="377"/>
        <v>2.29E-2</v>
      </c>
      <c r="H1012" s="4">
        <f t="shared" si="378"/>
        <v>6.1850000000000004E-3</v>
      </c>
      <c r="I1012" s="3">
        <f t="shared" si="379"/>
        <v>74.914586691032596</v>
      </c>
      <c r="J1012" s="4">
        <f t="shared" si="389"/>
        <v>1569755.8398864744</v>
      </c>
      <c r="K1012" s="1">
        <f t="shared" si="390"/>
        <v>2104.0500000000002</v>
      </c>
      <c r="L1012" s="5">
        <f t="shared" si="391"/>
        <v>7.6712328767123597E-2</v>
      </c>
      <c r="M1012" s="5">
        <f t="shared" si="392"/>
        <v>-0.8165745668022103</v>
      </c>
      <c r="N1012" s="5">
        <f t="shared" si="393"/>
        <v>103.45440102310916</v>
      </c>
      <c r="O1012" s="1">
        <f t="shared" si="394"/>
        <v>0</v>
      </c>
      <c r="P1012" s="1">
        <f t="shared" si="395"/>
        <v>2104.0500000000002</v>
      </c>
      <c r="Q1012" s="5">
        <f t="shared" si="396"/>
        <v>7.6712328767123597E-2</v>
      </c>
      <c r="R1012" s="5">
        <f t="shared" si="397"/>
        <v>-0.8165745668022103</v>
      </c>
      <c r="S1012" s="5">
        <f t="shared" si="380"/>
        <v>103.45440102310916</v>
      </c>
      <c r="T1012" s="5">
        <f t="shared" si="381"/>
        <v>-724.42408383198278</v>
      </c>
      <c r="U1012" s="4">
        <f t="shared" si="382"/>
        <v>1569781.1710149592</v>
      </c>
      <c r="V1012" s="4">
        <f t="shared" si="398"/>
        <v>101.32614901126695</v>
      </c>
      <c r="W1012" s="4">
        <f t="shared" si="383"/>
        <v>1494836.3113354067</v>
      </c>
      <c r="X1012" s="4">
        <f t="shared" si="387"/>
        <v>-17912.09612853732</v>
      </c>
      <c r="Y1012" s="9">
        <f>SUM($X$6:X1012)</f>
        <v>494836.31133540673</v>
      </c>
      <c r="Z1012" s="16">
        <f t="shared" si="388"/>
        <v>0.49483631133540673</v>
      </c>
      <c r="AA1012" s="16">
        <f t="shared" si="384"/>
        <v>0.57601052417270937</v>
      </c>
      <c r="AB1012" s="16">
        <f t="shared" si="385"/>
        <v>-1.1840763500499172E-2</v>
      </c>
      <c r="AC1012" s="16">
        <f t="shared" si="386"/>
        <v>-1.5303776040392561E-2</v>
      </c>
    </row>
    <row r="1013" spans="1:29" x14ac:dyDescent="0.15">
      <c r="A1013" s="8">
        <v>42374</v>
      </c>
      <c r="B1013" s="4">
        <v>2016.71</v>
      </c>
      <c r="C1013" s="1">
        <v>17.1602</v>
      </c>
      <c r="D1013" s="1">
        <v>2.29</v>
      </c>
      <c r="E1013" s="1">
        <v>0.624</v>
      </c>
      <c r="F1013" s="4">
        <f t="shared" si="376"/>
        <v>0.171602</v>
      </c>
      <c r="G1013" s="4">
        <f t="shared" si="377"/>
        <v>2.29E-2</v>
      </c>
      <c r="H1013" s="4">
        <f t="shared" si="378"/>
        <v>6.2399999999999999E-3</v>
      </c>
      <c r="I1013" s="3">
        <f t="shared" si="379"/>
        <v>72.919548614586787</v>
      </c>
      <c r="J1013" s="4">
        <f t="shared" si="389"/>
        <v>1569781.1710149592</v>
      </c>
      <c r="K1013" s="1">
        <f t="shared" si="390"/>
        <v>2104.0500000000002</v>
      </c>
      <c r="L1013" s="5">
        <f t="shared" si="391"/>
        <v>7.3972602739726334E-2</v>
      </c>
      <c r="M1013" s="5">
        <f t="shared" si="392"/>
        <v>-0.81758750043551898</v>
      </c>
      <c r="N1013" s="5">
        <f t="shared" si="393"/>
        <v>98.826193650297512</v>
      </c>
      <c r="O1013" s="1">
        <f t="shared" si="394"/>
        <v>0</v>
      </c>
      <c r="P1013" s="1">
        <f t="shared" si="395"/>
        <v>2104.0500000000002</v>
      </c>
      <c r="Q1013" s="5">
        <f t="shared" si="396"/>
        <v>7.3972602739726334E-2</v>
      </c>
      <c r="R1013" s="5">
        <f t="shared" si="397"/>
        <v>-0.81758750043551898</v>
      </c>
      <c r="S1013" s="5">
        <f t="shared" si="380"/>
        <v>98.826193650297512</v>
      </c>
      <c r="T1013" s="5">
        <f t="shared" si="381"/>
        <v>-724.42408383198278</v>
      </c>
      <c r="U1013" s="4">
        <f t="shared" si="382"/>
        <v>1569882.4971639705</v>
      </c>
      <c r="V1013" s="4">
        <f t="shared" si="398"/>
        <v>25.333172351495303</v>
      </c>
      <c r="W1013" s="4">
        <f t="shared" si="383"/>
        <v>1498290.4223702515</v>
      </c>
      <c r="X1013" s="4">
        <f t="shared" si="387"/>
        <v>3454.1110348447692</v>
      </c>
      <c r="Y1013" s="9">
        <f>SUM($X$6:X1013)</f>
        <v>498290.4223702515</v>
      </c>
      <c r="Z1013" s="16">
        <f t="shared" si="388"/>
        <v>0.49829042237025151</v>
      </c>
      <c r="AA1013" s="16">
        <f t="shared" si="384"/>
        <v>0.5791818708596308</v>
      </c>
      <c r="AB1013" s="16">
        <f t="shared" si="385"/>
        <v>2.3106951635119507E-3</v>
      </c>
      <c r="AC1013" s="16">
        <f t="shared" si="386"/>
        <v>2.0122623791400209E-3</v>
      </c>
    </row>
    <row r="1014" spans="1:29" x14ac:dyDescent="0.15">
      <c r="A1014" s="8">
        <v>42375</v>
      </c>
      <c r="B1014" s="4">
        <v>1990.26</v>
      </c>
      <c r="C1014" s="1">
        <v>18.055199999999999</v>
      </c>
      <c r="D1014" s="1">
        <v>2.3199999999999998</v>
      </c>
      <c r="E1014" s="1">
        <v>0.627</v>
      </c>
      <c r="F1014" s="4">
        <f t="shared" si="376"/>
        <v>0.18055199999999999</v>
      </c>
      <c r="G1014" s="4">
        <f t="shared" si="377"/>
        <v>2.3199999999999998E-2</v>
      </c>
      <c r="H1014" s="4">
        <f t="shared" si="378"/>
        <v>6.2700000000000004E-3</v>
      </c>
      <c r="I1014" s="3">
        <f t="shared" si="379"/>
        <v>75.55734083035675</v>
      </c>
      <c r="J1014" s="4">
        <f t="shared" si="389"/>
        <v>1569882.4971639705</v>
      </c>
      <c r="K1014" s="1">
        <f t="shared" si="390"/>
        <v>2104.0500000000002</v>
      </c>
      <c r="L1014" s="5">
        <f t="shared" si="391"/>
        <v>7.1232876712329071E-2</v>
      </c>
      <c r="M1014" s="5">
        <f t="shared" si="392"/>
        <v>-0.87444931808731519</v>
      </c>
      <c r="N1014" s="5">
        <f t="shared" si="393"/>
        <v>121.90684446331731</v>
      </c>
      <c r="O1014" s="1">
        <f t="shared" si="394"/>
        <v>0</v>
      </c>
      <c r="P1014" s="1">
        <f t="shared" si="395"/>
        <v>2104.0500000000002</v>
      </c>
      <c r="Q1014" s="5">
        <f t="shared" si="396"/>
        <v>7.1232876712329071E-2</v>
      </c>
      <c r="R1014" s="5">
        <f t="shared" si="397"/>
        <v>-0.87444931808731519</v>
      </c>
      <c r="S1014" s="5">
        <f t="shared" si="380"/>
        <v>121.90684446331731</v>
      </c>
      <c r="T1014" s="5">
        <f t="shared" si="381"/>
        <v>-724.42408383198278</v>
      </c>
      <c r="U1014" s="4">
        <f t="shared" si="382"/>
        <v>1569907.8303363221</v>
      </c>
      <c r="V1014" s="4">
        <f t="shared" si="398"/>
        <v>25.333581152550508</v>
      </c>
      <c r="W1014" s="4">
        <f t="shared" si="383"/>
        <v>1481595.5762231355</v>
      </c>
      <c r="X1014" s="4">
        <f t="shared" si="387"/>
        <v>-16694.846147116041</v>
      </c>
      <c r="Y1014" s="9">
        <f>SUM($X$6:X1014)</f>
        <v>481595.57622313546</v>
      </c>
      <c r="Z1014" s="16">
        <f t="shared" si="388"/>
        <v>0.48159557622313548</v>
      </c>
      <c r="AA1014" s="16">
        <f t="shared" si="384"/>
        <v>0.5584702363240569</v>
      </c>
      <c r="AB1014" s="16">
        <f t="shared" si="385"/>
        <v>-1.1142596854290294E-2</v>
      </c>
      <c r="AC1014" s="16">
        <f t="shared" si="386"/>
        <v>-1.3115420660382527E-2</v>
      </c>
    </row>
    <row r="1015" spans="1:29" x14ac:dyDescent="0.15">
      <c r="A1015" s="8">
        <v>42376</v>
      </c>
      <c r="B1015" s="4">
        <v>1943.09</v>
      </c>
      <c r="C1015" s="1">
        <v>20.212</v>
      </c>
      <c r="D1015" s="1">
        <v>2.38</v>
      </c>
      <c r="E1015" s="1">
        <v>0.62370000000000003</v>
      </c>
      <c r="F1015" s="4">
        <f t="shared" si="376"/>
        <v>0.20211999999999999</v>
      </c>
      <c r="G1015" s="4">
        <f t="shared" si="377"/>
        <v>2.3799999999999998E-2</v>
      </c>
      <c r="H1015" s="4">
        <f t="shared" si="378"/>
        <v>6.2370000000000004E-3</v>
      </c>
      <c r="I1015" s="3">
        <f t="shared" si="379"/>
        <v>82.218604415653502</v>
      </c>
      <c r="J1015" s="4">
        <f t="shared" si="389"/>
        <v>1569907.8303363221</v>
      </c>
      <c r="K1015" s="1">
        <f t="shared" si="390"/>
        <v>2104.0500000000002</v>
      </c>
      <c r="L1015" s="5">
        <f t="shared" si="391"/>
        <v>6.8493150684931808E-2</v>
      </c>
      <c r="M1015" s="5">
        <f t="shared" si="392"/>
        <v>-0.93177693716791643</v>
      </c>
      <c r="N1015" s="5">
        <f t="shared" si="393"/>
        <v>166.16738887473127</v>
      </c>
      <c r="O1015" s="1">
        <f t="shared" si="394"/>
        <v>0</v>
      </c>
      <c r="P1015" s="1">
        <f t="shared" si="395"/>
        <v>2104.0500000000002</v>
      </c>
      <c r="Q1015" s="5">
        <f t="shared" si="396"/>
        <v>6.8493150684931808E-2</v>
      </c>
      <c r="R1015" s="5">
        <f t="shared" si="397"/>
        <v>-0.93177693716791643</v>
      </c>
      <c r="S1015" s="5">
        <f t="shared" si="380"/>
        <v>166.16738887473127</v>
      </c>
      <c r="T1015" s="5">
        <f t="shared" si="381"/>
        <v>-724.42408383198278</v>
      </c>
      <c r="U1015" s="4">
        <f t="shared" si="382"/>
        <v>1569933.1639174747</v>
      </c>
      <c r="V1015" s="4">
        <f t="shared" si="398"/>
        <v>25.333989960202533</v>
      </c>
      <c r="W1015" s="4">
        <f t="shared" si="383"/>
        <v>1449557.5054691448</v>
      </c>
      <c r="X1015" s="4">
        <f t="shared" si="387"/>
        <v>-32038.070753990673</v>
      </c>
      <c r="Y1015" s="9">
        <f>SUM($X$6:X1015)</f>
        <v>449557.50546914479</v>
      </c>
      <c r="Z1015" s="16">
        <f t="shared" si="388"/>
        <v>0.4495575054691448</v>
      </c>
      <c r="AA1015" s="16">
        <f t="shared" si="384"/>
        <v>0.52153383552847943</v>
      </c>
      <c r="AB1015" s="16">
        <f t="shared" si="385"/>
        <v>-2.1624032406779799E-2</v>
      </c>
      <c r="AC1015" s="16">
        <f t="shared" si="386"/>
        <v>-2.3700421050516049E-2</v>
      </c>
    </row>
    <row r="1016" spans="1:29" x14ac:dyDescent="0.15">
      <c r="A1016" s="8">
        <v>42377</v>
      </c>
      <c r="B1016" s="4">
        <v>1922.03</v>
      </c>
      <c r="C1016" s="1">
        <v>21.1934</v>
      </c>
      <c r="D1016" s="1">
        <v>2.4</v>
      </c>
      <c r="E1016" s="1">
        <v>0.628</v>
      </c>
      <c r="F1016" s="4">
        <f t="shared" si="376"/>
        <v>0.21193400000000001</v>
      </c>
      <c r="G1016" s="4">
        <f t="shared" si="377"/>
        <v>2.4E-2</v>
      </c>
      <c r="H1016" s="4">
        <f t="shared" si="378"/>
        <v>6.28E-3</v>
      </c>
      <c r="I1016" s="3">
        <f t="shared" si="379"/>
        <v>85.098660333937403</v>
      </c>
      <c r="J1016" s="4">
        <f t="shared" si="389"/>
        <v>1569933.1639174747</v>
      </c>
      <c r="K1016" s="1">
        <f t="shared" si="390"/>
        <v>2104.0500000000002</v>
      </c>
      <c r="L1016" s="5">
        <f t="shared" si="391"/>
        <v>6.5753424657534545E-2</v>
      </c>
      <c r="M1016" s="5">
        <f t="shared" si="392"/>
        <v>-0.94996440591547848</v>
      </c>
      <c r="N1016" s="5">
        <f t="shared" si="393"/>
        <v>186.24528002444802</v>
      </c>
      <c r="O1016" s="1">
        <f t="shared" si="394"/>
        <v>0</v>
      </c>
      <c r="P1016" s="1">
        <f t="shared" si="395"/>
        <v>2104.0500000000002</v>
      </c>
      <c r="Q1016" s="5">
        <f t="shared" si="396"/>
        <v>6.5753424657534545E-2</v>
      </c>
      <c r="R1016" s="5">
        <f t="shared" si="397"/>
        <v>-0.94996440591547848</v>
      </c>
      <c r="S1016" s="5">
        <f t="shared" si="380"/>
        <v>186.24528002444802</v>
      </c>
      <c r="T1016" s="5">
        <f t="shared" si="381"/>
        <v>-724.42408383198278</v>
      </c>
      <c r="U1016" s="4">
        <f t="shared" si="382"/>
        <v>1569958.4979074348</v>
      </c>
      <c r="V1016" s="4">
        <f t="shared" si="398"/>
        <v>25.334398774451479</v>
      </c>
      <c r="W1016" s="4">
        <f t="shared" si="383"/>
        <v>1435037.9315576931</v>
      </c>
      <c r="X1016" s="4">
        <f t="shared" si="387"/>
        <v>-14519.573911451735</v>
      </c>
      <c r="Y1016" s="9">
        <f>SUM($X$6:X1016)</f>
        <v>435037.93155769305</v>
      </c>
      <c r="Z1016" s="16">
        <f t="shared" si="388"/>
        <v>0.43503793155769305</v>
      </c>
      <c r="AA1016" s="16">
        <f t="shared" si="384"/>
        <v>0.50504283275648765</v>
      </c>
      <c r="AB1016" s="16">
        <f t="shared" si="385"/>
        <v>-1.0016555988065143E-2</v>
      </c>
      <c r="AC1016" s="16">
        <f t="shared" si="386"/>
        <v>-1.0838406867412187E-2</v>
      </c>
    </row>
    <row r="1017" spans="1:29" x14ac:dyDescent="0.15">
      <c r="A1017" s="8">
        <v>42380</v>
      </c>
      <c r="B1017" s="4">
        <v>1923.67</v>
      </c>
      <c r="C1017" s="1">
        <v>19.953900000000001</v>
      </c>
      <c r="D1017" s="1">
        <v>2.4</v>
      </c>
      <c r="E1017" s="1">
        <v>0.629</v>
      </c>
      <c r="F1017" s="4">
        <f t="shared" si="376"/>
        <v>0.19953900000000002</v>
      </c>
      <c r="G1017" s="4">
        <f t="shared" si="377"/>
        <v>2.4E-2</v>
      </c>
      <c r="H1017" s="4">
        <f t="shared" si="378"/>
        <v>6.2900000000000005E-3</v>
      </c>
      <c r="I1017" s="3">
        <f t="shared" si="379"/>
        <v>80.447555786724422</v>
      </c>
      <c r="J1017" s="4">
        <f t="shared" si="389"/>
        <v>1569958.4979074348</v>
      </c>
      <c r="K1017" s="1">
        <f t="shared" si="390"/>
        <v>2104.0500000000002</v>
      </c>
      <c r="L1017" s="5">
        <f t="shared" si="391"/>
        <v>5.7534246575342764E-2</v>
      </c>
      <c r="M1017" s="5">
        <f t="shared" si="392"/>
        <v>-0.96792181570240177</v>
      </c>
      <c r="N1017" s="5">
        <f t="shared" si="393"/>
        <v>183.35321561541468</v>
      </c>
      <c r="O1017" s="1">
        <f t="shared" si="394"/>
        <v>0</v>
      </c>
      <c r="P1017" s="1">
        <f t="shared" si="395"/>
        <v>2104.0500000000002</v>
      </c>
      <c r="Q1017" s="5">
        <f t="shared" si="396"/>
        <v>5.7534246575342764E-2</v>
      </c>
      <c r="R1017" s="5">
        <f t="shared" si="397"/>
        <v>-0.96792181570240177</v>
      </c>
      <c r="S1017" s="5">
        <f t="shared" si="380"/>
        <v>183.35321561541468</v>
      </c>
      <c r="T1017" s="5">
        <f t="shared" si="381"/>
        <v>-724.42408383198278</v>
      </c>
      <c r="U1017" s="4">
        <f t="shared" si="382"/>
        <v>1569983.8323062093</v>
      </c>
      <c r="V1017" s="4">
        <f t="shared" si="398"/>
        <v>76.004422785892373</v>
      </c>
      <c r="W1017" s="4">
        <f t="shared" si="383"/>
        <v>1437158.3470663645</v>
      </c>
      <c r="X1017" s="4">
        <f t="shared" si="387"/>
        <v>2120.4155086714309</v>
      </c>
      <c r="Y1017" s="9">
        <f>SUM($X$6:X1017)</f>
        <v>437158.34706636448</v>
      </c>
      <c r="Z1017" s="16">
        <f t="shared" si="388"/>
        <v>0.43715834706636447</v>
      </c>
      <c r="AA1017" s="16">
        <f t="shared" si="384"/>
        <v>0.50632703240254973</v>
      </c>
      <c r="AB1017" s="16">
        <f t="shared" si="385"/>
        <v>1.4776024117841818E-3</v>
      </c>
      <c r="AC1017" s="16">
        <f t="shared" si="386"/>
        <v>8.5326451720321749E-4</v>
      </c>
    </row>
    <row r="1018" spans="1:29" x14ac:dyDescent="0.15">
      <c r="A1018" s="8">
        <v>42381</v>
      </c>
      <c r="B1018" s="4">
        <v>1938.68</v>
      </c>
      <c r="C1018" s="1">
        <v>18.971599999999999</v>
      </c>
      <c r="D1018" s="1">
        <v>2.38</v>
      </c>
      <c r="E1018" s="1">
        <v>0.63049999999999995</v>
      </c>
      <c r="F1018" s="4">
        <f t="shared" si="376"/>
        <v>0.189716</v>
      </c>
      <c r="G1018" s="4">
        <f t="shared" si="377"/>
        <v>2.3799999999999998E-2</v>
      </c>
      <c r="H1018" s="4">
        <f t="shared" si="378"/>
        <v>6.3049999999999998E-3</v>
      </c>
      <c r="I1018" s="3">
        <f t="shared" si="379"/>
        <v>77.252575241174682</v>
      </c>
      <c r="J1018" s="4">
        <f t="shared" si="389"/>
        <v>1569983.8323062093</v>
      </c>
      <c r="K1018" s="1">
        <f t="shared" si="390"/>
        <v>2104.0500000000002</v>
      </c>
      <c r="L1018" s="5">
        <f t="shared" si="391"/>
        <v>5.4794520547945501E-2</v>
      </c>
      <c r="M1018" s="5">
        <f t="shared" si="392"/>
        <v>-0.96604721129668691</v>
      </c>
      <c r="N1018" s="5">
        <f t="shared" si="393"/>
        <v>168.25452588280407</v>
      </c>
      <c r="O1018" s="1">
        <f t="shared" si="394"/>
        <v>0</v>
      </c>
      <c r="P1018" s="1">
        <f t="shared" si="395"/>
        <v>2104.0500000000002</v>
      </c>
      <c r="Q1018" s="5">
        <f t="shared" si="396"/>
        <v>5.4794520547945501E-2</v>
      </c>
      <c r="R1018" s="5">
        <f t="shared" si="397"/>
        <v>-0.96604721129668691</v>
      </c>
      <c r="S1018" s="5">
        <f t="shared" si="380"/>
        <v>168.25452588280407</v>
      </c>
      <c r="T1018" s="5">
        <f t="shared" si="381"/>
        <v>-724.42408383198278</v>
      </c>
      <c r="U1018" s="4">
        <f t="shared" si="382"/>
        <v>1570059.8367289952</v>
      </c>
      <c r="V1018" s="4">
        <f t="shared" si="398"/>
        <v>25.336034077626795</v>
      </c>
      <c r="W1018" s="4">
        <f t="shared" si="383"/>
        <v>1448172.2059657602</v>
      </c>
      <c r="X1018" s="4">
        <f t="shared" si="387"/>
        <v>11013.85889939568</v>
      </c>
      <c r="Y1018" s="9">
        <f>SUM($X$6:X1018)</f>
        <v>448172.20596576016</v>
      </c>
      <c r="Z1018" s="16">
        <f t="shared" si="388"/>
        <v>0.44817220596576018</v>
      </c>
      <c r="AA1018" s="16">
        <f t="shared" si="384"/>
        <v>0.51808059135827611</v>
      </c>
      <c r="AB1018" s="16">
        <f t="shared" si="385"/>
        <v>7.6636363152870358E-3</v>
      </c>
      <c r="AC1018" s="16">
        <f t="shared" si="386"/>
        <v>7.8027936184480659E-3</v>
      </c>
    </row>
    <row r="1019" spans="1:29" x14ac:dyDescent="0.15">
      <c r="A1019" s="8">
        <v>42382</v>
      </c>
      <c r="B1019" s="4">
        <v>1890.28</v>
      </c>
      <c r="C1019" s="1">
        <v>20.784700000000001</v>
      </c>
      <c r="D1019" s="1">
        <v>2.44</v>
      </c>
      <c r="E1019" s="1">
        <v>0.62890000000000001</v>
      </c>
      <c r="F1019" s="4">
        <f t="shared" si="376"/>
        <v>0.207847</v>
      </c>
      <c r="G1019" s="4">
        <f t="shared" si="377"/>
        <v>2.4399999999999998E-2</v>
      </c>
      <c r="H1019" s="4">
        <f t="shared" si="378"/>
        <v>6.2890000000000003E-3</v>
      </c>
      <c r="I1019" s="3">
        <f t="shared" si="379"/>
        <v>82.25400953287415</v>
      </c>
      <c r="J1019" s="4">
        <f t="shared" si="389"/>
        <v>1570059.8367289952</v>
      </c>
      <c r="K1019" s="1">
        <f t="shared" si="390"/>
        <v>2104.0500000000002</v>
      </c>
      <c r="L1019" s="5">
        <f t="shared" si="391"/>
        <v>5.2054794520548238E-2</v>
      </c>
      <c r="M1019" s="5">
        <f t="shared" si="392"/>
        <v>-0.98669403124283317</v>
      </c>
      <c r="N1019" s="5">
        <f t="shared" si="393"/>
        <v>215.84830798234583</v>
      </c>
      <c r="O1019" s="1">
        <f t="shared" si="394"/>
        <v>0</v>
      </c>
      <c r="P1019" s="1">
        <f t="shared" si="395"/>
        <v>2104.0500000000002</v>
      </c>
      <c r="Q1019" s="5">
        <f t="shared" si="396"/>
        <v>5.2054794520548238E-2</v>
      </c>
      <c r="R1019" s="5">
        <f t="shared" si="397"/>
        <v>-0.98669403124283317</v>
      </c>
      <c r="S1019" s="5">
        <f t="shared" si="380"/>
        <v>215.84830798234583</v>
      </c>
      <c r="T1019" s="5">
        <f t="shared" si="381"/>
        <v>-724.42408383198278</v>
      </c>
      <c r="U1019" s="4">
        <f t="shared" si="382"/>
        <v>1570085.1727630729</v>
      </c>
      <c r="V1019" s="4">
        <f t="shared" si="398"/>
        <v>25.33644292486164</v>
      </c>
      <c r="W1019" s="4">
        <f t="shared" si="383"/>
        <v>1413719.4600062785</v>
      </c>
      <c r="X1019" s="4">
        <f t="shared" si="387"/>
        <v>-34452.74595948169</v>
      </c>
      <c r="Y1019" s="9">
        <f>SUM($X$6:X1019)</f>
        <v>413719.46000627847</v>
      </c>
      <c r="Z1019" s="16">
        <f t="shared" si="388"/>
        <v>0.41371946000627846</v>
      </c>
      <c r="AA1019" s="16">
        <f t="shared" si="384"/>
        <v>0.48018104082815222</v>
      </c>
      <c r="AB1019" s="16">
        <f t="shared" si="385"/>
        <v>-2.3790503517159944E-2</v>
      </c>
      <c r="AC1019" s="16">
        <f t="shared" si="386"/>
        <v>-2.4965440402748309E-2</v>
      </c>
    </row>
    <row r="1020" spans="1:29" x14ac:dyDescent="0.15">
      <c r="A1020" s="8">
        <v>42383</v>
      </c>
      <c r="B1020" s="4">
        <v>1921.84</v>
      </c>
      <c r="C1020" s="1">
        <v>19.892700000000001</v>
      </c>
      <c r="D1020" s="1">
        <v>2.41</v>
      </c>
      <c r="E1020" s="1">
        <v>0.628</v>
      </c>
      <c r="F1020" s="4">
        <f t="shared" si="376"/>
        <v>0.19892700000000002</v>
      </c>
      <c r="G1020" s="4">
        <f t="shared" si="377"/>
        <v>2.41E-2</v>
      </c>
      <c r="H1020" s="4">
        <f t="shared" si="378"/>
        <v>6.28E-3</v>
      </c>
      <c r="I1020" s="3">
        <f t="shared" si="379"/>
        <v>80.164426119227173</v>
      </c>
      <c r="J1020" s="4">
        <f t="shared" si="389"/>
        <v>1570085.1727630729</v>
      </c>
      <c r="K1020" s="1">
        <f t="shared" si="390"/>
        <v>2104.0500000000002</v>
      </c>
      <c r="L1020" s="5">
        <f t="shared" si="391"/>
        <v>4.9315068493150975E-2</v>
      </c>
      <c r="M1020" s="5">
        <f t="shared" si="392"/>
        <v>-0.97856979951784506</v>
      </c>
      <c r="N1020" s="5">
        <f t="shared" si="393"/>
        <v>184.46400580567209</v>
      </c>
      <c r="O1020" s="1">
        <f t="shared" si="394"/>
        <v>0</v>
      </c>
      <c r="P1020" s="1">
        <f t="shared" si="395"/>
        <v>2104.0500000000002</v>
      </c>
      <c r="Q1020" s="5">
        <f t="shared" si="396"/>
        <v>4.9315068493150975E-2</v>
      </c>
      <c r="R1020" s="5">
        <f t="shared" si="397"/>
        <v>-0.97856979951784506</v>
      </c>
      <c r="S1020" s="5">
        <f t="shared" si="380"/>
        <v>184.46400580567209</v>
      </c>
      <c r="T1020" s="5">
        <f t="shared" si="381"/>
        <v>-724.42408383198278</v>
      </c>
      <c r="U1020" s="4">
        <f t="shared" si="382"/>
        <v>1570110.5092059977</v>
      </c>
      <c r="V1020" s="4">
        <f t="shared" si="398"/>
        <v>25.336851778694044</v>
      </c>
      <c r="W1020" s="4">
        <f t="shared" si="383"/>
        <v>1436480.3408002462</v>
      </c>
      <c r="X1020" s="4">
        <f t="shared" si="387"/>
        <v>22760.88079396775</v>
      </c>
      <c r="Y1020" s="9">
        <f>SUM($X$6:X1020)</f>
        <v>436480.34080024622</v>
      </c>
      <c r="Z1020" s="16">
        <f t="shared" si="388"/>
        <v>0.43648034080024622</v>
      </c>
      <c r="AA1020" s="16">
        <f t="shared" si="384"/>
        <v>0.50489405352919992</v>
      </c>
      <c r="AB1020" s="16">
        <f t="shared" si="385"/>
        <v>1.6099998223032642E-2</v>
      </c>
      <c r="AC1020" s="16">
        <f t="shared" si="386"/>
        <v>1.6695939225934753E-2</v>
      </c>
    </row>
    <row r="1021" spans="1:29" x14ac:dyDescent="0.15">
      <c r="A1021" s="8">
        <v>42384</v>
      </c>
      <c r="B1021" s="4">
        <v>1880.33</v>
      </c>
      <c r="C1021" s="1">
        <v>21.4086</v>
      </c>
      <c r="D1021" s="1">
        <v>2.46</v>
      </c>
      <c r="E1021" s="1">
        <v>0.62649999999999995</v>
      </c>
      <c r="F1021" s="4">
        <f t="shared" si="376"/>
        <v>0.214086</v>
      </c>
      <c r="G1021" s="4">
        <f t="shared" si="377"/>
        <v>2.46E-2</v>
      </c>
      <c r="H1021" s="4">
        <f t="shared" si="378"/>
        <v>6.2649999999999997E-3</v>
      </c>
      <c r="I1021" s="3">
        <f t="shared" si="379"/>
        <v>84.195855174719597</v>
      </c>
      <c r="J1021" s="4">
        <f t="shared" si="389"/>
        <v>1570110.5092059977</v>
      </c>
      <c r="K1021" s="1">
        <f t="shared" si="390"/>
        <v>2104.0500000000002</v>
      </c>
      <c r="L1021" s="5">
        <f t="shared" si="391"/>
        <v>4.6575342465753712E-2</v>
      </c>
      <c r="M1021" s="5">
        <f t="shared" si="392"/>
        <v>-0.99128305230390901</v>
      </c>
      <c r="N1021" s="5">
        <f t="shared" si="393"/>
        <v>225.47285612409524</v>
      </c>
      <c r="O1021" s="1">
        <f t="shared" si="394"/>
        <v>0</v>
      </c>
      <c r="P1021" s="1">
        <f t="shared" si="395"/>
        <v>2104.0500000000002</v>
      </c>
      <c r="Q1021" s="5">
        <f t="shared" si="396"/>
        <v>4.6575342465753712E-2</v>
      </c>
      <c r="R1021" s="5">
        <f t="shared" si="397"/>
        <v>-0.99128305230390901</v>
      </c>
      <c r="S1021" s="5">
        <f t="shared" si="380"/>
        <v>225.47285612409524</v>
      </c>
      <c r="T1021" s="5">
        <f t="shared" si="381"/>
        <v>-724.42408383198278</v>
      </c>
      <c r="U1021" s="4">
        <f t="shared" si="382"/>
        <v>1570135.8460577764</v>
      </c>
      <c r="V1021" s="4">
        <f t="shared" si="398"/>
        <v>25.337260639124118</v>
      </c>
      <c r="W1021" s="4">
        <f t="shared" si="383"/>
        <v>1406797.8788310983</v>
      </c>
      <c r="X1021" s="4">
        <f t="shared" si="387"/>
        <v>-29682.461969147902</v>
      </c>
      <c r="Y1021" s="9">
        <f>SUM($X$6:X1021)</f>
        <v>406797.87883109832</v>
      </c>
      <c r="Z1021" s="16">
        <f t="shared" si="388"/>
        <v>0.4067978788310983</v>
      </c>
      <c r="AA1021" s="16">
        <f t="shared" si="384"/>
        <v>0.47238970760966598</v>
      </c>
      <c r="AB1021" s="16">
        <f t="shared" si="385"/>
        <v>-2.0663326274700113E-2</v>
      </c>
      <c r="AC1021" s="16">
        <f t="shared" si="386"/>
        <v>-2.1599092536319357E-2</v>
      </c>
    </row>
    <row r="1022" spans="1:29" x14ac:dyDescent="0.15">
      <c r="A1022" s="8">
        <v>42388</v>
      </c>
      <c r="B1022" s="4">
        <v>1881.33</v>
      </c>
      <c r="C1022" s="1">
        <v>21.311399999999999</v>
      </c>
      <c r="D1022" s="1">
        <v>2.46</v>
      </c>
      <c r="E1022" s="1">
        <v>0.63119999999999998</v>
      </c>
      <c r="F1022" s="4">
        <f t="shared" si="376"/>
        <v>0.213114</v>
      </c>
      <c r="G1022" s="4">
        <f t="shared" si="377"/>
        <v>2.46E-2</v>
      </c>
      <c r="H1022" s="4">
        <f t="shared" si="378"/>
        <v>6.3119999999999999E-3</v>
      </c>
      <c r="I1022" s="3">
        <f t="shared" si="379"/>
        <v>83.866768102628257</v>
      </c>
      <c r="J1022" s="4">
        <f t="shared" si="389"/>
        <v>1570135.8460577764</v>
      </c>
      <c r="K1022" s="1">
        <f t="shared" si="390"/>
        <v>2104.0500000000002</v>
      </c>
      <c r="L1022" s="5">
        <f t="shared" si="391"/>
        <v>3.5616438356164667E-2</v>
      </c>
      <c r="M1022" s="5">
        <f t="shared" si="392"/>
        <v>-0.99639140634526502</v>
      </c>
      <c r="N1022" s="5">
        <f t="shared" si="393"/>
        <v>223.95592911843323</v>
      </c>
      <c r="O1022" s="1">
        <f t="shared" si="394"/>
        <v>0</v>
      </c>
      <c r="P1022" s="1">
        <f t="shared" si="395"/>
        <v>2104.0500000000002</v>
      </c>
      <c r="Q1022" s="5">
        <f t="shared" si="396"/>
        <v>3.5616438356164667E-2</v>
      </c>
      <c r="R1022" s="5">
        <f t="shared" si="397"/>
        <v>-0.99639140634526502</v>
      </c>
      <c r="S1022" s="5">
        <f t="shared" si="380"/>
        <v>223.95592911843323</v>
      </c>
      <c r="T1022" s="5">
        <f t="shared" si="381"/>
        <v>-724.42408383198278</v>
      </c>
      <c r="U1022" s="4">
        <f t="shared" si="382"/>
        <v>1570161.1833184154</v>
      </c>
      <c r="V1022" s="4">
        <f t="shared" si="398"/>
        <v>101.35067802460786</v>
      </c>
      <c r="W1022" s="4">
        <f t="shared" si="383"/>
        <v>1407922.1145480541</v>
      </c>
      <c r="X1022" s="4">
        <f t="shared" si="387"/>
        <v>1124.2357169557363</v>
      </c>
      <c r="Y1022" s="9">
        <f>SUM($X$6:X1022)</f>
        <v>407922.11454805406</v>
      </c>
      <c r="Z1022" s="16">
        <f t="shared" si="388"/>
        <v>0.40792211454805405</v>
      </c>
      <c r="AA1022" s="16">
        <f t="shared" si="384"/>
        <v>0.47317275617433796</v>
      </c>
      <c r="AB1022" s="16">
        <f t="shared" si="385"/>
        <v>7.9914516070343983E-4</v>
      </c>
      <c r="AC1022" s="16">
        <f t="shared" si="386"/>
        <v>5.3182154196337883E-4</v>
      </c>
    </row>
    <row r="1023" spans="1:29" x14ac:dyDescent="0.15">
      <c r="A1023" s="8">
        <v>42389</v>
      </c>
      <c r="B1023" s="4">
        <v>1859.33</v>
      </c>
      <c r="C1023" s="1">
        <v>22.030100000000001</v>
      </c>
      <c r="D1023" s="1">
        <v>2.4900000000000002</v>
      </c>
      <c r="E1023" s="1">
        <v>0.62819999999999998</v>
      </c>
      <c r="F1023" s="4">
        <f t="shared" si="376"/>
        <v>0.220301</v>
      </c>
      <c r="G1023" s="4">
        <f t="shared" si="377"/>
        <v>2.4900000000000002E-2</v>
      </c>
      <c r="H1023" s="4">
        <f t="shared" si="378"/>
        <v>6.2819999999999994E-3</v>
      </c>
      <c r="I1023" s="3">
        <f t="shared" si="379"/>
        <v>85.607313630972826</v>
      </c>
      <c r="J1023" s="4">
        <f t="shared" si="389"/>
        <v>1570161.1833184154</v>
      </c>
      <c r="K1023" s="1">
        <f t="shared" si="390"/>
        <v>2104.0500000000002</v>
      </c>
      <c r="L1023" s="5">
        <f t="shared" si="391"/>
        <v>3.2876712328767405E-2</v>
      </c>
      <c r="M1023" s="5">
        <f t="shared" si="392"/>
        <v>-0.99818448609546617</v>
      </c>
      <c r="N1023" s="5">
        <f t="shared" si="393"/>
        <v>245.8272637413215</v>
      </c>
      <c r="O1023" s="1">
        <f t="shared" si="394"/>
        <v>0</v>
      </c>
      <c r="P1023" s="1">
        <f t="shared" si="395"/>
        <v>2104.0500000000002</v>
      </c>
      <c r="Q1023" s="5">
        <f t="shared" si="396"/>
        <v>3.2876712328767405E-2</v>
      </c>
      <c r="R1023" s="5">
        <f t="shared" si="397"/>
        <v>-0.99818448609546617</v>
      </c>
      <c r="S1023" s="5">
        <f t="shared" si="380"/>
        <v>245.8272637413215</v>
      </c>
      <c r="T1023" s="5">
        <f t="shared" si="381"/>
        <v>-724.42408383198278</v>
      </c>
      <c r="U1023" s="4">
        <f t="shared" si="382"/>
        <v>1570262.53399644</v>
      </c>
      <c r="V1023" s="4">
        <f t="shared" si="398"/>
        <v>25.339305000654878</v>
      </c>
      <c r="W1023" s="4">
        <f t="shared" si="383"/>
        <v>1392179.3436797101</v>
      </c>
      <c r="X1023" s="4">
        <f t="shared" si="387"/>
        <v>-15742.770868344</v>
      </c>
      <c r="Y1023" s="9">
        <f>SUM($X$6:X1023)</f>
        <v>392179.34367971006</v>
      </c>
      <c r="Z1023" s="16">
        <f t="shared" si="388"/>
        <v>0.39217934367971008</v>
      </c>
      <c r="AA1023" s="16">
        <f t="shared" si="384"/>
        <v>0.45594568775155436</v>
      </c>
      <c r="AB1023" s="16">
        <f t="shared" si="385"/>
        <v>-1.1181563742535192E-2</v>
      </c>
      <c r="AC1023" s="16">
        <f t="shared" si="386"/>
        <v>-1.1693854879260949E-2</v>
      </c>
    </row>
    <row r="1024" spans="1:29" x14ac:dyDescent="0.15">
      <c r="A1024" s="8">
        <v>42390</v>
      </c>
      <c r="B1024" s="4">
        <v>1868.99</v>
      </c>
      <c r="C1024" s="1">
        <v>21.861000000000001</v>
      </c>
      <c r="D1024" s="1">
        <v>2.48</v>
      </c>
      <c r="E1024" s="1">
        <v>0.62549999999999994</v>
      </c>
      <c r="F1024" s="4">
        <f t="shared" si="376"/>
        <v>0.21861</v>
      </c>
      <c r="G1024" s="4">
        <f t="shared" si="377"/>
        <v>2.4799999999999999E-2</v>
      </c>
      <c r="H1024" s="4">
        <f t="shared" si="378"/>
        <v>6.2549999999999993E-3</v>
      </c>
      <c r="I1024" s="3">
        <f t="shared" si="379"/>
        <v>85.410303160396751</v>
      </c>
      <c r="J1024" s="4">
        <f t="shared" si="389"/>
        <v>1570262.53399644</v>
      </c>
      <c r="K1024" s="1">
        <f t="shared" si="390"/>
        <v>2104.0500000000002</v>
      </c>
      <c r="L1024" s="5">
        <f t="shared" si="391"/>
        <v>3.0136986301370145E-2</v>
      </c>
      <c r="M1024" s="5">
        <f t="shared" si="392"/>
        <v>-0.99834105735519685</v>
      </c>
      <c r="N1024" s="5">
        <f t="shared" si="393"/>
        <v>236.07738001164935</v>
      </c>
      <c r="O1024" s="1">
        <f t="shared" si="394"/>
        <v>0</v>
      </c>
      <c r="P1024" s="1">
        <f t="shared" si="395"/>
        <v>2104.0500000000002</v>
      </c>
      <c r="Q1024" s="5">
        <f t="shared" si="396"/>
        <v>3.0136986301370145E-2</v>
      </c>
      <c r="R1024" s="5">
        <f t="shared" si="397"/>
        <v>-0.99834105735519685</v>
      </c>
      <c r="S1024" s="5">
        <f t="shared" si="380"/>
        <v>236.07738001164935</v>
      </c>
      <c r="T1024" s="5">
        <f t="shared" si="381"/>
        <v>-724.42408383198278</v>
      </c>
      <c r="U1024" s="4">
        <f t="shared" si="382"/>
        <v>1570287.8733014406</v>
      </c>
      <c r="V1024" s="4">
        <f t="shared" si="398"/>
        <v>25.33971390067256</v>
      </c>
      <c r="W1024" s="4">
        <f t="shared" si="383"/>
        <v>1399267.7335730467</v>
      </c>
      <c r="X1024" s="4">
        <f t="shared" si="387"/>
        <v>7088.3898933366872</v>
      </c>
      <c r="Y1024" s="9">
        <f>SUM($X$6:X1024)</f>
        <v>399267.73357304675</v>
      </c>
      <c r="Z1024" s="16">
        <f t="shared" si="388"/>
        <v>0.39926773357304673</v>
      </c>
      <c r="AA1024" s="16">
        <f t="shared" si="384"/>
        <v>0.46350993688628578</v>
      </c>
      <c r="AB1024" s="16">
        <f t="shared" si="385"/>
        <v>5.0915781257040889E-3</v>
      </c>
      <c r="AC1024" s="16">
        <f t="shared" si="386"/>
        <v>5.1954198555394055E-3</v>
      </c>
    </row>
    <row r="1025" spans="1:29" x14ac:dyDescent="0.15">
      <c r="A1025" s="8">
        <v>42391</v>
      </c>
      <c r="B1025" s="4">
        <v>1906.9</v>
      </c>
      <c r="C1025" s="1">
        <v>19.6235</v>
      </c>
      <c r="D1025" s="1">
        <v>2.4300000000000002</v>
      </c>
      <c r="E1025" s="1">
        <v>0.626</v>
      </c>
      <c r="F1025" s="4">
        <f t="shared" si="376"/>
        <v>0.19623499999999999</v>
      </c>
      <c r="G1025" s="4">
        <f t="shared" si="377"/>
        <v>2.4300000000000002E-2</v>
      </c>
      <c r="H1025" s="4">
        <f t="shared" si="378"/>
        <v>6.2599999999999999E-3</v>
      </c>
      <c r="I1025" s="3">
        <f t="shared" si="379"/>
        <v>78.577055906476957</v>
      </c>
      <c r="J1025" s="4">
        <f t="shared" si="389"/>
        <v>1570287.8733014406</v>
      </c>
      <c r="K1025" s="1">
        <f t="shared" si="390"/>
        <v>2104.0500000000002</v>
      </c>
      <c r="L1025" s="5">
        <f t="shared" si="391"/>
        <v>2.7397260273972886E-2</v>
      </c>
      <c r="M1025" s="5">
        <f t="shared" si="392"/>
        <v>-0.9981043085523621</v>
      </c>
      <c r="N1025" s="5">
        <f t="shared" si="393"/>
        <v>198.07951298237819</v>
      </c>
      <c r="O1025" s="1">
        <f t="shared" si="394"/>
        <v>0</v>
      </c>
      <c r="P1025" s="1">
        <f t="shared" si="395"/>
        <v>2104.0500000000002</v>
      </c>
      <c r="Q1025" s="5">
        <f t="shared" si="396"/>
        <v>2.7397260273972886E-2</v>
      </c>
      <c r="R1025" s="5">
        <f t="shared" si="397"/>
        <v>-0.9981043085523621</v>
      </c>
      <c r="S1025" s="5">
        <f t="shared" si="380"/>
        <v>198.07951298237819</v>
      </c>
      <c r="T1025" s="5">
        <f t="shared" si="381"/>
        <v>-724.42408383198278</v>
      </c>
      <c r="U1025" s="4">
        <f t="shared" si="382"/>
        <v>1570313.2130153412</v>
      </c>
      <c r="V1025" s="4">
        <f t="shared" si="398"/>
        <v>25.340122807288655</v>
      </c>
      <c r="W1025" s="4">
        <f t="shared" si="383"/>
        <v>1426819.6432971966</v>
      </c>
      <c r="X1025" s="4">
        <f t="shared" si="387"/>
        <v>27551.909724149853</v>
      </c>
      <c r="Y1025" s="9">
        <f>SUM($X$6:X1025)</f>
        <v>426819.6432971966</v>
      </c>
      <c r="Z1025" s="16">
        <f t="shared" si="388"/>
        <v>0.42681964329719657</v>
      </c>
      <c r="AA1025" s="16">
        <f t="shared" si="384"/>
        <v>0.4931953079730006</v>
      </c>
      <c r="AB1025" s="16">
        <f t="shared" si="385"/>
        <v>1.9690234444122944E-2</v>
      </c>
      <c r="AC1025" s="16">
        <f t="shared" si="386"/>
        <v>2.0283682630725729E-2</v>
      </c>
    </row>
    <row r="1026" spans="1:29" x14ac:dyDescent="0.15">
      <c r="A1026" s="8">
        <v>42394</v>
      </c>
      <c r="B1026" s="4">
        <v>1877.08</v>
      </c>
      <c r="C1026" s="1">
        <v>20.909099999999999</v>
      </c>
      <c r="D1026" s="1">
        <v>2.4699999999999998</v>
      </c>
      <c r="E1026" s="1">
        <v>0.62819999999999998</v>
      </c>
      <c r="F1026" s="4">
        <f t="shared" si="376"/>
        <v>0.209091</v>
      </c>
      <c r="G1026" s="4">
        <f t="shared" si="377"/>
        <v>2.4699999999999996E-2</v>
      </c>
      <c r="H1026" s="4">
        <f t="shared" si="378"/>
        <v>6.2819999999999994E-3</v>
      </c>
      <c r="I1026" s="3">
        <f t="shared" si="379"/>
        <v>82.212979483951472</v>
      </c>
      <c r="J1026" s="4">
        <f t="shared" si="389"/>
        <v>1570313.2130153412</v>
      </c>
      <c r="K1026" s="1">
        <f t="shared" si="390"/>
        <v>2104.0500000000002</v>
      </c>
      <c r="L1026" s="5">
        <f t="shared" si="391"/>
        <v>1.9178082191781104E-2</v>
      </c>
      <c r="M1026" s="5">
        <f t="shared" si="392"/>
        <v>-0.99948565806635536</v>
      </c>
      <c r="N1026" s="5">
        <f t="shared" si="393"/>
        <v>227.60598876910743</v>
      </c>
      <c r="O1026" s="1">
        <f t="shared" si="394"/>
        <v>0</v>
      </c>
      <c r="P1026" s="1">
        <f t="shared" si="395"/>
        <v>2104.0500000000002</v>
      </c>
      <c r="Q1026" s="5">
        <f t="shared" si="396"/>
        <v>1.9178082191781104E-2</v>
      </c>
      <c r="R1026" s="5">
        <f t="shared" si="397"/>
        <v>-0.99948565806635536</v>
      </c>
      <c r="S1026" s="5">
        <f t="shared" si="380"/>
        <v>227.60598876910743</v>
      </c>
      <c r="T1026" s="5">
        <f t="shared" si="381"/>
        <v>-724.42408383198278</v>
      </c>
      <c r="U1026" s="4">
        <f t="shared" si="382"/>
        <v>1570338.5531381485</v>
      </c>
      <c r="V1026" s="4">
        <f t="shared" si="398"/>
        <v>76.021595161509808</v>
      </c>
      <c r="W1026" s="4">
        <f t="shared" si="383"/>
        <v>1405455.2932494152</v>
      </c>
      <c r="X1026" s="4">
        <f t="shared" si="387"/>
        <v>-21364.350047781365</v>
      </c>
      <c r="Y1026" s="9">
        <f>SUM($X$6:X1026)</f>
        <v>405455.29324941523</v>
      </c>
      <c r="Z1026" s="16">
        <f t="shared" si="388"/>
        <v>0.40545529324941526</v>
      </c>
      <c r="AA1026" s="16">
        <f t="shared" si="384"/>
        <v>0.46984479977448201</v>
      </c>
      <c r="AB1026" s="16">
        <f t="shared" si="385"/>
        <v>-1.4973406168148275E-2</v>
      </c>
      <c r="AC1026" s="16">
        <f t="shared" si="386"/>
        <v>-1.5637946405160294E-2</v>
      </c>
    </row>
    <row r="1027" spans="1:29" x14ac:dyDescent="0.15">
      <c r="A1027" s="8">
        <v>42395</v>
      </c>
      <c r="B1027" s="4">
        <v>1903.63</v>
      </c>
      <c r="C1027" s="1">
        <v>19.989599999999999</v>
      </c>
      <c r="D1027" s="1">
        <v>2.4300000000000002</v>
      </c>
      <c r="E1027" s="1">
        <v>0.628</v>
      </c>
      <c r="F1027" s="4">
        <f t="shared" si="376"/>
        <v>0.19989599999999999</v>
      </c>
      <c r="G1027" s="4">
        <f t="shared" si="377"/>
        <v>2.4300000000000002E-2</v>
      </c>
      <c r="H1027" s="4">
        <f t="shared" si="378"/>
        <v>6.28E-3</v>
      </c>
      <c r="I1027" s="3">
        <f t="shared" si="379"/>
        <v>79.81706337422564</v>
      </c>
      <c r="J1027" s="4">
        <f t="shared" si="389"/>
        <v>1570338.5531381485</v>
      </c>
      <c r="K1027" s="1">
        <f t="shared" si="390"/>
        <v>2104.0500000000002</v>
      </c>
      <c r="L1027" s="5">
        <f t="shared" si="391"/>
        <v>1.6438356164383845E-2</v>
      </c>
      <c r="M1027" s="5">
        <f t="shared" si="392"/>
        <v>-0.99955343984231881</v>
      </c>
      <c r="N1027" s="5">
        <f t="shared" si="393"/>
        <v>200.96358801050047</v>
      </c>
      <c r="O1027" s="1">
        <f t="shared" si="394"/>
        <v>0</v>
      </c>
      <c r="P1027" s="1">
        <f t="shared" si="395"/>
        <v>2104.0500000000002</v>
      </c>
      <c r="Q1027" s="5">
        <f t="shared" si="396"/>
        <v>1.6438356164383845E-2</v>
      </c>
      <c r="R1027" s="5">
        <f t="shared" si="397"/>
        <v>-0.99955343984231881</v>
      </c>
      <c r="S1027" s="5">
        <f t="shared" si="380"/>
        <v>200.96358801050047</v>
      </c>
      <c r="T1027" s="5">
        <f t="shared" si="381"/>
        <v>-724.42408383198278</v>
      </c>
      <c r="U1027" s="4">
        <f t="shared" si="382"/>
        <v>1570414.5747333099</v>
      </c>
      <c r="V1027" s="4">
        <f t="shared" si="398"/>
        <v>25.341758479943</v>
      </c>
      <c r="W1027" s="4">
        <f t="shared" si="383"/>
        <v>1424831.711605215</v>
      </c>
      <c r="X1027" s="4">
        <f t="shared" si="387"/>
        <v>19376.418355799746</v>
      </c>
      <c r="Y1027" s="9">
        <f>SUM($X$6:X1027)</f>
        <v>424831.71160521498</v>
      </c>
      <c r="Z1027" s="16">
        <f t="shared" si="388"/>
        <v>0.42483171160521499</v>
      </c>
      <c r="AA1027" s="16">
        <f t="shared" si="384"/>
        <v>0.49063473916652328</v>
      </c>
      <c r="AB1027" s="16">
        <f t="shared" si="385"/>
        <v>1.3786577523217712E-2</v>
      </c>
      <c r="AC1027" s="16">
        <f t="shared" si="386"/>
        <v>1.4144309246276229E-2</v>
      </c>
    </row>
    <row r="1028" spans="1:29" x14ac:dyDescent="0.15">
      <c r="A1028" s="8">
        <v>42396</v>
      </c>
      <c r="B1028" s="4">
        <v>1882.95</v>
      </c>
      <c r="C1028" s="1">
        <v>20.675599999999999</v>
      </c>
      <c r="D1028" s="1">
        <v>2.4500000000000002</v>
      </c>
      <c r="E1028" s="1">
        <v>0.625</v>
      </c>
      <c r="F1028" s="4">
        <f t="shared" si="376"/>
        <v>0.206756</v>
      </c>
      <c r="G1028" s="4">
        <f t="shared" si="377"/>
        <v>2.4500000000000001E-2</v>
      </c>
      <c r="H1028" s="4">
        <f t="shared" si="378"/>
        <v>6.2500000000000003E-3</v>
      </c>
      <c r="I1028" s="3">
        <f t="shared" si="379"/>
        <v>81.56135588476694</v>
      </c>
      <c r="J1028" s="4">
        <f t="shared" si="389"/>
        <v>1570414.5747333099</v>
      </c>
      <c r="K1028" s="1">
        <f t="shared" si="390"/>
        <v>2104.0500000000002</v>
      </c>
      <c r="L1028" s="5">
        <f t="shared" si="391"/>
        <v>1.3698630136986585E-2</v>
      </c>
      <c r="M1028" s="5">
        <f t="shared" si="392"/>
        <v>-0.99966218383481087</v>
      </c>
      <c r="N1028" s="5">
        <f t="shared" si="393"/>
        <v>221.55172995052786</v>
      </c>
      <c r="O1028" s="1">
        <f t="shared" si="394"/>
        <v>0</v>
      </c>
      <c r="P1028" s="1">
        <f t="shared" si="395"/>
        <v>2104.0500000000002</v>
      </c>
      <c r="Q1028" s="5">
        <f t="shared" si="396"/>
        <v>1.3698630136986585E-2</v>
      </c>
      <c r="R1028" s="5">
        <f t="shared" si="397"/>
        <v>-0.99966218383481087</v>
      </c>
      <c r="S1028" s="5">
        <f t="shared" si="380"/>
        <v>221.55172995052786</v>
      </c>
      <c r="T1028" s="5">
        <f t="shared" si="381"/>
        <v>-724.42408383198278</v>
      </c>
      <c r="U1028" s="4">
        <f t="shared" si="382"/>
        <v>1570439.9164917897</v>
      </c>
      <c r="V1028" s="4">
        <f t="shared" si="398"/>
        <v>25.342167419552439</v>
      </c>
      <c r="W1028" s="4">
        <f t="shared" si="383"/>
        <v>1409942.5075009877</v>
      </c>
      <c r="X1028" s="4">
        <f t="shared" si="387"/>
        <v>-14889.204104227247</v>
      </c>
      <c r="Y1028" s="9">
        <f>SUM($X$6:X1028)</f>
        <v>409942.50750098773</v>
      </c>
      <c r="Z1028" s="16">
        <f t="shared" si="388"/>
        <v>0.40994250750098771</v>
      </c>
      <c r="AA1028" s="16">
        <f t="shared" si="384"/>
        <v>0.47444129484910663</v>
      </c>
      <c r="AB1028" s="16">
        <f t="shared" si="385"/>
        <v>-1.0449798374751972E-2</v>
      </c>
      <c r="AC1028" s="16">
        <f t="shared" si="386"/>
        <v>-1.0863455608495382E-2</v>
      </c>
    </row>
    <row r="1029" spans="1:29" x14ac:dyDescent="0.15">
      <c r="A1029" s="8">
        <v>42397</v>
      </c>
      <c r="B1029" s="4">
        <v>1893.36</v>
      </c>
      <c r="C1029" s="1">
        <v>20.069800000000001</v>
      </c>
      <c r="D1029" s="1">
        <v>2.44</v>
      </c>
      <c r="E1029" s="1">
        <v>0.61560000000000004</v>
      </c>
      <c r="F1029" s="4">
        <f t="shared" si="376"/>
        <v>0.20069800000000002</v>
      </c>
      <c r="G1029" s="4">
        <f t="shared" si="377"/>
        <v>2.4399999999999998E-2</v>
      </c>
      <c r="H1029" s="4">
        <f t="shared" si="378"/>
        <v>6.156E-3</v>
      </c>
      <c r="I1029" s="3">
        <f t="shared" si="379"/>
        <v>79.74190344162632</v>
      </c>
      <c r="J1029" s="4">
        <f t="shared" si="389"/>
        <v>1570439.9164917897</v>
      </c>
      <c r="K1029" s="1">
        <f t="shared" si="390"/>
        <v>2104.0500000000002</v>
      </c>
      <c r="L1029" s="5">
        <f t="shared" si="391"/>
        <v>1.0958904109589326E-2</v>
      </c>
      <c r="M1029" s="5">
        <f t="shared" si="392"/>
        <v>-0.9997323814706256</v>
      </c>
      <c r="N1029" s="5">
        <f t="shared" si="393"/>
        <v>211.05427272052557</v>
      </c>
      <c r="O1029" s="1">
        <f t="shared" si="394"/>
        <v>0</v>
      </c>
      <c r="P1029" s="1">
        <f t="shared" si="395"/>
        <v>2104.0500000000002</v>
      </c>
      <c r="Q1029" s="5">
        <f t="shared" si="396"/>
        <v>1.0958904109589326E-2</v>
      </c>
      <c r="R1029" s="5">
        <f t="shared" si="397"/>
        <v>-0.9997323814706256</v>
      </c>
      <c r="S1029" s="5">
        <f t="shared" si="380"/>
        <v>211.05427272052557</v>
      </c>
      <c r="T1029" s="5">
        <f t="shared" si="381"/>
        <v>-724.42408383198278</v>
      </c>
      <c r="U1029" s="4">
        <f t="shared" si="382"/>
        <v>1570465.2586592094</v>
      </c>
      <c r="V1029" s="4">
        <f t="shared" si="398"/>
        <v>25.342576365760941</v>
      </c>
      <c r="W1029" s="4">
        <f t="shared" si="383"/>
        <v>1417572.4605048173</v>
      </c>
      <c r="X1029" s="4">
        <f t="shared" si="387"/>
        <v>7629.9530038295779</v>
      </c>
      <c r="Y1029" s="9">
        <f>SUM($X$6:X1029)</f>
        <v>417572.46050481731</v>
      </c>
      <c r="Z1029" s="16">
        <f t="shared" si="388"/>
        <v>0.41757246050481733</v>
      </c>
      <c r="AA1029" s="16">
        <f t="shared" si="384"/>
        <v>0.48259283040734186</v>
      </c>
      <c r="AB1029" s="16">
        <f t="shared" si="385"/>
        <v>5.4115348414830542E-3</v>
      </c>
      <c r="AC1029" s="16">
        <f t="shared" si="386"/>
        <v>5.5285589102205867E-3</v>
      </c>
    </row>
    <row r="1030" spans="1:29" x14ac:dyDescent="0.15">
      <c r="A1030" s="8">
        <v>42398</v>
      </c>
      <c r="B1030" s="4">
        <v>1940.24</v>
      </c>
      <c r="C1030" s="1">
        <v>18.555099999999999</v>
      </c>
      <c r="D1030" s="1">
        <v>2.38</v>
      </c>
      <c r="E1030" s="1">
        <v>0.61260000000000003</v>
      </c>
      <c r="F1030" s="4">
        <f t="shared" si="376"/>
        <v>0.18555099999999999</v>
      </c>
      <c r="G1030" s="4">
        <f t="shared" si="377"/>
        <v>2.3799999999999998E-2</v>
      </c>
      <c r="H1030" s="4">
        <f t="shared" si="378"/>
        <v>6.1260000000000004E-3</v>
      </c>
      <c r="I1030" s="3">
        <f t="shared" si="379"/>
        <v>75.760977393592015</v>
      </c>
      <c r="J1030" s="4">
        <f t="shared" si="389"/>
        <v>1570465.2586592094</v>
      </c>
      <c r="K1030" s="1">
        <f t="shared" si="390"/>
        <v>2104.0500000000002</v>
      </c>
      <c r="L1030" s="5">
        <f t="shared" si="391"/>
        <v>8.2191780821920662E-3</v>
      </c>
      <c r="M1030" s="5">
        <f t="shared" si="392"/>
        <v>-0.99980367949273263</v>
      </c>
      <c r="N1030" s="5">
        <f t="shared" si="393"/>
        <v>164.08357255929681</v>
      </c>
      <c r="O1030" s="1">
        <f t="shared" si="394"/>
        <v>0</v>
      </c>
      <c r="P1030" s="1">
        <f t="shared" si="395"/>
        <v>2104.0500000000002</v>
      </c>
      <c r="Q1030" s="5">
        <f t="shared" si="396"/>
        <v>8.2191780821920662E-3</v>
      </c>
      <c r="R1030" s="5">
        <f t="shared" si="397"/>
        <v>-0.99980367949273263</v>
      </c>
      <c r="S1030" s="5">
        <f t="shared" si="380"/>
        <v>164.08357255929681</v>
      </c>
      <c r="T1030" s="5">
        <f t="shared" si="381"/>
        <v>-724.42408383198278</v>
      </c>
      <c r="U1030" s="4">
        <f t="shared" si="382"/>
        <v>1570490.601235575</v>
      </c>
      <c r="V1030" s="4">
        <f t="shared" si="398"/>
        <v>25.342985318568594</v>
      </c>
      <c r="W1030" s="4">
        <f t="shared" si="383"/>
        <v>1451624.5095124277</v>
      </c>
      <c r="X1030" s="4">
        <f t="shared" si="387"/>
        <v>34052.049007610418</v>
      </c>
      <c r="Y1030" s="9">
        <f>SUM($X$6:X1030)</f>
        <v>451624.50951242773</v>
      </c>
      <c r="Z1030" s="16">
        <f t="shared" si="388"/>
        <v>0.45162450951242772</v>
      </c>
      <c r="AA1030" s="16">
        <f t="shared" si="384"/>
        <v>0.51930214711916445</v>
      </c>
      <c r="AB1030" s="16">
        <f t="shared" si="385"/>
        <v>2.4021381591657055E-2</v>
      </c>
      <c r="AC1030" s="16">
        <f t="shared" si="386"/>
        <v>2.4760214644864217E-2</v>
      </c>
    </row>
    <row r="1031" spans="1:29" x14ac:dyDescent="0.15">
      <c r="A1031" s="8">
        <v>42401</v>
      </c>
      <c r="B1031" s="4">
        <v>1939.38</v>
      </c>
      <c r="C1031" s="1">
        <v>18.660399999999999</v>
      </c>
      <c r="D1031" s="1">
        <v>2.39</v>
      </c>
      <c r="E1031" s="1">
        <v>0.61860000000000004</v>
      </c>
      <c r="F1031" s="4">
        <f t="shared" ref="F1031:F1094" si="399">C1031/100</f>
        <v>0.18660399999999999</v>
      </c>
      <c r="G1031" s="4">
        <f t="shared" ref="G1031:G1094" si="400">D1031/100</f>
        <v>2.3900000000000001E-2</v>
      </c>
      <c r="H1031" s="4">
        <f t="shared" ref="H1031:H1094" si="401">E1031/100</f>
        <v>6.1860000000000005E-3</v>
      </c>
      <c r="I1031" s="3">
        <f t="shared" ref="I1031:I1094" si="402">BSM_Put(B1031,B1031,F1031,H1031,G1031,$B$3,$F$3)</f>
        <v>76.140264853393248</v>
      </c>
      <c r="J1031" s="4">
        <f t="shared" si="389"/>
        <v>1570490.601235575</v>
      </c>
      <c r="K1031" s="1">
        <f t="shared" si="390"/>
        <v>2104.0500000000002</v>
      </c>
      <c r="L1031" s="5">
        <f t="shared" si="391"/>
        <v>2.8622937353617317E-16</v>
      </c>
      <c r="M1031" s="5">
        <f t="shared" si="392"/>
        <v>-1</v>
      </c>
      <c r="N1031" s="5">
        <f t="shared" si="393"/>
        <v>164.67000000000007</v>
      </c>
      <c r="O1031" s="1">
        <f t="shared" si="394"/>
        <v>1</v>
      </c>
      <c r="P1031" s="1">
        <f t="shared" si="395"/>
        <v>1939.38</v>
      </c>
      <c r="Q1031" s="5">
        <f t="shared" si="396"/>
        <v>0.24931506849315069</v>
      </c>
      <c r="R1031" s="5">
        <f t="shared" si="397"/>
        <v>-0.49735157372438216</v>
      </c>
      <c r="S1031" s="5">
        <f t="shared" ref="S1031:S1094" si="403">BSM_Put(B1031,P1031,F1031,H1031,G1031,Q1031,$F$3)</f>
        <v>76.140264853393248</v>
      </c>
      <c r="T1031" s="5">
        <f t="shared" si="381"/>
        <v>-748.28021705439994</v>
      </c>
      <c r="U1031" s="4">
        <f t="shared" si="382"/>
        <v>1508199.2842473574</v>
      </c>
      <c r="V1031" s="4">
        <f t="shared" si="398"/>
        <v>73.013373568906303</v>
      </c>
      <c r="W1031" s="4">
        <f t="shared" si="383"/>
        <v>1451225.0303362808</v>
      </c>
      <c r="X1031" s="4">
        <f t="shared" si="387"/>
        <v>-399.47917614690959</v>
      </c>
      <c r="Y1031" s="9">
        <f>SUM($X$6:X1031)</f>
        <v>451225.03033628082</v>
      </c>
      <c r="Z1031" s="16">
        <f t="shared" si="388"/>
        <v>0.45122503033628081</v>
      </c>
      <c r="AA1031" s="16">
        <f t="shared" si="384"/>
        <v>0.51862872535354654</v>
      </c>
      <c r="AB1031" s="16">
        <f t="shared" si="385"/>
        <v>-2.7519456548793521E-4</v>
      </c>
      <c r="AC1031" s="16">
        <f t="shared" si="386"/>
        <v>-4.4324413474616542E-4</v>
      </c>
    </row>
    <row r="1032" spans="1:29" x14ac:dyDescent="0.15">
      <c r="A1032" s="8">
        <v>42402</v>
      </c>
      <c r="B1032" s="4">
        <v>1903.03</v>
      </c>
      <c r="C1032" s="1">
        <v>20.1067</v>
      </c>
      <c r="D1032" s="1">
        <v>2.4300000000000002</v>
      </c>
      <c r="E1032" s="1">
        <v>0.61919999999999997</v>
      </c>
      <c r="F1032" s="4">
        <f t="shared" si="399"/>
        <v>0.201067</v>
      </c>
      <c r="G1032" s="4">
        <f t="shared" si="400"/>
        <v>2.4300000000000002E-2</v>
      </c>
      <c r="H1032" s="4">
        <f t="shared" si="401"/>
        <v>6.1919999999999996E-3</v>
      </c>
      <c r="I1032" s="3">
        <f t="shared" si="402"/>
        <v>80.255542743632205</v>
      </c>
      <c r="J1032" s="4">
        <f t="shared" si="389"/>
        <v>1508199.2842473574</v>
      </c>
      <c r="K1032" s="1">
        <f t="shared" si="390"/>
        <v>1939.38</v>
      </c>
      <c r="L1032" s="5">
        <f t="shared" si="391"/>
        <v>0.24657534246575344</v>
      </c>
      <c r="M1032" s="5">
        <f t="shared" si="392"/>
        <v>-0.56969007215205836</v>
      </c>
      <c r="N1032" s="5">
        <f t="shared" si="393"/>
        <v>100.66627789878828</v>
      </c>
      <c r="O1032" s="1">
        <f t="shared" si="394"/>
        <v>0</v>
      </c>
      <c r="P1032" s="1">
        <f t="shared" si="395"/>
        <v>1939.38</v>
      </c>
      <c r="Q1032" s="5">
        <f t="shared" si="396"/>
        <v>0.24657534246575344</v>
      </c>
      <c r="R1032" s="5">
        <f t="shared" si="397"/>
        <v>-0.56969007215205836</v>
      </c>
      <c r="S1032" s="5">
        <f t="shared" si="403"/>
        <v>100.66627789878828</v>
      </c>
      <c r="T1032" s="5">
        <f t="shared" ref="T1032:T1095" si="404">IF(O1032,-(J1032+IF(L1032&lt;=0.00001, MAX(K1032-B1032,0),N1032)*T1031)/P1032,T1031)</f>
        <v>-748.28021705439994</v>
      </c>
      <c r="U1032" s="4">
        <f t="shared" ref="U1032:U1095" si="405">IF(O1032,(J1032+IF(L1032&lt;=0.00001, MAX(K1032-B1032,0),N1032)*T1031)-(S1032*T1032),U1031)+V1031</f>
        <v>1508272.2976209263</v>
      </c>
      <c r="V1032" s="4">
        <f t="shared" si="398"/>
        <v>24.338969405444534</v>
      </c>
      <c r="W1032" s="4">
        <f t="shared" ref="W1032:W1095" si="406">S1032*T1032+U1032</f>
        <v>1432945.7133447626</v>
      </c>
      <c r="X1032" s="4">
        <f t="shared" si="387"/>
        <v>-18279.316991518252</v>
      </c>
      <c r="Y1032" s="9">
        <f>SUM($X$6:X1032)</f>
        <v>432945.71334476257</v>
      </c>
      <c r="Z1032" s="16">
        <f t="shared" si="388"/>
        <v>0.43294571334476256</v>
      </c>
      <c r="AA1032" s="16">
        <f t="shared" ref="AA1032:AA1095" si="407">(B1032-$B$6)/$B$6</f>
        <v>0.49016491002771995</v>
      </c>
      <c r="AB1032" s="16">
        <f t="shared" ref="AB1032:AB1095" si="408">X1032/W1031</f>
        <v>-1.2595783982090311E-2</v>
      </c>
      <c r="AC1032" s="16">
        <f t="shared" ref="AC1032:AC1095" si="409">(B1032-B1031)/B1031</f>
        <v>-1.8743103466056232E-2</v>
      </c>
    </row>
    <row r="1033" spans="1:29" x14ac:dyDescent="0.15">
      <c r="A1033" s="8">
        <v>42403</v>
      </c>
      <c r="B1033" s="4">
        <v>1912.53</v>
      </c>
      <c r="C1033" s="1">
        <v>19.8476</v>
      </c>
      <c r="D1033" s="1">
        <v>2.42</v>
      </c>
      <c r="E1033" s="1">
        <v>0.62060000000000004</v>
      </c>
      <c r="F1033" s="4">
        <f t="shared" si="399"/>
        <v>0.19847599999999999</v>
      </c>
      <c r="G1033" s="4">
        <f t="shared" si="400"/>
        <v>2.4199999999999999E-2</v>
      </c>
      <c r="H1033" s="4">
        <f t="shared" si="401"/>
        <v>6.2060000000000006E-3</v>
      </c>
      <c r="I1033" s="3">
        <f t="shared" si="402"/>
        <v>79.647852890254484</v>
      </c>
      <c r="J1033" s="4">
        <f t="shared" si="389"/>
        <v>1508272.2976209263</v>
      </c>
      <c r="K1033" s="1">
        <f t="shared" si="390"/>
        <v>1939.38</v>
      </c>
      <c r="L1033" s="5">
        <f t="shared" si="391"/>
        <v>0.24383561643835619</v>
      </c>
      <c r="M1033" s="5">
        <f t="shared" si="392"/>
        <v>-0.5516204588754513</v>
      </c>
      <c r="N1033" s="5">
        <f t="shared" si="393"/>
        <v>93.887227455015193</v>
      </c>
      <c r="O1033" s="1">
        <f t="shared" si="394"/>
        <v>0</v>
      </c>
      <c r="P1033" s="1">
        <f t="shared" si="395"/>
        <v>1939.38</v>
      </c>
      <c r="Q1033" s="5">
        <f t="shared" si="396"/>
        <v>0.24383561643835619</v>
      </c>
      <c r="R1033" s="5">
        <f t="shared" si="397"/>
        <v>-0.5516204588754513</v>
      </c>
      <c r="S1033" s="5">
        <f t="shared" si="403"/>
        <v>93.887227455015193</v>
      </c>
      <c r="T1033" s="5">
        <f t="shared" si="404"/>
        <v>-748.28021705439994</v>
      </c>
      <c r="U1033" s="4">
        <f t="shared" si="405"/>
        <v>1508296.6365903318</v>
      </c>
      <c r="V1033" s="4">
        <f t="shared" si="398"/>
        <v>24.339362163060422</v>
      </c>
      <c r="W1033" s="4">
        <f t="shared" si="406"/>
        <v>1438042.6816516572</v>
      </c>
      <c r="X1033" s="4">
        <f t="shared" ref="X1033:X1096" si="410">W1033-W1032</f>
        <v>5096.968306894647</v>
      </c>
      <c r="Y1033" s="9">
        <f>SUM($X$6:X1033)</f>
        <v>438042.68165165721</v>
      </c>
      <c r="Z1033" s="16">
        <f t="shared" si="388"/>
        <v>0.43804268165165722</v>
      </c>
      <c r="AA1033" s="16">
        <f t="shared" si="407"/>
        <v>0.49760387139210377</v>
      </c>
      <c r="AB1033" s="16">
        <f t="shared" si="408"/>
        <v>3.5569863250418414E-3</v>
      </c>
      <c r="AC1033" s="16">
        <f t="shared" si="409"/>
        <v>4.9920390114711801E-3</v>
      </c>
    </row>
    <row r="1034" spans="1:29" x14ac:dyDescent="0.15">
      <c r="A1034" s="8">
        <v>42404</v>
      </c>
      <c r="B1034" s="4">
        <v>1915.45</v>
      </c>
      <c r="C1034" s="1">
        <v>20.122399999999999</v>
      </c>
      <c r="D1034" s="1">
        <v>2.41</v>
      </c>
      <c r="E1034" s="1">
        <v>0.62019999999999997</v>
      </c>
      <c r="F1034" s="4">
        <f t="shared" si="399"/>
        <v>0.20122399999999999</v>
      </c>
      <c r="G1034" s="4">
        <f t="shared" si="400"/>
        <v>2.41E-2</v>
      </c>
      <c r="H1034" s="4">
        <f t="shared" si="401"/>
        <v>6.202E-3</v>
      </c>
      <c r="I1034" s="3">
        <f t="shared" si="402"/>
        <v>80.789045094525704</v>
      </c>
      <c r="J1034" s="4">
        <f t="shared" si="389"/>
        <v>1508296.6365903318</v>
      </c>
      <c r="K1034" s="1">
        <f t="shared" si="390"/>
        <v>1939.38</v>
      </c>
      <c r="L1034" s="5">
        <f t="shared" si="391"/>
        <v>0.24109589041095894</v>
      </c>
      <c r="M1034" s="5">
        <f t="shared" si="392"/>
        <v>-0.54455818505879272</v>
      </c>
      <c r="N1034" s="5">
        <f t="shared" si="393"/>
        <v>92.812626533894758</v>
      </c>
      <c r="O1034" s="1">
        <f t="shared" si="394"/>
        <v>0</v>
      </c>
      <c r="P1034" s="1">
        <f t="shared" si="395"/>
        <v>1939.38</v>
      </c>
      <c r="Q1034" s="5">
        <f t="shared" si="396"/>
        <v>0.24109589041095894</v>
      </c>
      <c r="R1034" s="5">
        <f t="shared" si="397"/>
        <v>-0.54455818505879272</v>
      </c>
      <c r="S1034" s="5">
        <f t="shared" si="403"/>
        <v>92.812626533894758</v>
      </c>
      <c r="T1034" s="5">
        <f t="shared" si="404"/>
        <v>-748.28021705439994</v>
      </c>
      <c r="U1034" s="4">
        <f t="shared" si="405"/>
        <v>1508320.9759524949</v>
      </c>
      <c r="V1034" s="4">
        <f t="shared" si="398"/>
        <v>24.339754927014233</v>
      </c>
      <c r="W1034" s="4">
        <f t="shared" si="406"/>
        <v>1438871.1236243232</v>
      </c>
      <c r="X1034" s="4">
        <f t="shared" si="410"/>
        <v>828.44197266595438</v>
      </c>
      <c r="Y1034" s="9">
        <f>SUM($X$6:X1034)</f>
        <v>438871.12362432317</v>
      </c>
      <c r="Z1034" s="16">
        <f t="shared" si="388"/>
        <v>0.43887112362432318</v>
      </c>
      <c r="AA1034" s="16">
        <f t="shared" si="407"/>
        <v>0.49989037320094604</v>
      </c>
      <c r="AB1034" s="16">
        <f t="shared" si="408"/>
        <v>5.7608997510035734E-4</v>
      </c>
      <c r="AC1034" s="16">
        <f t="shared" si="409"/>
        <v>1.5267734362337181E-3</v>
      </c>
    </row>
    <row r="1035" spans="1:29" x14ac:dyDescent="0.15">
      <c r="A1035" s="8">
        <v>42405</v>
      </c>
      <c r="B1035" s="4">
        <v>1880.05</v>
      </c>
      <c r="C1035" s="1">
        <v>21.386800000000001</v>
      </c>
      <c r="D1035" s="1">
        <v>2.46</v>
      </c>
      <c r="E1035" s="1">
        <v>0.61970000000000003</v>
      </c>
      <c r="F1035" s="4">
        <f t="shared" si="399"/>
        <v>0.213868</v>
      </c>
      <c r="G1035" s="4">
        <f t="shared" si="400"/>
        <v>2.46E-2</v>
      </c>
      <c r="H1035" s="4">
        <f t="shared" si="401"/>
        <v>6.1970000000000003E-3</v>
      </c>
      <c r="I1035" s="3">
        <f t="shared" si="402"/>
        <v>84.119312355942483</v>
      </c>
      <c r="J1035" s="4">
        <f t="shared" si="389"/>
        <v>1508320.9759524949</v>
      </c>
      <c r="K1035" s="1">
        <f t="shared" si="390"/>
        <v>1939.38</v>
      </c>
      <c r="L1035" s="5">
        <f t="shared" si="391"/>
        <v>0.23835616438356169</v>
      </c>
      <c r="M1035" s="5">
        <f t="shared" si="392"/>
        <v>-0.6095004559249827</v>
      </c>
      <c r="N1035" s="5">
        <f t="shared" si="393"/>
        <v>117.47417356644431</v>
      </c>
      <c r="O1035" s="1">
        <f t="shared" si="394"/>
        <v>0</v>
      </c>
      <c r="P1035" s="1">
        <f t="shared" si="395"/>
        <v>1939.38</v>
      </c>
      <c r="Q1035" s="5">
        <f t="shared" si="396"/>
        <v>0.23835616438356169</v>
      </c>
      <c r="R1035" s="5">
        <f t="shared" si="397"/>
        <v>-0.6095004559249827</v>
      </c>
      <c r="S1035" s="5">
        <f t="shared" si="403"/>
        <v>117.47417356644431</v>
      </c>
      <c r="T1035" s="5">
        <f t="shared" si="404"/>
        <v>-748.28021705439994</v>
      </c>
      <c r="U1035" s="4">
        <f t="shared" si="405"/>
        <v>1508345.3157074219</v>
      </c>
      <c r="V1035" s="4">
        <f t="shared" si="398"/>
        <v>24.340147697306065</v>
      </c>
      <c r="W1035" s="4">
        <f t="shared" si="406"/>
        <v>1420441.7156128366</v>
      </c>
      <c r="X1035" s="4">
        <f t="shared" si="410"/>
        <v>-18429.408011486521</v>
      </c>
      <c r="Y1035" s="9">
        <f>SUM($X$6:X1035)</f>
        <v>420441.71561283665</v>
      </c>
      <c r="Z1035" s="16">
        <f t="shared" si="388"/>
        <v>0.42044171561283666</v>
      </c>
      <c r="AA1035" s="16">
        <f t="shared" si="407"/>
        <v>0.47217045401155783</v>
      </c>
      <c r="AB1035" s="16">
        <f t="shared" si="408"/>
        <v>-1.2808240925056107E-2</v>
      </c>
      <c r="AC1035" s="16">
        <f t="shared" si="409"/>
        <v>-1.8481296823200863E-2</v>
      </c>
    </row>
    <row r="1036" spans="1:29" x14ac:dyDescent="0.15">
      <c r="A1036" s="8">
        <v>42408</v>
      </c>
      <c r="B1036" s="4">
        <v>1853.44</v>
      </c>
      <c r="C1036" s="1">
        <v>22.728000000000002</v>
      </c>
      <c r="D1036" s="1">
        <v>2.4900000000000002</v>
      </c>
      <c r="E1036" s="1">
        <v>0.621</v>
      </c>
      <c r="F1036" s="4">
        <f t="shared" si="399"/>
        <v>0.22728000000000001</v>
      </c>
      <c r="G1036" s="4">
        <f t="shared" si="400"/>
        <v>2.4900000000000002E-2</v>
      </c>
      <c r="H1036" s="4">
        <f t="shared" si="401"/>
        <v>6.2100000000000002E-3</v>
      </c>
      <c r="I1036" s="3">
        <f t="shared" si="402"/>
        <v>87.914472253436244</v>
      </c>
      <c r="J1036" s="4">
        <f t="shared" si="389"/>
        <v>1508345.3157074219</v>
      </c>
      <c r="K1036" s="1">
        <f t="shared" si="390"/>
        <v>1939.38</v>
      </c>
      <c r="L1036" s="5">
        <f t="shared" si="391"/>
        <v>0.23013698630136992</v>
      </c>
      <c r="M1036" s="5">
        <f t="shared" si="392"/>
        <v>-0.65190960540101828</v>
      </c>
      <c r="N1036" s="5">
        <f t="shared" si="393"/>
        <v>137.39403298120527</v>
      </c>
      <c r="O1036" s="1">
        <f t="shared" si="394"/>
        <v>0</v>
      </c>
      <c r="P1036" s="1">
        <f t="shared" si="395"/>
        <v>1939.38</v>
      </c>
      <c r="Q1036" s="5">
        <f t="shared" si="396"/>
        <v>0.23013698630136992</v>
      </c>
      <c r="R1036" s="5">
        <f t="shared" si="397"/>
        <v>-0.65190960540101828</v>
      </c>
      <c r="S1036" s="5">
        <f t="shared" si="403"/>
        <v>137.39403298120527</v>
      </c>
      <c r="T1036" s="5">
        <f t="shared" si="404"/>
        <v>-748.28021705439994</v>
      </c>
      <c r="U1036" s="4">
        <f t="shared" si="405"/>
        <v>1508369.6558551192</v>
      </c>
      <c r="V1036" s="4">
        <f t="shared" si="398"/>
        <v>73.021621421808078</v>
      </c>
      <c r="W1036" s="4">
        <f t="shared" si="406"/>
        <v>1405560.4190339635</v>
      </c>
      <c r="X1036" s="4">
        <f t="shared" si="410"/>
        <v>-14881.296578873182</v>
      </c>
      <c r="Y1036" s="9">
        <f>SUM($X$6:X1036)</f>
        <v>405560.41903396347</v>
      </c>
      <c r="Z1036" s="16">
        <f t="shared" si="388"/>
        <v>0.40556041903396345</v>
      </c>
      <c r="AA1036" s="16">
        <f t="shared" si="407"/>
        <v>0.4513335317056365</v>
      </c>
      <c r="AB1036" s="16">
        <f t="shared" si="408"/>
        <v>-1.0476527417707373E-2</v>
      </c>
      <c r="AC1036" s="16">
        <f t="shared" si="409"/>
        <v>-1.4153878886199782E-2</v>
      </c>
    </row>
    <row r="1037" spans="1:29" x14ac:dyDescent="0.15">
      <c r="A1037" s="8">
        <v>42409</v>
      </c>
      <c r="B1037" s="4">
        <v>1852.21</v>
      </c>
      <c r="C1037" s="1">
        <v>23.017399999999999</v>
      </c>
      <c r="D1037" s="1">
        <v>2.4900000000000002</v>
      </c>
      <c r="E1037" s="1">
        <v>0.62050000000000005</v>
      </c>
      <c r="F1037" s="4">
        <f t="shared" si="399"/>
        <v>0.23017399999999999</v>
      </c>
      <c r="G1037" s="4">
        <f t="shared" si="400"/>
        <v>2.4900000000000002E-2</v>
      </c>
      <c r="H1037" s="4">
        <f t="shared" si="401"/>
        <v>6.2050000000000004E-3</v>
      </c>
      <c r="I1037" s="3">
        <f t="shared" si="402"/>
        <v>88.918381656718893</v>
      </c>
      <c r="J1037" s="4">
        <f t="shared" si="389"/>
        <v>1508369.6558551192</v>
      </c>
      <c r="K1037" s="1">
        <f t="shared" si="390"/>
        <v>1939.38</v>
      </c>
      <c r="L1037" s="5">
        <f t="shared" si="391"/>
        <v>0.22739726027397267</v>
      </c>
      <c r="M1037" s="5">
        <f t="shared" si="392"/>
        <v>-0.65276062438986349</v>
      </c>
      <c r="N1037" s="5">
        <f t="shared" si="393"/>
        <v>138.63271487358864</v>
      </c>
      <c r="O1037" s="1">
        <f t="shared" si="394"/>
        <v>0</v>
      </c>
      <c r="P1037" s="1">
        <f t="shared" si="395"/>
        <v>1939.38</v>
      </c>
      <c r="Q1037" s="5">
        <f t="shared" si="396"/>
        <v>0.22739726027397267</v>
      </c>
      <c r="R1037" s="5">
        <f t="shared" si="397"/>
        <v>-0.65276062438986349</v>
      </c>
      <c r="S1037" s="5">
        <f t="shared" si="403"/>
        <v>138.63271487358864</v>
      </c>
      <c r="T1037" s="5">
        <f t="shared" si="404"/>
        <v>-748.28021705439994</v>
      </c>
      <c r="U1037" s="4">
        <f t="shared" si="405"/>
        <v>1508442.6774765411</v>
      </c>
      <c r="V1037" s="4">
        <f t="shared" si="398"/>
        <v>24.341718822840619</v>
      </c>
      <c r="W1037" s="4">
        <f t="shared" si="406"/>
        <v>1404706.5595000915</v>
      </c>
      <c r="X1037" s="4">
        <f t="shared" si="410"/>
        <v>-853.8595338719897</v>
      </c>
      <c r="Y1037" s="9">
        <f>SUM($X$6:X1037)</f>
        <v>404706.55950009148</v>
      </c>
      <c r="Z1037" s="16">
        <f t="shared" si="388"/>
        <v>0.40470655950009149</v>
      </c>
      <c r="AA1037" s="16">
        <f t="shared" si="407"/>
        <v>0.45037038197108992</v>
      </c>
      <c r="AB1037" s="16">
        <f t="shared" si="408"/>
        <v>-6.074868944152854E-4</v>
      </c>
      <c r="AC1037" s="16">
        <f t="shared" si="409"/>
        <v>-6.6363087016575565E-4</v>
      </c>
    </row>
    <row r="1038" spans="1:29" x14ac:dyDescent="0.15">
      <c r="A1038" s="8">
        <v>42410</v>
      </c>
      <c r="B1038" s="4">
        <v>1851.86</v>
      </c>
      <c r="C1038" s="1">
        <v>22.987200000000001</v>
      </c>
      <c r="D1038" s="1">
        <v>2.5</v>
      </c>
      <c r="E1038" s="1">
        <v>0.61760000000000004</v>
      </c>
      <c r="F1038" s="4">
        <f t="shared" si="399"/>
        <v>0.22987200000000002</v>
      </c>
      <c r="G1038" s="4">
        <f t="shared" si="400"/>
        <v>2.5000000000000001E-2</v>
      </c>
      <c r="H1038" s="4">
        <f t="shared" si="401"/>
        <v>6.1760000000000001E-3</v>
      </c>
      <c r="I1038" s="3">
        <f t="shared" si="402"/>
        <v>88.820724750343388</v>
      </c>
      <c r="J1038" s="4">
        <f t="shared" si="389"/>
        <v>1508442.6774765411</v>
      </c>
      <c r="K1038" s="1">
        <f t="shared" si="390"/>
        <v>1939.38</v>
      </c>
      <c r="L1038" s="5">
        <f t="shared" si="391"/>
        <v>0.22465753424657542</v>
      </c>
      <c r="M1038" s="5">
        <f t="shared" si="392"/>
        <v>-0.65473479893989284</v>
      </c>
      <c r="N1038" s="5">
        <f t="shared" si="393"/>
        <v>138.29218300386927</v>
      </c>
      <c r="O1038" s="1">
        <f t="shared" si="394"/>
        <v>0</v>
      </c>
      <c r="P1038" s="1">
        <f t="shared" si="395"/>
        <v>1939.38</v>
      </c>
      <c r="Q1038" s="5">
        <f t="shared" si="396"/>
        <v>0.22465753424657542</v>
      </c>
      <c r="R1038" s="5">
        <f t="shared" si="397"/>
        <v>-0.65473479893989284</v>
      </c>
      <c r="S1038" s="5">
        <f t="shared" si="403"/>
        <v>138.29218300386927</v>
      </c>
      <c r="T1038" s="5">
        <f t="shared" si="404"/>
        <v>-748.28021705439994</v>
      </c>
      <c r="U1038" s="4">
        <f t="shared" si="405"/>
        <v>1508467.0191953641</v>
      </c>
      <c r="V1038" s="4">
        <f t="shared" si="398"/>
        <v>24.342111624823819</v>
      </c>
      <c r="W1038" s="4">
        <f t="shared" si="406"/>
        <v>1404985.7144803021</v>
      </c>
      <c r="X1038" s="4">
        <f t="shared" si="410"/>
        <v>279.15498021058738</v>
      </c>
      <c r="Y1038" s="9">
        <f>SUM($X$6:X1038)</f>
        <v>404985.71448030206</v>
      </c>
      <c r="Z1038" s="16">
        <f t="shared" si="388"/>
        <v>0.40498571448030207</v>
      </c>
      <c r="AA1038" s="16">
        <f t="shared" si="407"/>
        <v>0.45009631497345465</v>
      </c>
      <c r="AB1038" s="16">
        <f t="shared" si="408"/>
        <v>1.9872832394968908E-4</v>
      </c>
      <c r="AC1038" s="16">
        <f t="shared" si="409"/>
        <v>-1.8896345446797955E-4</v>
      </c>
    </row>
    <row r="1039" spans="1:29" x14ac:dyDescent="0.15">
      <c r="A1039" s="8">
        <v>42411</v>
      </c>
      <c r="B1039" s="4">
        <v>1829.08</v>
      </c>
      <c r="C1039" s="1">
        <v>24.084</v>
      </c>
      <c r="D1039" s="1">
        <v>2.5300000000000002</v>
      </c>
      <c r="E1039" s="1">
        <v>0.61719999999999997</v>
      </c>
      <c r="F1039" s="4">
        <f t="shared" si="399"/>
        <v>0.24084</v>
      </c>
      <c r="G1039" s="4">
        <f t="shared" si="400"/>
        <v>2.5300000000000003E-2</v>
      </c>
      <c r="H1039" s="4">
        <f t="shared" si="401"/>
        <v>6.1719999999999995E-3</v>
      </c>
      <c r="I1039" s="3">
        <f t="shared" si="402"/>
        <v>91.766596739752529</v>
      </c>
      <c r="J1039" s="4">
        <f t="shared" si="389"/>
        <v>1508467.0191953641</v>
      </c>
      <c r="K1039" s="1">
        <f t="shared" si="390"/>
        <v>1939.38</v>
      </c>
      <c r="L1039" s="5">
        <f t="shared" si="391"/>
        <v>0.22191780821917817</v>
      </c>
      <c r="M1039" s="5">
        <f t="shared" si="392"/>
        <v>-0.68646817969295393</v>
      </c>
      <c r="N1039" s="5">
        <f t="shared" si="393"/>
        <v>156.56205717409654</v>
      </c>
      <c r="O1039" s="1">
        <f t="shared" si="394"/>
        <v>0</v>
      </c>
      <c r="P1039" s="1">
        <f t="shared" si="395"/>
        <v>1939.38</v>
      </c>
      <c r="Q1039" s="5">
        <f t="shared" si="396"/>
        <v>0.22191780821917817</v>
      </c>
      <c r="R1039" s="5">
        <f t="shared" si="397"/>
        <v>-0.68646817969295393</v>
      </c>
      <c r="S1039" s="5">
        <f t="shared" si="403"/>
        <v>156.56205717409654</v>
      </c>
      <c r="T1039" s="5">
        <f t="shared" si="404"/>
        <v>-748.28021705439994</v>
      </c>
      <c r="U1039" s="4">
        <f t="shared" si="405"/>
        <v>1508491.3613069889</v>
      </c>
      <c r="V1039" s="4">
        <f t="shared" si="398"/>
        <v>24.342504433145653</v>
      </c>
      <c r="W1039" s="4">
        <f t="shared" si="406"/>
        <v>1391339.0711822726</v>
      </c>
      <c r="X1039" s="4">
        <f t="shared" si="410"/>
        <v>-13646.643298029434</v>
      </c>
      <c r="Y1039" s="9">
        <f>SUM($X$6:X1039)</f>
        <v>391339.07118227263</v>
      </c>
      <c r="Z1039" s="16">
        <f t="shared" si="388"/>
        <v>0.39133907118227262</v>
      </c>
      <c r="AA1039" s="16">
        <f t="shared" si="407"/>
        <v>0.43225846867022694</v>
      </c>
      <c r="AB1039" s="16">
        <f t="shared" si="408"/>
        <v>-9.713012137690857E-3</v>
      </c>
      <c r="AC1039" s="16">
        <f t="shared" si="409"/>
        <v>-1.2301145874958137E-2</v>
      </c>
    </row>
    <row r="1040" spans="1:29" x14ac:dyDescent="0.15">
      <c r="A1040" s="8">
        <v>42412</v>
      </c>
      <c r="B1040" s="4">
        <v>1864.78</v>
      </c>
      <c r="C1040" s="1">
        <v>22.7806</v>
      </c>
      <c r="D1040" s="1">
        <v>2.48</v>
      </c>
      <c r="E1040" s="1">
        <v>0.61819999999999997</v>
      </c>
      <c r="F1040" s="4">
        <f t="shared" si="399"/>
        <v>0.22780600000000001</v>
      </c>
      <c r="G1040" s="4">
        <f t="shared" si="400"/>
        <v>2.4799999999999999E-2</v>
      </c>
      <c r="H1040" s="4">
        <f t="shared" si="401"/>
        <v>6.182E-3</v>
      </c>
      <c r="I1040" s="3">
        <f t="shared" si="402"/>
        <v>88.630715772772803</v>
      </c>
      <c r="J1040" s="4">
        <f t="shared" si="389"/>
        <v>1508491.3613069889</v>
      </c>
      <c r="K1040" s="1">
        <f t="shared" si="390"/>
        <v>1939.38</v>
      </c>
      <c r="L1040" s="5">
        <f t="shared" si="391"/>
        <v>0.21917808219178092</v>
      </c>
      <c r="M1040" s="5">
        <f t="shared" si="392"/>
        <v>-0.63439621018609949</v>
      </c>
      <c r="N1040" s="5">
        <f t="shared" si="393"/>
        <v>128.20987508768167</v>
      </c>
      <c r="O1040" s="1">
        <f t="shared" si="394"/>
        <v>0</v>
      </c>
      <c r="P1040" s="1">
        <f t="shared" si="395"/>
        <v>1939.38</v>
      </c>
      <c r="Q1040" s="5">
        <f t="shared" si="396"/>
        <v>0.21917808219178092</v>
      </c>
      <c r="R1040" s="5">
        <f t="shared" si="397"/>
        <v>-0.63439621018609949</v>
      </c>
      <c r="S1040" s="5">
        <f t="shared" si="403"/>
        <v>128.20987508768167</v>
      </c>
      <c r="T1040" s="5">
        <f t="shared" si="404"/>
        <v>-748.28021705439994</v>
      </c>
      <c r="U1040" s="4">
        <f t="shared" si="405"/>
        <v>1508515.703811422</v>
      </c>
      <c r="V1040" s="4">
        <f t="shared" si="398"/>
        <v>24.342897247806235</v>
      </c>
      <c r="W1040" s="4">
        <f t="shared" si="406"/>
        <v>1412578.7906522939</v>
      </c>
      <c r="X1040" s="4">
        <f t="shared" si="410"/>
        <v>21239.719470021315</v>
      </c>
      <c r="Y1040" s="9">
        <f>SUM($X$6:X1040)</f>
        <v>412578.79065229394</v>
      </c>
      <c r="Z1040" s="16">
        <f t="shared" si="388"/>
        <v>0.41257879065229397</v>
      </c>
      <c r="AA1040" s="16">
        <f t="shared" si="407"/>
        <v>0.4602133024290167</v>
      </c>
      <c r="AB1040" s="16">
        <f t="shared" si="408"/>
        <v>1.5265667377523679E-2</v>
      </c>
      <c r="AC1040" s="16">
        <f t="shared" si="409"/>
        <v>1.9518009053731956E-2</v>
      </c>
    </row>
    <row r="1041" spans="1:29" x14ac:dyDescent="0.15">
      <c r="A1041" s="8">
        <v>42416</v>
      </c>
      <c r="B1041" s="4">
        <v>1895.58</v>
      </c>
      <c r="C1041" s="1">
        <v>21.446400000000001</v>
      </c>
      <c r="D1041" s="1">
        <v>2.44</v>
      </c>
      <c r="E1041" s="1">
        <v>0.61819999999999997</v>
      </c>
      <c r="F1041" s="4">
        <f t="shared" si="399"/>
        <v>0.21446400000000002</v>
      </c>
      <c r="G1041" s="4">
        <f t="shared" si="400"/>
        <v>2.4399999999999998E-2</v>
      </c>
      <c r="H1041" s="4">
        <f t="shared" si="401"/>
        <v>6.182E-3</v>
      </c>
      <c r="I1041" s="3">
        <f t="shared" si="402"/>
        <v>84.995078558547277</v>
      </c>
      <c r="J1041" s="4">
        <f t="shared" si="389"/>
        <v>1508515.703811422</v>
      </c>
      <c r="K1041" s="1">
        <f t="shared" si="390"/>
        <v>1939.38</v>
      </c>
      <c r="L1041" s="5">
        <f t="shared" si="391"/>
        <v>0.20821917808219187</v>
      </c>
      <c r="M1041" s="5">
        <f t="shared" si="392"/>
        <v>-0.5853503880654416</v>
      </c>
      <c r="N1041" s="5">
        <f t="shared" si="393"/>
        <v>102.79459866421736</v>
      </c>
      <c r="O1041" s="1">
        <f t="shared" si="394"/>
        <v>0</v>
      </c>
      <c r="P1041" s="1">
        <f t="shared" si="395"/>
        <v>1939.38</v>
      </c>
      <c r="Q1041" s="5">
        <f t="shared" si="396"/>
        <v>0.20821917808219187</v>
      </c>
      <c r="R1041" s="5">
        <f t="shared" si="397"/>
        <v>-0.5853503880654416</v>
      </c>
      <c r="S1041" s="5">
        <f t="shared" si="403"/>
        <v>102.79459866421736</v>
      </c>
      <c r="T1041" s="5">
        <f t="shared" si="404"/>
        <v>-748.28021705439994</v>
      </c>
      <c r="U1041" s="4">
        <f t="shared" si="405"/>
        <v>1508540.0467086697</v>
      </c>
      <c r="V1041" s="4">
        <f t="shared" si="398"/>
        <v>97.373160275222617</v>
      </c>
      <c r="W1041" s="4">
        <f t="shared" si="406"/>
        <v>1431620.8821081892</v>
      </c>
      <c r="X1041" s="4">
        <f t="shared" si="410"/>
        <v>19042.091455895221</v>
      </c>
      <c r="Y1041" s="9">
        <f>SUM($X$6:X1041)</f>
        <v>431620.88210818917</v>
      </c>
      <c r="Z1041" s="16">
        <f t="shared" si="388"/>
        <v>0.43162088210818916</v>
      </c>
      <c r="AA1041" s="16">
        <f t="shared" si="407"/>
        <v>0.48433119822091369</v>
      </c>
      <c r="AB1041" s="16">
        <f t="shared" si="408"/>
        <v>1.3480374745752805E-2</v>
      </c>
      <c r="AC1041" s="16">
        <f t="shared" si="409"/>
        <v>1.651669365823312E-2</v>
      </c>
    </row>
    <row r="1042" spans="1:29" x14ac:dyDescent="0.15">
      <c r="A1042" s="8">
        <v>42417</v>
      </c>
      <c r="B1042" s="4">
        <v>1926.82</v>
      </c>
      <c r="C1042" s="1">
        <v>20.201799999999999</v>
      </c>
      <c r="D1042" s="1">
        <v>2.4</v>
      </c>
      <c r="E1042" s="1">
        <v>0.61939999999999995</v>
      </c>
      <c r="F1042" s="4">
        <f t="shared" si="399"/>
        <v>0.20201799999999998</v>
      </c>
      <c r="G1042" s="4">
        <f t="shared" si="400"/>
        <v>2.4E-2</v>
      </c>
      <c r="H1042" s="4">
        <f t="shared" si="401"/>
        <v>6.1939999999999999E-3</v>
      </c>
      <c r="I1042" s="3">
        <f t="shared" si="402"/>
        <v>81.549832353056999</v>
      </c>
      <c r="J1042" s="4">
        <f t="shared" si="389"/>
        <v>1508540.0467086697</v>
      </c>
      <c r="K1042" s="1">
        <f t="shared" si="390"/>
        <v>1939.38</v>
      </c>
      <c r="L1042" s="5">
        <f t="shared" si="391"/>
        <v>0.20547945205479462</v>
      </c>
      <c r="M1042" s="5">
        <f t="shared" si="392"/>
        <v>-0.52337276975718494</v>
      </c>
      <c r="N1042" s="5">
        <f t="shared" si="393"/>
        <v>80.597057876200083</v>
      </c>
      <c r="O1042" s="1">
        <f t="shared" si="394"/>
        <v>0</v>
      </c>
      <c r="P1042" s="1">
        <f t="shared" si="395"/>
        <v>1939.38</v>
      </c>
      <c r="Q1042" s="5">
        <f t="shared" si="396"/>
        <v>0.20547945205479462</v>
      </c>
      <c r="R1042" s="5">
        <f t="shared" si="397"/>
        <v>-0.52337276975718494</v>
      </c>
      <c r="S1042" s="5">
        <f t="shared" si="403"/>
        <v>80.597057876200083</v>
      </c>
      <c r="T1042" s="5">
        <f t="shared" si="404"/>
        <v>-748.28021705439994</v>
      </c>
      <c r="U1042" s="4">
        <f t="shared" si="405"/>
        <v>1508637.4198689449</v>
      </c>
      <c r="V1042" s="4">
        <f t="shared" si="398"/>
        <v>24.344861378159138</v>
      </c>
      <c r="W1042" s="4">
        <f t="shared" si="406"/>
        <v>1448328.2359073958</v>
      </c>
      <c r="X1042" s="4">
        <f t="shared" si="410"/>
        <v>16707.35379920667</v>
      </c>
      <c r="Y1042" s="9">
        <f>SUM($X$6:X1042)</f>
        <v>448328.23590739584</v>
      </c>
      <c r="Z1042" s="16">
        <f t="shared" ref="Z1042:Z1105" si="411">Y1042/$H$3</f>
        <v>0.44832823590739584</v>
      </c>
      <c r="AA1042" s="16">
        <f t="shared" si="407"/>
        <v>0.50879363538126632</v>
      </c>
      <c r="AB1042" s="16">
        <f t="shared" si="408"/>
        <v>1.1670236169371604E-2</v>
      </c>
      <c r="AC1042" s="16">
        <f t="shared" si="409"/>
        <v>1.648044398020659E-2</v>
      </c>
    </row>
    <row r="1043" spans="1:29" x14ac:dyDescent="0.15">
      <c r="A1043" s="8">
        <v>42418</v>
      </c>
      <c r="B1043" s="4">
        <v>1917.83</v>
      </c>
      <c r="C1043" s="1">
        <v>19.9404</v>
      </c>
      <c r="D1043" s="1">
        <v>2.41</v>
      </c>
      <c r="E1043" s="1">
        <v>0.61819999999999997</v>
      </c>
      <c r="F1043" s="4">
        <f t="shared" si="399"/>
        <v>0.199404</v>
      </c>
      <c r="G1043" s="4">
        <f t="shared" si="400"/>
        <v>2.41E-2</v>
      </c>
      <c r="H1043" s="4">
        <f t="shared" si="401"/>
        <v>6.182E-3</v>
      </c>
      <c r="I1043" s="3">
        <f t="shared" si="402"/>
        <v>80.203447154276859</v>
      </c>
      <c r="J1043" s="4">
        <f t="shared" si="389"/>
        <v>1508637.4198689449</v>
      </c>
      <c r="K1043" s="1">
        <f t="shared" si="390"/>
        <v>1939.38</v>
      </c>
      <c r="L1043" s="5">
        <f t="shared" si="391"/>
        <v>0.20273972602739737</v>
      </c>
      <c r="M1043" s="5">
        <f t="shared" si="392"/>
        <v>-0.54509664453927864</v>
      </c>
      <c r="N1043" s="5">
        <f t="shared" si="393"/>
        <v>84.014334518680641</v>
      </c>
      <c r="O1043" s="1">
        <f t="shared" si="394"/>
        <v>0</v>
      </c>
      <c r="P1043" s="1">
        <f t="shared" si="395"/>
        <v>1939.38</v>
      </c>
      <c r="Q1043" s="5">
        <f t="shared" si="396"/>
        <v>0.20273972602739737</v>
      </c>
      <c r="R1043" s="5">
        <f t="shared" si="397"/>
        <v>-0.54509664453927864</v>
      </c>
      <c r="S1043" s="5">
        <f t="shared" si="403"/>
        <v>84.014334518680641</v>
      </c>
      <c r="T1043" s="5">
        <f t="shared" si="404"/>
        <v>-748.28021705439994</v>
      </c>
      <c r="U1043" s="4">
        <f t="shared" si="405"/>
        <v>1508661.7647303231</v>
      </c>
      <c r="V1043" s="4">
        <f t="shared" si="398"/>
        <v>24.345254230853705</v>
      </c>
      <c r="W1043" s="4">
        <f t="shared" si="406"/>
        <v>1445795.5002610039</v>
      </c>
      <c r="X1043" s="4">
        <f t="shared" si="410"/>
        <v>-2532.7356463919859</v>
      </c>
      <c r="Y1043" s="9">
        <f>SUM($X$6:X1043)</f>
        <v>445795.50026100385</v>
      </c>
      <c r="Z1043" s="16">
        <f t="shared" si="411"/>
        <v>0.44579550026100384</v>
      </c>
      <c r="AA1043" s="16">
        <f t="shared" si="407"/>
        <v>0.50175402878486519</v>
      </c>
      <c r="AB1043" s="16">
        <f t="shared" si="408"/>
        <v>-1.7487304214608473E-3</v>
      </c>
      <c r="AC1043" s="16">
        <f t="shared" si="409"/>
        <v>-4.6657186452289312E-3</v>
      </c>
    </row>
    <row r="1044" spans="1:29" x14ac:dyDescent="0.15">
      <c r="A1044" s="8">
        <v>42419</v>
      </c>
      <c r="B1044" s="4">
        <v>1917.78</v>
      </c>
      <c r="C1044" s="1">
        <v>19.381699999999999</v>
      </c>
      <c r="D1044" s="1">
        <v>2.41</v>
      </c>
      <c r="E1044" s="1">
        <v>0.61819999999999997</v>
      </c>
      <c r="F1044" s="4">
        <f t="shared" si="399"/>
        <v>0.19381699999999999</v>
      </c>
      <c r="G1044" s="4">
        <f t="shared" si="400"/>
        <v>2.41E-2</v>
      </c>
      <c r="H1044" s="4">
        <f t="shared" si="401"/>
        <v>6.182E-3</v>
      </c>
      <c r="I1044" s="3">
        <f t="shared" si="402"/>
        <v>78.079824968978912</v>
      </c>
      <c r="J1044" s="4">
        <f t="shared" si="389"/>
        <v>1508661.7647303231</v>
      </c>
      <c r="K1044" s="1">
        <f t="shared" si="390"/>
        <v>1939.38</v>
      </c>
      <c r="L1044" s="5">
        <f t="shared" si="391"/>
        <v>0.20000000000000012</v>
      </c>
      <c r="M1044" s="5">
        <f t="shared" si="392"/>
        <v>-0.54796945797794372</v>
      </c>
      <c r="N1044" s="5">
        <f t="shared" si="393"/>
        <v>81.643748924967042</v>
      </c>
      <c r="O1044" s="1">
        <f t="shared" si="394"/>
        <v>0</v>
      </c>
      <c r="P1044" s="1">
        <f t="shared" si="395"/>
        <v>1939.38</v>
      </c>
      <c r="Q1044" s="5">
        <f t="shared" si="396"/>
        <v>0.20000000000000012</v>
      </c>
      <c r="R1044" s="5">
        <f t="shared" si="397"/>
        <v>-0.54796945797794372</v>
      </c>
      <c r="S1044" s="5">
        <f t="shared" si="403"/>
        <v>81.643748924967042</v>
      </c>
      <c r="T1044" s="5">
        <f t="shared" si="404"/>
        <v>-748.28021705439994</v>
      </c>
      <c r="U1044" s="4">
        <f t="shared" si="405"/>
        <v>1508686.1099845539</v>
      </c>
      <c r="V1044" s="4">
        <f t="shared" si="398"/>
        <v>24.345647089887727</v>
      </c>
      <c r="W1044" s="4">
        <f t="shared" si="406"/>
        <v>1447593.7078178446</v>
      </c>
      <c r="X1044" s="4">
        <f t="shared" si="410"/>
        <v>1798.2075568407308</v>
      </c>
      <c r="Y1044" s="9">
        <f>SUM($X$6:X1044)</f>
        <v>447593.70781784458</v>
      </c>
      <c r="Z1044" s="16">
        <f t="shared" si="411"/>
        <v>0.44759370781784458</v>
      </c>
      <c r="AA1044" s="16">
        <f t="shared" si="407"/>
        <v>0.5017148763566317</v>
      </c>
      <c r="AB1044" s="16">
        <f t="shared" si="408"/>
        <v>1.2437495873490459E-3</v>
      </c>
      <c r="AC1044" s="16">
        <f t="shared" si="409"/>
        <v>-2.6071132477828863E-5</v>
      </c>
    </row>
    <row r="1045" spans="1:29" x14ac:dyDescent="0.15">
      <c r="A1045" s="8">
        <v>42422</v>
      </c>
      <c r="B1045" s="4">
        <v>1945.5</v>
      </c>
      <c r="C1045" s="1">
        <v>18.177700000000002</v>
      </c>
      <c r="D1045" s="1">
        <v>2.38</v>
      </c>
      <c r="E1045" s="1">
        <v>0.62460000000000004</v>
      </c>
      <c r="F1045" s="4">
        <f t="shared" si="399"/>
        <v>0.18177700000000002</v>
      </c>
      <c r="G1045" s="4">
        <f t="shared" si="400"/>
        <v>2.3799999999999998E-2</v>
      </c>
      <c r="H1045" s="4">
        <f t="shared" si="401"/>
        <v>6.2460000000000007E-3</v>
      </c>
      <c r="I1045" s="3">
        <f t="shared" si="402"/>
        <v>74.481221150830407</v>
      </c>
      <c r="J1045" s="4">
        <f t="shared" si="389"/>
        <v>1508686.1099845539</v>
      </c>
      <c r="K1045" s="1">
        <f t="shared" si="390"/>
        <v>1939.38</v>
      </c>
      <c r="L1045" s="5">
        <f t="shared" si="391"/>
        <v>0.19178082191780835</v>
      </c>
      <c r="M1045" s="5">
        <f t="shared" si="392"/>
        <v>-0.48299652045418012</v>
      </c>
      <c r="N1045" s="5">
        <f t="shared" si="393"/>
        <v>61.703252495096805</v>
      </c>
      <c r="O1045" s="1">
        <f t="shared" si="394"/>
        <v>0</v>
      </c>
      <c r="P1045" s="1">
        <f t="shared" si="395"/>
        <v>1939.38</v>
      </c>
      <c r="Q1045" s="5">
        <f t="shared" si="396"/>
        <v>0.19178082191780835</v>
      </c>
      <c r="R1045" s="5">
        <f t="shared" si="397"/>
        <v>-0.48299652045418012</v>
      </c>
      <c r="S1045" s="5">
        <f t="shared" si="403"/>
        <v>61.703252495096805</v>
      </c>
      <c r="T1045" s="5">
        <f t="shared" si="404"/>
        <v>-748.28021705439994</v>
      </c>
      <c r="U1045" s="4">
        <f t="shared" si="405"/>
        <v>1508710.4556316438</v>
      </c>
      <c r="V1045" s="4">
        <f t="shared" si="398"/>
        <v>73.038119865783941</v>
      </c>
      <c r="W1045" s="4">
        <f t="shared" si="406"/>
        <v>1462539.1324616503</v>
      </c>
      <c r="X1045" s="4">
        <f t="shared" si="410"/>
        <v>14945.424643805716</v>
      </c>
      <c r="Y1045" s="9">
        <f>SUM($X$6:X1045)</f>
        <v>462539.1324616503</v>
      </c>
      <c r="Z1045" s="16">
        <f t="shared" si="411"/>
        <v>0.46253913246165029</v>
      </c>
      <c r="AA1045" s="16">
        <f t="shared" si="407"/>
        <v>0.523420982569339</v>
      </c>
      <c r="AB1045" s="16">
        <f t="shared" si="408"/>
        <v>1.0324322745458043E-2</v>
      </c>
      <c r="AC1045" s="16">
        <f t="shared" si="409"/>
        <v>1.4454212683415213E-2</v>
      </c>
    </row>
    <row r="1046" spans="1:29" x14ac:dyDescent="0.15">
      <c r="A1046" s="8">
        <v>42423</v>
      </c>
      <c r="B1046" s="4">
        <v>1921.27</v>
      </c>
      <c r="C1046" s="1">
        <v>19.168800000000001</v>
      </c>
      <c r="D1046" s="1">
        <v>2.41</v>
      </c>
      <c r="E1046" s="1">
        <v>0.62909999999999999</v>
      </c>
      <c r="F1046" s="4">
        <f t="shared" si="399"/>
        <v>0.191688</v>
      </c>
      <c r="G1046" s="4">
        <f t="shared" si="400"/>
        <v>2.41E-2</v>
      </c>
      <c r="H1046" s="4">
        <f t="shared" si="401"/>
        <v>6.2909999999999997E-3</v>
      </c>
      <c r="I1046" s="3">
        <f t="shared" si="402"/>
        <v>77.383977682260195</v>
      </c>
      <c r="J1046" s="4">
        <f t="shared" si="389"/>
        <v>1508710.4556316438</v>
      </c>
      <c r="K1046" s="1">
        <f t="shared" si="390"/>
        <v>1939.38</v>
      </c>
      <c r="L1046" s="5">
        <f t="shared" si="391"/>
        <v>0.1890410958904111</v>
      </c>
      <c r="M1046" s="5">
        <f t="shared" si="392"/>
        <v>-0.54183323850030618</v>
      </c>
      <c r="N1046" s="5">
        <f t="shared" si="393"/>
        <v>76.99568087362691</v>
      </c>
      <c r="O1046" s="1">
        <f t="shared" si="394"/>
        <v>0</v>
      </c>
      <c r="P1046" s="1">
        <f t="shared" si="395"/>
        <v>1939.38</v>
      </c>
      <c r="Q1046" s="5">
        <f t="shared" si="396"/>
        <v>0.1890410958904111</v>
      </c>
      <c r="R1046" s="5">
        <f t="shared" si="397"/>
        <v>-0.54183323850030618</v>
      </c>
      <c r="S1046" s="5">
        <f t="shared" si="403"/>
        <v>76.99568087362691</v>
      </c>
      <c r="T1046" s="5">
        <f t="shared" si="404"/>
        <v>-748.28021705439994</v>
      </c>
      <c r="U1046" s="4">
        <f t="shared" si="405"/>
        <v>1508783.4937515096</v>
      </c>
      <c r="V1046" s="4">
        <f t="shared" si="398"/>
        <v>24.347218570401072</v>
      </c>
      <c r="W1046" s="4">
        <f t="shared" si="406"/>
        <v>1451169.1489551407</v>
      </c>
      <c r="X1046" s="4">
        <f t="shared" si="410"/>
        <v>-11369.983506509569</v>
      </c>
      <c r="Y1046" s="9">
        <f>SUM($X$6:X1046)</f>
        <v>451169.14895514073</v>
      </c>
      <c r="Z1046" s="16">
        <f t="shared" si="411"/>
        <v>0.45116914895514071</v>
      </c>
      <c r="AA1046" s="16">
        <f t="shared" si="407"/>
        <v>0.50444771584733694</v>
      </c>
      <c r="AB1046" s="16">
        <f t="shared" si="408"/>
        <v>-7.7741396822472407E-3</v>
      </c>
      <c r="AC1046" s="16">
        <f t="shared" si="409"/>
        <v>-1.2454381906964801E-2</v>
      </c>
    </row>
    <row r="1047" spans="1:29" x14ac:dyDescent="0.15">
      <c r="A1047" s="8">
        <v>42424</v>
      </c>
      <c r="B1047" s="4">
        <v>1929.8</v>
      </c>
      <c r="C1047" s="1">
        <v>18.996500000000001</v>
      </c>
      <c r="D1047" s="1">
        <v>2.39</v>
      </c>
      <c r="E1047" s="1">
        <v>0.63460000000000005</v>
      </c>
      <c r="F1047" s="4">
        <f t="shared" si="399"/>
        <v>0.18996500000000002</v>
      </c>
      <c r="G1047" s="4">
        <f t="shared" si="400"/>
        <v>2.3900000000000001E-2</v>
      </c>
      <c r="H1047" s="4">
        <f t="shared" si="401"/>
        <v>6.3460000000000009E-3</v>
      </c>
      <c r="I1047" s="3">
        <f t="shared" si="402"/>
        <v>77.007183589713563</v>
      </c>
      <c r="J1047" s="4">
        <f t="shared" si="389"/>
        <v>1508783.4937515096</v>
      </c>
      <c r="K1047" s="1">
        <f t="shared" si="390"/>
        <v>1939.38</v>
      </c>
      <c r="L1047" s="5">
        <f t="shared" si="391"/>
        <v>0.18630136986301385</v>
      </c>
      <c r="M1047" s="5">
        <f t="shared" si="392"/>
        <v>-0.5213100537623433</v>
      </c>
      <c r="N1047" s="5">
        <f t="shared" si="393"/>
        <v>71.334448993046095</v>
      </c>
      <c r="O1047" s="1">
        <f t="shared" si="394"/>
        <v>0</v>
      </c>
      <c r="P1047" s="1">
        <f t="shared" si="395"/>
        <v>1939.38</v>
      </c>
      <c r="Q1047" s="5">
        <f t="shared" si="396"/>
        <v>0.18630136986301385</v>
      </c>
      <c r="R1047" s="5">
        <f t="shared" si="397"/>
        <v>-0.5213100537623433</v>
      </c>
      <c r="S1047" s="5">
        <f t="shared" si="403"/>
        <v>71.334448993046095</v>
      </c>
      <c r="T1047" s="5">
        <f t="shared" si="404"/>
        <v>-748.28021705439994</v>
      </c>
      <c r="U1047" s="4">
        <f t="shared" si="405"/>
        <v>1508807.8409700799</v>
      </c>
      <c r="V1047" s="4">
        <f t="shared" si="398"/>
        <v>24.347611461133614</v>
      </c>
      <c r="W1047" s="4">
        <f t="shared" si="406"/>
        <v>1455429.6839941074</v>
      </c>
      <c r="X1047" s="4">
        <f t="shared" si="410"/>
        <v>4260.5350389666855</v>
      </c>
      <c r="Y1047" s="9">
        <f>SUM($X$6:X1047)</f>
        <v>455429.68399410741</v>
      </c>
      <c r="Z1047" s="16">
        <f t="shared" si="411"/>
        <v>0.45542968399410744</v>
      </c>
      <c r="AA1047" s="16">
        <f t="shared" si="407"/>
        <v>0.51112712010398886</v>
      </c>
      <c r="AB1047" s="16">
        <f t="shared" si="408"/>
        <v>2.9359327560362775E-3</v>
      </c>
      <c r="AC1047" s="16">
        <f t="shared" si="409"/>
        <v>4.439771609404182E-3</v>
      </c>
    </row>
    <row r="1048" spans="1:29" x14ac:dyDescent="0.15">
      <c r="A1048" s="8">
        <v>42425</v>
      </c>
      <c r="B1048" s="4">
        <v>1951.7</v>
      </c>
      <c r="C1048" s="1">
        <v>17.890799999999999</v>
      </c>
      <c r="D1048" s="1">
        <v>2.37</v>
      </c>
      <c r="E1048" s="1">
        <v>0.63560000000000005</v>
      </c>
      <c r="F1048" s="4">
        <f t="shared" si="399"/>
        <v>0.17890799999999998</v>
      </c>
      <c r="G1048" s="4">
        <f t="shared" si="400"/>
        <v>2.3700000000000002E-2</v>
      </c>
      <c r="H1048" s="4">
        <f t="shared" si="401"/>
        <v>6.3560000000000005E-3</v>
      </c>
      <c r="I1048" s="3">
        <f t="shared" si="402"/>
        <v>73.556822386631012</v>
      </c>
      <c r="J1048" s="4">
        <f t="shared" si="389"/>
        <v>1508807.8409700799</v>
      </c>
      <c r="K1048" s="1">
        <f t="shared" si="390"/>
        <v>1939.38</v>
      </c>
      <c r="L1048" s="5">
        <f t="shared" si="391"/>
        <v>0.1835616438356166</v>
      </c>
      <c r="M1048" s="5">
        <f t="shared" si="392"/>
        <v>-0.46632226819745948</v>
      </c>
      <c r="N1048" s="5">
        <f t="shared" si="393"/>
        <v>56.310508504463634</v>
      </c>
      <c r="O1048" s="1">
        <f t="shared" si="394"/>
        <v>0</v>
      </c>
      <c r="P1048" s="1">
        <f t="shared" si="395"/>
        <v>1939.38</v>
      </c>
      <c r="Q1048" s="5">
        <f t="shared" si="396"/>
        <v>0.1835616438356166</v>
      </c>
      <c r="R1048" s="5">
        <f t="shared" si="397"/>
        <v>-0.46632226819745948</v>
      </c>
      <c r="S1048" s="5">
        <f t="shared" si="403"/>
        <v>56.310508504463634</v>
      </c>
      <c r="T1048" s="5">
        <f t="shared" si="404"/>
        <v>-748.28021705439994</v>
      </c>
      <c r="U1048" s="4">
        <f t="shared" si="405"/>
        <v>1508832.1885815409</v>
      </c>
      <c r="V1048" s="4">
        <f t="shared" si="398"/>
        <v>24.348004358206232</v>
      </c>
      <c r="W1048" s="4">
        <f t="shared" si="406"/>
        <v>1466696.1490553773</v>
      </c>
      <c r="X1048" s="4">
        <f t="shared" si="410"/>
        <v>11266.465061269933</v>
      </c>
      <c r="Y1048" s="9">
        <f>SUM($X$6:X1048)</f>
        <v>466696.14905537735</v>
      </c>
      <c r="Z1048" s="16">
        <f t="shared" si="411"/>
        <v>0.46669614905537737</v>
      </c>
      <c r="AA1048" s="16">
        <f t="shared" si="407"/>
        <v>0.52827588367030531</v>
      </c>
      <c r="AB1048" s="16">
        <f t="shared" si="408"/>
        <v>7.7409889224957897E-3</v>
      </c>
      <c r="AC1048" s="16">
        <f t="shared" si="409"/>
        <v>1.1348326251425065E-2</v>
      </c>
    </row>
    <row r="1049" spans="1:29" x14ac:dyDescent="0.15">
      <c r="A1049" s="8">
        <v>42426</v>
      </c>
      <c r="B1049" s="4">
        <v>1948.05</v>
      </c>
      <c r="C1049" s="1">
        <v>18.32</v>
      </c>
      <c r="D1049" s="1">
        <v>2.37</v>
      </c>
      <c r="E1049" s="1">
        <v>0.6492</v>
      </c>
      <c r="F1049" s="4">
        <f t="shared" si="399"/>
        <v>0.1832</v>
      </c>
      <c r="G1049" s="4">
        <f t="shared" si="400"/>
        <v>2.3700000000000002E-2</v>
      </c>
      <c r="H1049" s="4">
        <f t="shared" si="401"/>
        <v>6.4920000000000004E-3</v>
      </c>
      <c r="I1049" s="3">
        <f t="shared" si="402"/>
        <v>75.039527201167033</v>
      </c>
      <c r="J1049" s="4">
        <f t="shared" si="389"/>
        <v>1508832.1885815409</v>
      </c>
      <c r="K1049" s="1">
        <f t="shared" si="390"/>
        <v>1939.38</v>
      </c>
      <c r="L1049" s="5">
        <f t="shared" si="391"/>
        <v>0.18082191780821935</v>
      </c>
      <c r="M1049" s="5">
        <f t="shared" si="392"/>
        <v>-0.4755222755850797</v>
      </c>
      <c r="N1049" s="5">
        <f t="shared" si="393"/>
        <v>58.929462889819703</v>
      </c>
      <c r="O1049" s="1">
        <f t="shared" si="394"/>
        <v>0</v>
      </c>
      <c r="P1049" s="1">
        <f t="shared" si="395"/>
        <v>1939.38</v>
      </c>
      <c r="Q1049" s="5">
        <f t="shared" si="396"/>
        <v>0.18082191780821935</v>
      </c>
      <c r="R1049" s="5">
        <f t="shared" si="397"/>
        <v>-0.4755222755850797</v>
      </c>
      <c r="S1049" s="5">
        <f t="shared" si="403"/>
        <v>58.929462889819703</v>
      </c>
      <c r="T1049" s="5">
        <f t="shared" si="404"/>
        <v>-748.28021705439994</v>
      </c>
      <c r="U1049" s="4">
        <f t="shared" si="405"/>
        <v>1508856.5365858991</v>
      </c>
      <c r="V1049" s="4">
        <f t="shared" si="398"/>
        <v>24.348397261619027</v>
      </c>
      <c r="W1049" s="4">
        <f t="shared" si="406"/>
        <v>1464760.7853038055</v>
      </c>
      <c r="X1049" s="4">
        <f t="shared" si="410"/>
        <v>-1935.3637515718583</v>
      </c>
      <c r="Y1049" s="9">
        <f>SUM($X$6:X1049)</f>
        <v>464760.78530380549</v>
      </c>
      <c r="Z1049" s="16">
        <f t="shared" si="411"/>
        <v>0.46476078530380549</v>
      </c>
      <c r="AA1049" s="16">
        <f t="shared" si="407"/>
        <v>0.52541775640925248</v>
      </c>
      <c r="AB1049" s="16">
        <f t="shared" si="408"/>
        <v>-1.3195396693570958E-3</v>
      </c>
      <c r="AC1049" s="16">
        <f t="shared" si="409"/>
        <v>-1.8701644719988169E-3</v>
      </c>
    </row>
    <row r="1050" spans="1:29" x14ac:dyDescent="0.15">
      <c r="A1050" s="8">
        <v>42429</v>
      </c>
      <c r="B1050" s="4">
        <v>1932.23</v>
      </c>
      <c r="C1050" s="1">
        <v>18.788799999999998</v>
      </c>
      <c r="D1050" s="1">
        <v>2.39</v>
      </c>
      <c r="E1050" s="1">
        <v>0.6472</v>
      </c>
      <c r="F1050" s="4">
        <f t="shared" si="399"/>
        <v>0.18788799999999997</v>
      </c>
      <c r="G1050" s="4">
        <f t="shared" si="400"/>
        <v>2.3900000000000001E-2</v>
      </c>
      <c r="H1050" s="4">
        <f t="shared" si="401"/>
        <v>6.4720000000000003E-3</v>
      </c>
      <c r="I1050" s="3">
        <f t="shared" si="402"/>
        <v>76.276916577353731</v>
      </c>
      <c r="J1050" s="4">
        <f t="shared" si="389"/>
        <v>1508856.5365858991</v>
      </c>
      <c r="K1050" s="1">
        <f t="shared" si="390"/>
        <v>1939.38</v>
      </c>
      <c r="L1050" s="5">
        <f t="shared" si="391"/>
        <v>0.17260273972602758</v>
      </c>
      <c r="M1050" s="5">
        <f t="shared" si="392"/>
        <v>-0.51653823869562987</v>
      </c>
      <c r="N1050" s="5">
        <f t="shared" si="393"/>
        <v>66.801005311035681</v>
      </c>
      <c r="O1050" s="1">
        <f t="shared" si="394"/>
        <v>0</v>
      </c>
      <c r="P1050" s="1">
        <f t="shared" si="395"/>
        <v>1939.38</v>
      </c>
      <c r="Q1050" s="5">
        <f t="shared" si="396"/>
        <v>0.17260273972602758</v>
      </c>
      <c r="R1050" s="5">
        <f t="shared" si="397"/>
        <v>-0.51653823869562987</v>
      </c>
      <c r="S1050" s="5">
        <f t="shared" si="403"/>
        <v>66.801005311035681</v>
      </c>
      <c r="T1050" s="5">
        <f t="shared" si="404"/>
        <v>-748.28021705439994</v>
      </c>
      <c r="U1050" s="4">
        <f t="shared" si="405"/>
        <v>1508880.8849831608</v>
      </c>
      <c r="V1050" s="4">
        <f t="shared" si="398"/>
        <v>73.04637051411629</v>
      </c>
      <c r="W1050" s="4">
        <f t="shared" si="406"/>
        <v>1458895.0142295668</v>
      </c>
      <c r="X1050" s="4">
        <f t="shared" si="410"/>
        <v>-5865.7710742386989</v>
      </c>
      <c r="Y1050" s="9">
        <f>SUM($X$6:X1050)</f>
        <v>458895.01422956679</v>
      </c>
      <c r="Z1050" s="16">
        <f t="shared" si="411"/>
        <v>0.4588950142295668</v>
      </c>
      <c r="AA1050" s="16">
        <f t="shared" si="407"/>
        <v>0.51302992811614179</v>
      </c>
      <c r="AB1050" s="16">
        <f t="shared" si="408"/>
        <v>-4.0045931957565905E-3</v>
      </c>
      <c r="AC1050" s="16">
        <f t="shared" si="409"/>
        <v>-8.1209414542747545E-3</v>
      </c>
    </row>
    <row r="1051" spans="1:29" x14ac:dyDescent="0.15">
      <c r="A1051" s="8">
        <v>42430</v>
      </c>
      <c r="B1051" s="4">
        <v>1978.35</v>
      </c>
      <c r="C1051" s="1">
        <v>16.759599999999999</v>
      </c>
      <c r="D1051" s="1">
        <v>2.33</v>
      </c>
      <c r="E1051" s="1">
        <v>0.64559999999999995</v>
      </c>
      <c r="F1051" s="4">
        <f t="shared" si="399"/>
        <v>0.16759599999999999</v>
      </c>
      <c r="G1051" s="4">
        <f t="shared" si="400"/>
        <v>2.3300000000000001E-2</v>
      </c>
      <c r="H1051" s="4">
        <f t="shared" si="401"/>
        <v>6.4559999999999999E-3</v>
      </c>
      <c r="I1051" s="3">
        <f t="shared" si="402"/>
        <v>70.004506176118042</v>
      </c>
      <c r="J1051" s="4">
        <f t="shared" si="389"/>
        <v>1508880.8849831608</v>
      </c>
      <c r="K1051" s="1">
        <f t="shared" si="390"/>
        <v>1939.38</v>
      </c>
      <c r="L1051" s="5">
        <f t="shared" si="391"/>
        <v>0.16986301369863033</v>
      </c>
      <c r="M1051" s="5">
        <f t="shared" si="392"/>
        <v>-0.3877645858033571</v>
      </c>
      <c r="N1051" s="5">
        <f t="shared" si="393"/>
        <v>38.818970038112674</v>
      </c>
      <c r="O1051" s="1">
        <f t="shared" si="394"/>
        <v>0</v>
      </c>
      <c r="P1051" s="1">
        <f t="shared" si="395"/>
        <v>1939.38</v>
      </c>
      <c r="Q1051" s="5">
        <f t="shared" si="396"/>
        <v>0.16986301369863033</v>
      </c>
      <c r="R1051" s="5">
        <f t="shared" si="397"/>
        <v>-0.3877645858033571</v>
      </c>
      <c r="S1051" s="5">
        <f t="shared" si="403"/>
        <v>38.818970038112674</v>
      </c>
      <c r="T1051" s="5">
        <f t="shared" si="404"/>
        <v>-748.28021705439994</v>
      </c>
      <c r="U1051" s="4">
        <f t="shared" si="405"/>
        <v>1508953.931353675</v>
      </c>
      <c r="V1051" s="4">
        <f t="shared" si="398"/>
        <v>24.349968919652454</v>
      </c>
      <c r="W1051" s="4">
        <f t="shared" si="406"/>
        <v>1479906.4640277277</v>
      </c>
      <c r="X1051" s="4">
        <f t="shared" si="410"/>
        <v>21011.449798160931</v>
      </c>
      <c r="Y1051" s="9">
        <f>SUM($X$6:X1051)</f>
        <v>479906.46402772772</v>
      </c>
      <c r="Z1051" s="16">
        <f t="shared" si="411"/>
        <v>0.47990646402772774</v>
      </c>
      <c r="AA1051" s="16">
        <f t="shared" si="407"/>
        <v>0.54914412791881351</v>
      </c>
      <c r="AB1051" s="16">
        <f t="shared" si="408"/>
        <v>1.4402304205047232E-2</v>
      </c>
      <c r="AC1051" s="16">
        <f t="shared" si="409"/>
        <v>2.3868794087660315E-2</v>
      </c>
    </row>
    <row r="1052" spans="1:29" x14ac:dyDescent="0.15">
      <c r="A1052" s="8">
        <v>42431</v>
      </c>
      <c r="B1052" s="4">
        <v>1986.45</v>
      </c>
      <c r="C1052" s="1">
        <v>16.439399999999999</v>
      </c>
      <c r="D1052" s="1">
        <v>2.3199999999999998</v>
      </c>
      <c r="E1052" s="1">
        <v>0.64870000000000005</v>
      </c>
      <c r="F1052" s="4">
        <f t="shared" si="399"/>
        <v>0.16439399999999998</v>
      </c>
      <c r="G1052" s="4">
        <f t="shared" si="400"/>
        <v>2.3199999999999998E-2</v>
      </c>
      <c r="H1052" s="4">
        <f t="shared" si="401"/>
        <v>6.4870000000000006E-3</v>
      </c>
      <c r="I1052" s="3">
        <f t="shared" si="402"/>
        <v>68.998460065116149</v>
      </c>
      <c r="J1052" s="4">
        <f t="shared" ref="J1052:J1115" si="412">U1051</f>
        <v>1508953.931353675</v>
      </c>
      <c r="K1052" s="1">
        <f t="shared" ref="K1052:K1115" si="413">P1051</f>
        <v>1939.38</v>
      </c>
      <c r="L1052" s="5">
        <f t="shared" ref="L1052:L1115" si="414">Q1051-(A1052-A1051)/365</f>
        <v>0.16712328767123308</v>
      </c>
      <c r="M1052" s="5">
        <f t="shared" ref="M1052:M1115" si="415">BSM_Put(B1052,K1052,F1052,H1052,G1052,L1052,$G$3)</f>
        <v>-0.3621865313419283</v>
      </c>
      <c r="N1052" s="5">
        <f t="shared" ref="N1052:N1115" si="416">BSM_Put(B1052,K1052,F1052,H1052,G1052,L1052,$F$3)</f>
        <v>34.330566689839081</v>
      </c>
      <c r="O1052" s="1">
        <f t="shared" ref="O1052:O1115" si="417">IF(OR(M1052&gt;-0.05,L1052&lt;=0.00001),1,0)</f>
        <v>0</v>
      </c>
      <c r="P1052" s="1">
        <f t="shared" ref="P1052:P1115" si="418">IF(O1052,B1052,K1052)</f>
        <v>1939.38</v>
      </c>
      <c r="Q1052" s="5">
        <f t="shared" ref="Q1052:Q1115" si="419">IF(O1052,$B$3,L1052)</f>
        <v>0.16712328767123308</v>
      </c>
      <c r="R1052" s="5">
        <f t="shared" ref="R1052:R1115" si="420">IF(O1052,BSM_Put(B1052,P1052,F1052,H1052,G1052,Q1052,$G$3),M1052)</f>
        <v>-0.3621865313419283</v>
      </c>
      <c r="S1052" s="5">
        <f t="shared" si="403"/>
        <v>34.330566689839081</v>
      </c>
      <c r="T1052" s="5">
        <f t="shared" si="404"/>
        <v>-748.28021705439994</v>
      </c>
      <c r="U1052" s="4">
        <f t="shared" si="405"/>
        <v>1508978.2813225947</v>
      </c>
      <c r="V1052" s="4">
        <f t="shared" ref="V1052:V1115" si="421">U1052*$H$6*(A1052-A1051)/365</f>
        <v>24.350361854767346</v>
      </c>
      <c r="W1052" s="4">
        <f t="shared" si="406"/>
        <v>1483289.3974283214</v>
      </c>
      <c r="X1052" s="4">
        <f t="shared" si="410"/>
        <v>3382.933400593698</v>
      </c>
      <c r="Y1052" s="9">
        <f>SUM($X$6:X1052)</f>
        <v>483289.39742832142</v>
      </c>
      <c r="Z1052" s="16">
        <f t="shared" si="411"/>
        <v>0.48328939742832144</v>
      </c>
      <c r="AA1052" s="16">
        <f t="shared" si="407"/>
        <v>0.5554868212926567</v>
      </c>
      <c r="AB1052" s="16">
        <f t="shared" si="408"/>
        <v>2.2859102806988721E-3</v>
      </c>
      <c r="AC1052" s="16">
        <f t="shared" si="409"/>
        <v>4.0943210250967404E-3</v>
      </c>
    </row>
    <row r="1053" spans="1:29" x14ac:dyDescent="0.15">
      <c r="A1053" s="8">
        <v>42432</v>
      </c>
      <c r="B1053" s="4">
        <v>1993.4</v>
      </c>
      <c r="C1053" s="1">
        <v>16.145499999999998</v>
      </c>
      <c r="D1053" s="1">
        <v>2.31</v>
      </c>
      <c r="E1053" s="1">
        <v>0.64970000000000006</v>
      </c>
      <c r="F1053" s="4">
        <f t="shared" si="399"/>
        <v>0.16145499999999999</v>
      </c>
      <c r="G1053" s="4">
        <f t="shared" si="400"/>
        <v>2.3099999999999999E-2</v>
      </c>
      <c r="H1053" s="4">
        <f t="shared" si="401"/>
        <v>6.4970000000000002E-3</v>
      </c>
      <c r="I1053" s="3">
        <f t="shared" si="402"/>
        <v>68.052050815767259</v>
      </c>
      <c r="J1053" s="4">
        <f t="shared" si="412"/>
        <v>1508978.2813225947</v>
      </c>
      <c r="K1053" s="1">
        <f t="shared" si="413"/>
        <v>1939.38</v>
      </c>
      <c r="L1053" s="5">
        <f t="shared" si="414"/>
        <v>0.16438356164383583</v>
      </c>
      <c r="M1053" s="5">
        <f t="shared" si="415"/>
        <v>-0.33934420853299313</v>
      </c>
      <c r="N1053" s="5">
        <f t="shared" si="416"/>
        <v>30.564612953951659</v>
      </c>
      <c r="O1053" s="1">
        <f t="shared" si="417"/>
        <v>0</v>
      </c>
      <c r="P1053" s="1">
        <f t="shared" si="418"/>
        <v>1939.38</v>
      </c>
      <c r="Q1053" s="5">
        <f t="shared" si="419"/>
        <v>0.16438356164383583</v>
      </c>
      <c r="R1053" s="5">
        <f t="shared" si="420"/>
        <v>-0.33934420853299313</v>
      </c>
      <c r="S1053" s="5">
        <f t="shared" si="403"/>
        <v>30.564612953951659</v>
      </c>
      <c r="T1053" s="5">
        <f t="shared" si="404"/>
        <v>-748.28021705439994</v>
      </c>
      <c r="U1053" s="4">
        <f t="shared" si="405"/>
        <v>1509002.6316844495</v>
      </c>
      <c r="V1053" s="4">
        <f t="shared" si="421"/>
        <v>24.350754796223033</v>
      </c>
      <c r="W1053" s="4">
        <f t="shared" si="406"/>
        <v>1486131.7364690828</v>
      </c>
      <c r="X1053" s="4">
        <f t="shared" si="410"/>
        <v>2842.3390407613479</v>
      </c>
      <c r="Y1053" s="9">
        <f>SUM($X$6:X1053)</f>
        <v>486131.73646908277</v>
      </c>
      <c r="Z1053" s="16">
        <f t="shared" si="411"/>
        <v>0.48613173646908275</v>
      </c>
      <c r="AA1053" s="16">
        <f t="shared" si="407"/>
        <v>0.56092900881712693</v>
      </c>
      <c r="AB1053" s="16">
        <f t="shared" si="408"/>
        <v>1.9162403814719515E-3</v>
      </c>
      <c r="AC1053" s="16">
        <f t="shared" si="409"/>
        <v>3.4987037176873546E-3</v>
      </c>
    </row>
    <row r="1054" spans="1:29" x14ac:dyDescent="0.15">
      <c r="A1054" s="8">
        <v>42433</v>
      </c>
      <c r="B1054" s="4">
        <v>1999.99</v>
      </c>
      <c r="C1054" s="1">
        <v>16.153199999999998</v>
      </c>
      <c r="D1054" s="1">
        <v>2.31</v>
      </c>
      <c r="E1054" s="1">
        <v>0.64759999999999995</v>
      </c>
      <c r="F1054" s="4">
        <f t="shared" si="399"/>
        <v>0.16153199999999998</v>
      </c>
      <c r="G1054" s="4">
        <f t="shared" si="400"/>
        <v>2.3099999999999999E-2</v>
      </c>
      <c r="H1054" s="4">
        <f t="shared" si="401"/>
        <v>6.4759999999999991E-3</v>
      </c>
      <c r="I1054" s="3">
        <f t="shared" si="402"/>
        <v>68.313131985390882</v>
      </c>
      <c r="J1054" s="4">
        <f t="shared" si="412"/>
        <v>1509002.6316844495</v>
      </c>
      <c r="K1054" s="1">
        <f t="shared" si="413"/>
        <v>1939.38</v>
      </c>
      <c r="L1054" s="5">
        <f t="shared" si="414"/>
        <v>0.16164383561643858</v>
      </c>
      <c r="M1054" s="5">
        <f t="shared" si="415"/>
        <v>-0.31978797566822248</v>
      </c>
      <c r="N1054" s="5">
        <f t="shared" si="416"/>
        <v>27.993179345830168</v>
      </c>
      <c r="O1054" s="1">
        <f t="shared" si="417"/>
        <v>0</v>
      </c>
      <c r="P1054" s="1">
        <f t="shared" si="418"/>
        <v>1939.38</v>
      </c>
      <c r="Q1054" s="5">
        <f t="shared" si="419"/>
        <v>0.16164383561643858</v>
      </c>
      <c r="R1054" s="5">
        <f t="shared" si="420"/>
        <v>-0.31978797566822248</v>
      </c>
      <c r="S1054" s="5">
        <f t="shared" si="403"/>
        <v>27.993179345830168</v>
      </c>
      <c r="T1054" s="5">
        <f t="shared" si="404"/>
        <v>-748.28021705439994</v>
      </c>
      <c r="U1054" s="4">
        <f t="shared" si="405"/>
        <v>1509026.9824392458</v>
      </c>
      <c r="V1054" s="4">
        <f t="shared" si="421"/>
        <v>24.35114774401961</v>
      </c>
      <c r="W1054" s="4">
        <f t="shared" si="406"/>
        <v>1488080.2401223052</v>
      </c>
      <c r="X1054" s="4">
        <f t="shared" si="410"/>
        <v>1948.5036532224622</v>
      </c>
      <c r="Y1054" s="9">
        <f>SUM($X$6:X1054)</f>
        <v>488080.24012230523</v>
      </c>
      <c r="Z1054" s="16">
        <f t="shared" si="411"/>
        <v>0.48808024012230522</v>
      </c>
      <c r="AA1054" s="16">
        <f t="shared" si="407"/>
        <v>0.56608929885831527</v>
      </c>
      <c r="AB1054" s="16">
        <f t="shared" si="408"/>
        <v>1.3111244483964349E-3</v>
      </c>
      <c r="AC1054" s="16">
        <f t="shared" si="409"/>
        <v>3.3059095013544286E-3</v>
      </c>
    </row>
    <row r="1055" spans="1:29" x14ac:dyDescent="0.15">
      <c r="A1055" s="8">
        <v>42436</v>
      </c>
      <c r="B1055" s="4">
        <v>2001.76</v>
      </c>
      <c r="C1055" s="1">
        <v>16.4009</v>
      </c>
      <c r="D1055" s="1">
        <v>2.31</v>
      </c>
      <c r="E1055" s="1">
        <v>0.6502</v>
      </c>
      <c r="F1055" s="4">
        <f t="shared" si="399"/>
        <v>0.16400899999999999</v>
      </c>
      <c r="G1055" s="4">
        <f t="shared" si="400"/>
        <v>2.3099999999999999E-2</v>
      </c>
      <c r="H1055" s="4">
        <f t="shared" si="401"/>
        <v>6.502E-3</v>
      </c>
      <c r="I1055" s="3">
        <f t="shared" si="402"/>
        <v>69.348608781290793</v>
      </c>
      <c r="J1055" s="4">
        <f t="shared" si="412"/>
        <v>1509026.9824392458</v>
      </c>
      <c r="K1055" s="1">
        <f t="shared" si="413"/>
        <v>1939.38</v>
      </c>
      <c r="L1055" s="5">
        <f t="shared" si="414"/>
        <v>0.15342465753424681</v>
      </c>
      <c r="M1055" s="5">
        <f t="shared" si="415"/>
        <v>-0.31262719501868069</v>
      </c>
      <c r="N1055" s="5">
        <f t="shared" si="416"/>
        <v>26.846815655414677</v>
      </c>
      <c r="O1055" s="1">
        <f t="shared" si="417"/>
        <v>0</v>
      </c>
      <c r="P1055" s="1">
        <f t="shared" si="418"/>
        <v>1939.38</v>
      </c>
      <c r="Q1055" s="5">
        <f t="shared" si="419"/>
        <v>0.15342465753424681</v>
      </c>
      <c r="R1055" s="5">
        <f t="shared" si="420"/>
        <v>-0.31262719501868069</v>
      </c>
      <c r="S1055" s="5">
        <f t="shared" si="403"/>
        <v>26.846815655414677</v>
      </c>
      <c r="T1055" s="5">
        <f t="shared" si="404"/>
        <v>-748.28021705439994</v>
      </c>
      <c r="U1055" s="4">
        <f t="shared" si="405"/>
        <v>1509051.3335869899</v>
      </c>
      <c r="V1055" s="4">
        <f t="shared" si="421"/>
        <v>73.054622094471526</v>
      </c>
      <c r="W1055" s="4">
        <f t="shared" si="406"/>
        <v>1488962.3925411368</v>
      </c>
      <c r="X1055" s="4">
        <f t="shared" si="410"/>
        <v>882.15241883159615</v>
      </c>
      <c r="Y1055" s="9">
        <f>SUM($X$6:X1055)</f>
        <v>488962.39254113683</v>
      </c>
      <c r="Z1055" s="16">
        <f t="shared" si="411"/>
        <v>0.48896239254113683</v>
      </c>
      <c r="AA1055" s="16">
        <f t="shared" si="407"/>
        <v>0.56747529481778469</v>
      </c>
      <c r="AB1055" s="16">
        <f t="shared" si="408"/>
        <v>5.9281240019630401E-4</v>
      </c>
      <c r="AC1055" s="16">
        <f t="shared" si="409"/>
        <v>8.8500442502211603E-4</v>
      </c>
    </row>
    <row r="1056" spans="1:29" x14ac:dyDescent="0.15">
      <c r="A1056" s="8">
        <v>42437</v>
      </c>
      <c r="B1056" s="4">
        <v>1979.26</v>
      </c>
      <c r="C1056" s="1">
        <v>17.465199999999999</v>
      </c>
      <c r="D1056" s="1">
        <v>2.33</v>
      </c>
      <c r="E1056" s="1">
        <v>0.64929999999999999</v>
      </c>
      <c r="F1056" s="4">
        <f t="shared" si="399"/>
        <v>0.174652</v>
      </c>
      <c r="G1056" s="4">
        <f t="shared" si="400"/>
        <v>2.3300000000000001E-2</v>
      </c>
      <c r="H1056" s="4">
        <f t="shared" si="401"/>
        <v>6.4929999999999996E-3</v>
      </c>
      <c r="I1056" s="3">
        <f t="shared" si="402"/>
        <v>72.792681326729266</v>
      </c>
      <c r="J1056" s="4">
        <f t="shared" si="412"/>
        <v>1509051.3335869899</v>
      </c>
      <c r="K1056" s="1">
        <f t="shared" si="413"/>
        <v>1939.38</v>
      </c>
      <c r="L1056" s="5">
        <f t="shared" si="414"/>
        <v>0.15068493150684956</v>
      </c>
      <c r="M1056" s="5">
        <f t="shared" si="415"/>
        <v>-0.38197582930440332</v>
      </c>
      <c r="N1056" s="5">
        <f t="shared" si="416"/>
        <v>37.2596119541588</v>
      </c>
      <c r="O1056" s="1">
        <f t="shared" si="417"/>
        <v>0</v>
      </c>
      <c r="P1056" s="1">
        <f t="shared" si="418"/>
        <v>1939.38</v>
      </c>
      <c r="Q1056" s="5">
        <f t="shared" si="419"/>
        <v>0.15068493150684956</v>
      </c>
      <c r="R1056" s="5">
        <f t="shared" si="420"/>
        <v>-0.38197582930440332</v>
      </c>
      <c r="S1056" s="5">
        <f t="shared" si="403"/>
        <v>37.2596119541588</v>
      </c>
      <c r="T1056" s="5">
        <f t="shared" si="404"/>
        <v>-748.28021705439994</v>
      </c>
      <c r="U1056" s="4">
        <f t="shared" si="405"/>
        <v>1509124.3882090843</v>
      </c>
      <c r="V1056" s="4">
        <f t="shared" si="421"/>
        <v>24.352719579593167</v>
      </c>
      <c r="W1056" s="4">
        <f t="shared" si="406"/>
        <v>1481243.7576886637</v>
      </c>
      <c r="X1056" s="4">
        <f t="shared" si="410"/>
        <v>-7718.6348524731584</v>
      </c>
      <c r="Y1056" s="9">
        <f>SUM($X$6:X1056)</f>
        <v>481243.75768866367</v>
      </c>
      <c r="Z1056" s="16">
        <f t="shared" si="411"/>
        <v>0.48124375768866368</v>
      </c>
      <c r="AA1056" s="16">
        <f t="shared" si="407"/>
        <v>0.54985670211266513</v>
      </c>
      <c r="AB1056" s="16">
        <f t="shared" si="408"/>
        <v>-5.1839018172246476E-3</v>
      </c>
      <c r="AC1056" s="16">
        <f t="shared" si="409"/>
        <v>-1.124010870434018E-2</v>
      </c>
    </row>
    <row r="1057" spans="1:29" x14ac:dyDescent="0.15">
      <c r="A1057" s="8">
        <v>42438</v>
      </c>
      <c r="B1057" s="4">
        <v>1989.26</v>
      </c>
      <c r="C1057" s="1">
        <v>17.080100000000002</v>
      </c>
      <c r="D1057" s="1">
        <v>2.3199999999999998</v>
      </c>
      <c r="E1057" s="1">
        <v>0.64839999999999998</v>
      </c>
      <c r="F1057" s="4">
        <f t="shared" si="399"/>
        <v>0.17080100000000001</v>
      </c>
      <c r="G1057" s="4">
        <f t="shared" si="400"/>
        <v>2.3199999999999998E-2</v>
      </c>
      <c r="H1057" s="4">
        <f t="shared" si="401"/>
        <v>6.4840000000000002E-3</v>
      </c>
      <c r="I1057" s="3">
        <f t="shared" si="402"/>
        <v>71.620949840681249</v>
      </c>
      <c r="J1057" s="4">
        <f t="shared" si="412"/>
        <v>1509124.3882090843</v>
      </c>
      <c r="K1057" s="1">
        <f t="shared" si="413"/>
        <v>1939.38</v>
      </c>
      <c r="L1057" s="5">
        <f t="shared" si="414"/>
        <v>0.14794520547945231</v>
      </c>
      <c r="M1057" s="5">
        <f t="shared" si="415"/>
        <v>-0.35012093166812419</v>
      </c>
      <c r="N1057" s="5">
        <f t="shared" si="416"/>
        <v>31.991698223015156</v>
      </c>
      <c r="O1057" s="1">
        <f t="shared" si="417"/>
        <v>0</v>
      </c>
      <c r="P1057" s="1">
        <f t="shared" si="418"/>
        <v>1939.38</v>
      </c>
      <c r="Q1057" s="5">
        <f t="shared" si="419"/>
        <v>0.14794520547945231</v>
      </c>
      <c r="R1057" s="5">
        <f t="shared" si="420"/>
        <v>-0.35012093166812419</v>
      </c>
      <c r="S1057" s="5">
        <f t="shared" si="403"/>
        <v>31.991698223015156</v>
      </c>
      <c r="T1057" s="5">
        <f t="shared" si="404"/>
        <v>-748.28021705439994</v>
      </c>
      <c r="U1057" s="4">
        <f t="shared" si="405"/>
        <v>1509148.7409286639</v>
      </c>
      <c r="V1057" s="4">
        <f t="shared" si="421"/>
        <v>24.353112559095422</v>
      </c>
      <c r="W1057" s="4">
        <f t="shared" si="406"/>
        <v>1485209.9860384073</v>
      </c>
      <c r="X1057" s="4">
        <f t="shared" si="410"/>
        <v>3966.2283497436438</v>
      </c>
      <c r="Y1057" s="9">
        <f>SUM($X$6:X1057)</f>
        <v>485209.98603840731</v>
      </c>
      <c r="Z1057" s="16">
        <f t="shared" si="411"/>
        <v>0.48520998603840731</v>
      </c>
      <c r="AA1057" s="16">
        <f t="shared" si="407"/>
        <v>0.55768718775938486</v>
      </c>
      <c r="AB1057" s="16">
        <f t="shared" si="408"/>
        <v>2.6776337987290872E-3</v>
      </c>
      <c r="AC1057" s="16">
        <f t="shared" si="409"/>
        <v>5.0523933187150757E-3</v>
      </c>
    </row>
    <row r="1058" spans="1:29" x14ac:dyDescent="0.15">
      <c r="A1058" s="8">
        <v>42439</v>
      </c>
      <c r="B1058" s="4">
        <v>1989.57</v>
      </c>
      <c r="C1058" s="1">
        <v>17.099599999999999</v>
      </c>
      <c r="D1058" s="1">
        <v>2.3199999999999998</v>
      </c>
      <c r="E1058" s="1">
        <v>0.64639999999999997</v>
      </c>
      <c r="F1058" s="4">
        <f t="shared" si="399"/>
        <v>0.17099599999999998</v>
      </c>
      <c r="G1058" s="4">
        <f t="shared" si="400"/>
        <v>2.3199999999999998E-2</v>
      </c>
      <c r="H1058" s="4">
        <f t="shared" si="401"/>
        <v>6.4640000000000001E-3</v>
      </c>
      <c r="I1058" s="3">
        <f t="shared" si="402"/>
        <v>71.714259274405947</v>
      </c>
      <c r="J1058" s="4">
        <f t="shared" si="412"/>
        <v>1509148.7409286639</v>
      </c>
      <c r="K1058" s="1">
        <f t="shared" si="413"/>
        <v>1939.38</v>
      </c>
      <c r="L1058" s="5">
        <f t="shared" si="414"/>
        <v>0.14520547945205506</v>
      </c>
      <c r="M1058" s="5">
        <f t="shared" si="415"/>
        <v>-0.34805473228566641</v>
      </c>
      <c r="N1058" s="5">
        <f t="shared" si="416"/>
        <v>31.459994432656131</v>
      </c>
      <c r="O1058" s="1">
        <f t="shared" si="417"/>
        <v>0</v>
      </c>
      <c r="P1058" s="1">
        <f t="shared" si="418"/>
        <v>1939.38</v>
      </c>
      <c r="Q1058" s="5">
        <f t="shared" si="419"/>
        <v>0.14520547945205506</v>
      </c>
      <c r="R1058" s="5">
        <f t="shared" si="420"/>
        <v>-0.34805473228566641</v>
      </c>
      <c r="S1058" s="5">
        <f t="shared" si="403"/>
        <v>31.459994432656131</v>
      </c>
      <c r="T1058" s="5">
        <f t="shared" si="404"/>
        <v>-748.28021705439994</v>
      </c>
      <c r="U1058" s="4">
        <f t="shared" si="405"/>
        <v>1509173.0940412229</v>
      </c>
      <c r="V1058" s="4">
        <f t="shared" si="421"/>
        <v>24.353505544939182</v>
      </c>
      <c r="W1058" s="4">
        <f t="shared" si="406"/>
        <v>1485632.2025786247</v>
      </c>
      <c r="X1058" s="4">
        <f t="shared" si="410"/>
        <v>422.2165402173996</v>
      </c>
      <c r="Y1058" s="9">
        <f>SUM($X$6:X1058)</f>
        <v>485632.20257862471</v>
      </c>
      <c r="Z1058" s="16">
        <f t="shared" si="411"/>
        <v>0.48563220257862472</v>
      </c>
      <c r="AA1058" s="16">
        <f t="shared" si="407"/>
        <v>0.55792993281443315</v>
      </c>
      <c r="AB1058" s="16">
        <f t="shared" si="408"/>
        <v>2.8428070386437676E-4</v>
      </c>
      <c r="AC1058" s="16">
        <f t="shared" si="409"/>
        <v>1.5583684385145504E-4</v>
      </c>
    </row>
    <row r="1059" spans="1:29" x14ac:dyDescent="0.15">
      <c r="A1059" s="8">
        <v>42440</v>
      </c>
      <c r="B1059" s="4">
        <v>2022.19</v>
      </c>
      <c r="C1059" s="1">
        <v>15.947900000000001</v>
      </c>
      <c r="D1059" s="1">
        <v>2.2800000000000002</v>
      </c>
      <c r="E1059" s="1">
        <v>0.64790000000000003</v>
      </c>
      <c r="F1059" s="4">
        <f t="shared" si="399"/>
        <v>0.15947900000000001</v>
      </c>
      <c r="G1059" s="4">
        <f t="shared" si="400"/>
        <v>2.2800000000000001E-2</v>
      </c>
      <c r="H1059" s="4">
        <f t="shared" si="401"/>
        <v>6.4790000000000004E-3</v>
      </c>
      <c r="I1059" s="3">
        <f t="shared" si="402"/>
        <v>68.172527579011572</v>
      </c>
      <c r="J1059" s="4">
        <f t="shared" si="412"/>
        <v>1509173.0940412229</v>
      </c>
      <c r="K1059" s="1">
        <f t="shared" si="413"/>
        <v>1939.38</v>
      </c>
      <c r="L1059" s="5">
        <f t="shared" si="414"/>
        <v>0.14246575342465781</v>
      </c>
      <c r="M1059" s="5">
        <f t="shared" si="415"/>
        <v>-0.24552808799150863</v>
      </c>
      <c r="N1059" s="5">
        <f t="shared" si="416"/>
        <v>18.295030126752273</v>
      </c>
      <c r="O1059" s="1">
        <f t="shared" si="417"/>
        <v>0</v>
      </c>
      <c r="P1059" s="1">
        <f t="shared" si="418"/>
        <v>1939.38</v>
      </c>
      <c r="Q1059" s="5">
        <f t="shared" si="419"/>
        <v>0.14246575342465781</v>
      </c>
      <c r="R1059" s="5">
        <f t="shared" si="420"/>
        <v>-0.24552808799150863</v>
      </c>
      <c r="S1059" s="5">
        <f t="shared" si="403"/>
        <v>18.295030126752273</v>
      </c>
      <c r="T1059" s="5">
        <f t="shared" si="404"/>
        <v>-748.28021705439994</v>
      </c>
      <c r="U1059" s="4">
        <f t="shared" si="405"/>
        <v>1509197.4475467678</v>
      </c>
      <c r="V1059" s="4">
        <f t="shared" si="421"/>
        <v>24.35389853712455</v>
      </c>
      <c r="W1059" s="4">
        <f t="shared" si="406"/>
        <v>1495507.6384325048</v>
      </c>
      <c r="X1059" s="4">
        <f t="shared" si="410"/>
        <v>9875.4358538801316</v>
      </c>
      <c r="Y1059" s="9">
        <f>SUM($X$6:X1059)</f>
        <v>495507.63843250484</v>
      </c>
      <c r="Z1059" s="16">
        <f t="shared" si="411"/>
        <v>0.49550763843250484</v>
      </c>
      <c r="AA1059" s="16">
        <f t="shared" si="407"/>
        <v>0.58347297699403333</v>
      </c>
      <c r="AB1059" s="16">
        <f t="shared" si="408"/>
        <v>6.6472952300974976E-3</v>
      </c>
      <c r="AC1059" s="16">
        <f t="shared" si="409"/>
        <v>1.6395502545776285E-2</v>
      </c>
    </row>
    <row r="1060" spans="1:29" x14ac:dyDescent="0.15">
      <c r="A1060" s="8">
        <v>42443</v>
      </c>
      <c r="B1060" s="4">
        <v>2019.64</v>
      </c>
      <c r="C1060" s="1">
        <v>15.898300000000001</v>
      </c>
      <c r="D1060" s="1">
        <v>2.2800000000000002</v>
      </c>
      <c r="E1060" s="1">
        <v>0.65380000000000005</v>
      </c>
      <c r="F1060" s="4">
        <f t="shared" si="399"/>
        <v>0.15898300000000001</v>
      </c>
      <c r="G1060" s="4">
        <f t="shared" si="400"/>
        <v>2.2800000000000001E-2</v>
      </c>
      <c r="H1060" s="4">
        <f t="shared" si="401"/>
        <v>6.5380000000000004E-3</v>
      </c>
      <c r="I1060" s="3">
        <f t="shared" si="402"/>
        <v>67.872257270405072</v>
      </c>
      <c r="J1060" s="4">
        <f t="shared" si="412"/>
        <v>1509197.4475467678</v>
      </c>
      <c r="K1060" s="1">
        <f t="shared" si="413"/>
        <v>1939.38</v>
      </c>
      <c r="L1060" s="5">
        <f t="shared" si="414"/>
        <v>0.13424657534246603</v>
      </c>
      <c r="M1060" s="5">
        <f t="shared" si="415"/>
        <v>-0.24504106128312911</v>
      </c>
      <c r="N1060" s="5">
        <f t="shared" si="416"/>
        <v>17.616951737714988</v>
      </c>
      <c r="O1060" s="1">
        <f t="shared" si="417"/>
        <v>0</v>
      </c>
      <c r="P1060" s="1">
        <f t="shared" si="418"/>
        <v>1939.38</v>
      </c>
      <c r="Q1060" s="5">
        <f t="shared" si="419"/>
        <v>0.13424657534246603</v>
      </c>
      <c r="R1060" s="5">
        <f t="shared" si="420"/>
        <v>-0.24504106128312911</v>
      </c>
      <c r="S1060" s="5">
        <f t="shared" si="403"/>
        <v>17.616951737714988</v>
      </c>
      <c r="T1060" s="5">
        <f t="shared" si="404"/>
        <v>-748.28021705439994</v>
      </c>
      <c r="U1060" s="4">
        <f t="shared" si="405"/>
        <v>1509221.8014453049</v>
      </c>
      <c r="V1060" s="4">
        <f t="shared" si="421"/>
        <v>73.062874606954892</v>
      </c>
      <c r="W1060" s="4">
        <f t="shared" si="406"/>
        <v>1496039.3849751707</v>
      </c>
      <c r="X1060" s="4">
        <f t="shared" si="410"/>
        <v>531.74654266587459</v>
      </c>
      <c r="Y1060" s="9">
        <f>SUM($X$6:X1060)</f>
        <v>496039.38497517072</v>
      </c>
      <c r="Z1060" s="16">
        <f t="shared" si="411"/>
        <v>0.49603938497517069</v>
      </c>
      <c r="AA1060" s="16">
        <f t="shared" si="407"/>
        <v>0.58147620315411974</v>
      </c>
      <c r="AB1060" s="16">
        <f t="shared" si="408"/>
        <v>3.5556257220004388E-4</v>
      </c>
      <c r="AC1060" s="16">
        <f t="shared" si="409"/>
        <v>-1.261009103991195E-3</v>
      </c>
    </row>
    <row r="1061" spans="1:29" x14ac:dyDescent="0.15">
      <c r="A1061" s="8">
        <v>42444</v>
      </c>
      <c r="B1061" s="4">
        <v>2015.93</v>
      </c>
      <c r="C1061" s="1">
        <v>15.950200000000001</v>
      </c>
      <c r="D1061" s="1">
        <v>2.29</v>
      </c>
      <c r="E1061" s="1">
        <v>0.65620000000000001</v>
      </c>
      <c r="F1061" s="4">
        <f t="shared" si="399"/>
        <v>0.159502</v>
      </c>
      <c r="G1061" s="4">
        <f t="shared" si="400"/>
        <v>2.29E-2</v>
      </c>
      <c r="H1061" s="4">
        <f t="shared" si="401"/>
        <v>6.5620000000000001E-3</v>
      </c>
      <c r="I1061" s="3">
        <f t="shared" si="402"/>
        <v>67.973551762756188</v>
      </c>
      <c r="J1061" s="4">
        <f t="shared" si="412"/>
        <v>1509221.8014453049</v>
      </c>
      <c r="K1061" s="1">
        <f t="shared" si="413"/>
        <v>1939.38</v>
      </c>
      <c r="L1061" s="5">
        <f t="shared" si="414"/>
        <v>0.13150684931506879</v>
      </c>
      <c r="M1061" s="5">
        <f t="shared" si="415"/>
        <v>-0.25352344591364617</v>
      </c>
      <c r="N1061" s="5">
        <f t="shared" si="416"/>
        <v>18.262963982100207</v>
      </c>
      <c r="O1061" s="1">
        <f t="shared" si="417"/>
        <v>0</v>
      </c>
      <c r="P1061" s="1">
        <f t="shared" si="418"/>
        <v>1939.38</v>
      </c>
      <c r="Q1061" s="5">
        <f t="shared" si="419"/>
        <v>0.13150684931506879</v>
      </c>
      <c r="R1061" s="5">
        <f t="shared" si="420"/>
        <v>-0.25352344591364617</v>
      </c>
      <c r="S1061" s="5">
        <f t="shared" si="403"/>
        <v>18.262963982100207</v>
      </c>
      <c r="T1061" s="5">
        <f t="shared" si="404"/>
        <v>-748.28021705439994</v>
      </c>
      <c r="U1061" s="4">
        <f t="shared" si="405"/>
        <v>1509294.8643199119</v>
      </c>
      <c r="V1061" s="4">
        <f t="shared" si="421"/>
        <v>24.355470550258303</v>
      </c>
      <c r="W1061" s="4">
        <f t="shared" si="406"/>
        <v>1495629.0496673293</v>
      </c>
      <c r="X1061" s="4">
        <f t="shared" si="410"/>
        <v>-410.33530784142204</v>
      </c>
      <c r="Y1061" s="9">
        <f>SUM($X$6:X1061)</f>
        <v>495629.04966732929</v>
      </c>
      <c r="Z1061" s="16">
        <f t="shared" si="411"/>
        <v>0.49562904966732929</v>
      </c>
      <c r="AA1061" s="16">
        <f t="shared" si="407"/>
        <v>0.57857109297918674</v>
      </c>
      <c r="AB1061" s="16">
        <f t="shared" si="408"/>
        <v>-2.7428108642222156E-4</v>
      </c>
      <c r="AC1061" s="16">
        <f t="shared" si="409"/>
        <v>-1.8369610425620587E-3</v>
      </c>
    </row>
    <row r="1062" spans="1:29" x14ac:dyDescent="0.15">
      <c r="A1062" s="8">
        <v>42445</v>
      </c>
      <c r="B1062" s="4">
        <v>2027.22</v>
      </c>
      <c r="C1062" s="1">
        <v>15.2661</v>
      </c>
      <c r="D1062" s="1">
        <v>2.27</v>
      </c>
      <c r="E1062" s="1">
        <v>0.65290000000000004</v>
      </c>
      <c r="F1062" s="4">
        <f t="shared" si="399"/>
        <v>0.15266099999999999</v>
      </c>
      <c r="G1062" s="4">
        <f t="shared" si="400"/>
        <v>2.2700000000000001E-2</v>
      </c>
      <c r="H1062" s="4">
        <f t="shared" si="401"/>
        <v>6.5290000000000001E-3</v>
      </c>
      <c r="I1062" s="3">
        <f t="shared" si="402"/>
        <v>65.56575915448208</v>
      </c>
      <c r="J1062" s="4">
        <f t="shared" si="412"/>
        <v>1509294.8643199119</v>
      </c>
      <c r="K1062" s="1">
        <f t="shared" si="413"/>
        <v>1939.38</v>
      </c>
      <c r="L1062" s="5">
        <f t="shared" si="414"/>
        <v>0.12876712328767154</v>
      </c>
      <c r="M1062" s="5">
        <f t="shared" si="415"/>
        <v>-0.21181546743352292</v>
      </c>
      <c r="N1062" s="5">
        <f t="shared" si="416"/>
        <v>13.718195620877607</v>
      </c>
      <c r="O1062" s="1">
        <f t="shared" si="417"/>
        <v>0</v>
      </c>
      <c r="P1062" s="1">
        <f t="shared" si="418"/>
        <v>1939.38</v>
      </c>
      <c r="Q1062" s="5">
        <f t="shared" si="419"/>
        <v>0.12876712328767154</v>
      </c>
      <c r="R1062" s="5">
        <f t="shared" si="420"/>
        <v>-0.21181546743352292</v>
      </c>
      <c r="S1062" s="5">
        <f t="shared" si="403"/>
        <v>13.718195620877607</v>
      </c>
      <c r="T1062" s="5">
        <f t="shared" si="404"/>
        <v>-748.28021705439994</v>
      </c>
      <c r="U1062" s="4">
        <f t="shared" si="405"/>
        <v>1509319.2197904622</v>
      </c>
      <c r="V1062" s="4">
        <f t="shared" si="421"/>
        <v>24.355863574152934</v>
      </c>
      <c r="W1062" s="4">
        <f t="shared" si="406"/>
        <v>1499054.1653936771</v>
      </c>
      <c r="X1062" s="4">
        <f t="shared" si="410"/>
        <v>3425.1157263477799</v>
      </c>
      <c r="Y1062" s="9">
        <f>SUM($X$6:X1062)</f>
        <v>499054.16539367707</v>
      </c>
      <c r="Z1062" s="16">
        <f t="shared" si="411"/>
        <v>0.49905416539367708</v>
      </c>
      <c r="AA1062" s="16">
        <f t="shared" si="407"/>
        <v>0.58741171127433334</v>
      </c>
      <c r="AB1062" s="16">
        <f t="shared" si="408"/>
        <v>2.2900837123413882E-3</v>
      </c>
      <c r="AC1062" s="16">
        <f t="shared" si="409"/>
        <v>5.6003928707841853E-3</v>
      </c>
    </row>
    <row r="1063" spans="1:29" x14ac:dyDescent="0.15">
      <c r="A1063" s="8">
        <v>42446</v>
      </c>
      <c r="B1063" s="4">
        <v>2040.59</v>
      </c>
      <c r="C1063" s="1">
        <v>14.7425</v>
      </c>
      <c r="D1063" s="1">
        <v>2.2599999999999998</v>
      </c>
      <c r="E1063" s="1">
        <v>0.63729999999999998</v>
      </c>
      <c r="F1063" s="4">
        <f t="shared" si="399"/>
        <v>0.147425</v>
      </c>
      <c r="G1063" s="4">
        <f t="shared" si="400"/>
        <v>2.2599999999999999E-2</v>
      </c>
      <c r="H1063" s="4">
        <f t="shared" si="401"/>
        <v>6.3730000000000002E-3</v>
      </c>
      <c r="I1063" s="3">
        <f t="shared" si="402"/>
        <v>63.898996345335497</v>
      </c>
      <c r="J1063" s="4">
        <f t="shared" si="412"/>
        <v>1509319.2197904622</v>
      </c>
      <c r="K1063" s="1">
        <f t="shared" si="413"/>
        <v>1939.38</v>
      </c>
      <c r="L1063" s="5">
        <f t="shared" si="414"/>
        <v>0.12602739726027429</v>
      </c>
      <c r="M1063" s="5">
        <f t="shared" si="415"/>
        <v>-0.1682774179070641</v>
      </c>
      <c r="N1063" s="5">
        <f t="shared" si="416"/>
        <v>9.8203644302714999</v>
      </c>
      <c r="O1063" s="1">
        <f t="shared" si="417"/>
        <v>0</v>
      </c>
      <c r="P1063" s="1">
        <f t="shared" si="418"/>
        <v>1939.38</v>
      </c>
      <c r="Q1063" s="5">
        <f t="shared" si="419"/>
        <v>0.12602739726027429</v>
      </c>
      <c r="R1063" s="5">
        <f t="shared" si="420"/>
        <v>-0.1682774179070641</v>
      </c>
      <c r="S1063" s="5">
        <f t="shared" si="403"/>
        <v>9.8203644302714999</v>
      </c>
      <c r="T1063" s="5">
        <f t="shared" si="404"/>
        <v>-748.28021705439994</v>
      </c>
      <c r="U1063" s="4">
        <f t="shared" si="405"/>
        <v>1509343.5756540364</v>
      </c>
      <c r="V1063" s="4">
        <f t="shared" si="421"/>
        <v>24.356256604389792</v>
      </c>
      <c r="W1063" s="4">
        <f t="shared" si="406"/>
        <v>1501995.1912265995</v>
      </c>
      <c r="X1063" s="4">
        <f t="shared" si="410"/>
        <v>2941.0258329224307</v>
      </c>
      <c r="Y1063" s="9">
        <f>SUM($X$6:X1063)</f>
        <v>501995.19122659951</v>
      </c>
      <c r="Z1063" s="16">
        <f t="shared" si="411"/>
        <v>0.50199519122659952</v>
      </c>
      <c r="AA1063" s="16">
        <f t="shared" si="407"/>
        <v>0.59788107058399764</v>
      </c>
      <c r="AB1063" s="16">
        <f t="shared" si="408"/>
        <v>1.9619209904600528E-3</v>
      </c>
      <c r="AC1063" s="16">
        <f t="shared" si="409"/>
        <v>6.5952387999328593E-3</v>
      </c>
    </row>
    <row r="1064" spans="1:29" x14ac:dyDescent="0.15">
      <c r="A1064" s="8">
        <v>42447</v>
      </c>
      <c r="B1064" s="4">
        <v>2049.58</v>
      </c>
      <c r="C1064" s="1">
        <v>14.533200000000001</v>
      </c>
      <c r="D1064" s="1">
        <v>2.25</v>
      </c>
      <c r="E1064" s="1">
        <v>0.63819999999999999</v>
      </c>
      <c r="F1064" s="4">
        <f t="shared" si="399"/>
        <v>0.14533200000000002</v>
      </c>
      <c r="G1064" s="4">
        <f t="shared" si="400"/>
        <v>2.2499999999999999E-2</v>
      </c>
      <c r="H1064" s="4">
        <f t="shared" si="401"/>
        <v>6.3819999999999997E-3</v>
      </c>
      <c r="I1064" s="3">
        <f t="shared" si="402"/>
        <v>63.302687136748673</v>
      </c>
      <c r="J1064" s="4">
        <f t="shared" si="412"/>
        <v>1509343.5756540364</v>
      </c>
      <c r="K1064" s="1">
        <f t="shared" si="413"/>
        <v>1939.38</v>
      </c>
      <c r="L1064" s="5">
        <f t="shared" si="414"/>
        <v>0.12328767123287702</v>
      </c>
      <c r="M1064" s="5">
        <f t="shared" si="415"/>
        <v>-0.14200395917096376</v>
      </c>
      <c r="N1064" s="5">
        <f t="shared" si="416"/>
        <v>7.7727914581161643</v>
      </c>
      <c r="O1064" s="1">
        <f t="shared" si="417"/>
        <v>0</v>
      </c>
      <c r="P1064" s="1">
        <f t="shared" si="418"/>
        <v>1939.38</v>
      </c>
      <c r="Q1064" s="5">
        <f t="shared" si="419"/>
        <v>0.12328767123287702</v>
      </c>
      <c r="R1064" s="5">
        <f t="shared" si="420"/>
        <v>-0.14200395917096376</v>
      </c>
      <c r="S1064" s="5">
        <f t="shared" si="403"/>
        <v>7.7727914581161643</v>
      </c>
      <c r="T1064" s="5">
        <f t="shared" si="404"/>
        <v>-748.28021705439994</v>
      </c>
      <c r="U1064" s="4">
        <f t="shared" si="405"/>
        <v>1509367.9319106408</v>
      </c>
      <c r="V1064" s="4">
        <f t="shared" si="421"/>
        <v>24.356649640968971</v>
      </c>
      <c r="W1064" s="4">
        <f t="shared" si="406"/>
        <v>1503551.705831243</v>
      </c>
      <c r="X1064" s="4">
        <f t="shared" si="410"/>
        <v>1556.5146046434529</v>
      </c>
      <c r="Y1064" s="9">
        <f>SUM($X$6:X1064)</f>
        <v>503551.70583124296</v>
      </c>
      <c r="Z1064" s="16">
        <f t="shared" si="411"/>
        <v>0.50355170583124298</v>
      </c>
      <c r="AA1064" s="16">
        <f t="shared" si="407"/>
        <v>0.60492067718039877</v>
      </c>
      <c r="AB1064" s="16">
        <f t="shared" si="408"/>
        <v>1.0362979946509218E-3</v>
      </c>
      <c r="AC1064" s="16">
        <f t="shared" si="409"/>
        <v>4.4055885797735011E-3</v>
      </c>
    </row>
    <row r="1065" spans="1:29" x14ac:dyDescent="0.15">
      <c r="A1065" s="8">
        <v>42450</v>
      </c>
      <c r="B1065" s="4">
        <v>2051.6</v>
      </c>
      <c r="C1065" s="1">
        <v>14.279</v>
      </c>
      <c r="D1065" s="1">
        <v>2.25</v>
      </c>
      <c r="E1065" s="1">
        <v>0.63849999999999996</v>
      </c>
      <c r="F1065" s="4">
        <f t="shared" si="399"/>
        <v>0.14279</v>
      </c>
      <c r="G1065" s="4">
        <f t="shared" si="400"/>
        <v>2.2499999999999999E-2</v>
      </c>
      <c r="H1065" s="4">
        <f t="shared" si="401"/>
        <v>6.3849999999999992E-3</v>
      </c>
      <c r="I1065" s="3">
        <f t="shared" si="402"/>
        <v>62.331420565647647</v>
      </c>
      <c r="J1065" s="4">
        <f t="shared" si="412"/>
        <v>1509367.9319106408</v>
      </c>
      <c r="K1065" s="1">
        <f t="shared" si="413"/>
        <v>1939.38</v>
      </c>
      <c r="L1065" s="5">
        <f t="shared" si="414"/>
        <v>0.11506849315068525</v>
      </c>
      <c r="M1065" s="5">
        <f t="shared" si="415"/>
        <v>-0.1253092406964593</v>
      </c>
      <c r="N1065" s="5">
        <f t="shared" si="416"/>
        <v>6.3214124806936178</v>
      </c>
      <c r="O1065" s="1">
        <f t="shared" si="417"/>
        <v>0</v>
      </c>
      <c r="P1065" s="1">
        <f t="shared" si="418"/>
        <v>1939.38</v>
      </c>
      <c r="Q1065" s="5">
        <f t="shared" si="419"/>
        <v>0.11506849315068525</v>
      </c>
      <c r="R1065" s="5">
        <f t="shared" si="420"/>
        <v>-0.1253092406964593</v>
      </c>
      <c r="S1065" s="5">
        <f t="shared" si="403"/>
        <v>6.3214124806936178</v>
      </c>
      <c r="T1065" s="5">
        <f t="shared" si="404"/>
        <v>-748.28021705439994</v>
      </c>
      <c r="U1065" s="4">
        <f t="shared" si="405"/>
        <v>1509392.2885602817</v>
      </c>
      <c r="V1065" s="4">
        <f t="shared" si="421"/>
        <v>73.071128051671721</v>
      </c>
      <c r="W1065" s="4">
        <f t="shared" si="406"/>
        <v>1504662.100657138</v>
      </c>
      <c r="X1065" s="4">
        <f t="shared" si="410"/>
        <v>1110.3948258950841</v>
      </c>
      <c r="Y1065" s="9">
        <f>SUM($X$6:X1065)</f>
        <v>504662.10065713804</v>
      </c>
      <c r="Z1065" s="16">
        <f t="shared" si="411"/>
        <v>0.50466210065713801</v>
      </c>
      <c r="AA1065" s="16">
        <f t="shared" si="407"/>
        <v>0.60650243528103609</v>
      </c>
      <c r="AB1065" s="16">
        <f t="shared" si="408"/>
        <v>7.3851455961815359E-4</v>
      </c>
      <c r="AC1065" s="16">
        <f t="shared" si="409"/>
        <v>9.8556777486118229E-4</v>
      </c>
    </row>
    <row r="1066" spans="1:29" x14ac:dyDescent="0.15">
      <c r="A1066" s="8">
        <v>42451</v>
      </c>
      <c r="B1066" s="4">
        <v>2049.8000000000002</v>
      </c>
      <c r="C1066" s="1">
        <v>14.379200000000001</v>
      </c>
      <c r="D1066" s="1">
        <v>2.25</v>
      </c>
      <c r="E1066" s="1">
        <v>0.64229999999999998</v>
      </c>
      <c r="F1066" s="4">
        <f t="shared" si="399"/>
        <v>0.143792</v>
      </c>
      <c r="G1066" s="4">
        <f t="shared" si="400"/>
        <v>2.2499999999999999E-2</v>
      </c>
      <c r="H1066" s="4">
        <f t="shared" si="401"/>
        <v>6.4229999999999999E-3</v>
      </c>
      <c r="I1066" s="3">
        <f t="shared" si="402"/>
        <v>62.673088773202828</v>
      </c>
      <c r="J1066" s="4">
        <f t="shared" si="412"/>
        <v>1509392.2885602817</v>
      </c>
      <c r="K1066" s="1">
        <f t="shared" si="413"/>
        <v>1939.38</v>
      </c>
      <c r="L1066" s="5">
        <f t="shared" si="414"/>
        <v>0.11232876712328799</v>
      </c>
      <c r="M1066" s="5">
        <f t="shared" si="415"/>
        <v>-0.12773118082836807</v>
      </c>
      <c r="N1066" s="5">
        <f t="shared" si="416"/>
        <v>6.4327527448001547</v>
      </c>
      <c r="O1066" s="1">
        <f t="shared" si="417"/>
        <v>0</v>
      </c>
      <c r="P1066" s="1">
        <f t="shared" si="418"/>
        <v>1939.38</v>
      </c>
      <c r="Q1066" s="5">
        <f t="shared" si="419"/>
        <v>0.11232876712328799</v>
      </c>
      <c r="R1066" s="5">
        <f t="shared" si="420"/>
        <v>-0.12773118082836807</v>
      </c>
      <c r="S1066" s="5">
        <f t="shared" si="403"/>
        <v>6.4327527448001547</v>
      </c>
      <c r="T1066" s="5">
        <f t="shared" si="404"/>
        <v>-748.28021705439994</v>
      </c>
      <c r="U1066" s="4">
        <f t="shared" si="405"/>
        <v>1509465.3596883335</v>
      </c>
      <c r="V1066" s="4">
        <f t="shared" si="421"/>
        <v>24.358221831682968</v>
      </c>
      <c r="W1066" s="4">
        <f t="shared" si="406"/>
        <v>1504651.858068197</v>
      </c>
      <c r="X1066" s="4">
        <f t="shared" si="410"/>
        <v>-10.242588941007853</v>
      </c>
      <c r="Y1066" s="9">
        <f>SUM($X$6:X1066)</f>
        <v>504651.85806819703</v>
      </c>
      <c r="Z1066" s="16">
        <f t="shared" si="411"/>
        <v>0.50465185806819701</v>
      </c>
      <c r="AA1066" s="16">
        <f t="shared" si="407"/>
        <v>0.60509294786462675</v>
      </c>
      <c r="AB1066" s="16">
        <f t="shared" si="408"/>
        <v>-6.8072352832802519E-6</v>
      </c>
      <c r="AC1066" s="16">
        <f t="shared" si="409"/>
        <v>-8.7736400857853735E-4</v>
      </c>
    </row>
    <row r="1067" spans="1:29" x14ac:dyDescent="0.15">
      <c r="A1067" s="8">
        <v>42452</v>
      </c>
      <c r="B1067" s="4">
        <v>2036.71</v>
      </c>
      <c r="C1067" s="1">
        <v>15.017300000000001</v>
      </c>
      <c r="D1067" s="1">
        <v>2.2599999999999998</v>
      </c>
      <c r="E1067" s="1">
        <v>0.64410000000000001</v>
      </c>
      <c r="F1067" s="4">
        <f t="shared" si="399"/>
        <v>0.150173</v>
      </c>
      <c r="G1067" s="4">
        <f t="shared" si="400"/>
        <v>2.2599999999999999E-2</v>
      </c>
      <c r="H1067" s="4">
        <f t="shared" si="401"/>
        <v>6.4409999999999997E-3</v>
      </c>
      <c r="I1067" s="3">
        <f t="shared" si="402"/>
        <v>64.867461861756269</v>
      </c>
      <c r="J1067" s="4">
        <f t="shared" si="412"/>
        <v>1509465.3596883335</v>
      </c>
      <c r="K1067" s="1">
        <f t="shared" si="413"/>
        <v>1939.38</v>
      </c>
      <c r="L1067" s="5">
        <f t="shared" si="414"/>
        <v>0.10958904109589072</v>
      </c>
      <c r="M1067" s="5">
        <f t="shared" si="415"/>
        <v>-0.16456411234559981</v>
      </c>
      <c r="N1067" s="5">
        <f t="shared" si="416"/>
        <v>9.0405342671695532</v>
      </c>
      <c r="O1067" s="1">
        <f t="shared" si="417"/>
        <v>0</v>
      </c>
      <c r="P1067" s="1">
        <f t="shared" si="418"/>
        <v>1939.38</v>
      </c>
      <c r="Q1067" s="5">
        <f t="shared" si="419"/>
        <v>0.10958904109589072</v>
      </c>
      <c r="R1067" s="5">
        <f t="shared" si="420"/>
        <v>-0.16456411234559981</v>
      </c>
      <c r="S1067" s="5">
        <f t="shared" si="403"/>
        <v>9.0405342671695532</v>
      </c>
      <c r="T1067" s="5">
        <f t="shared" si="404"/>
        <v>-748.28021705439994</v>
      </c>
      <c r="U1067" s="4">
        <f t="shared" si="405"/>
        <v>1509489.7179101652</v>
      </c>
      <c r="V1067" s="4">
        <f t="shared" si="421"/>
        <v>24.358614899974992</v>
      </c>
      <c r="W1067" s="4">
        <f t="shared" si="406"/>
        <v>1502724.8649664398</v>
      </c>
      <c r="X1067" s="4">
        <f t="shared" si="410"/>
        <v>-1926.9931017572526</v>
      </c>
      <c r="Y1067" s="9">
        <f>SUM($X$6:X1067)</f>
        <v>502724.86496643978</v>
      </c>
      <c r="Z1067" s="16">
        <f t="shared" si="411"/>
        <v>0.50272486496643976</v>
      </c>
      <c r="AA1067" s="16">
        <f t="shared" si="407"/>
        <v>0.59484284215307048</v>
      </c>
      <c r="AB1067" s="16">
        <f t="shared" si="408"/>
        <v>-1.280690341373249E-3</v>
      </c>
      <c r="AC1067" s="16">
        <f t="shared" si="409"/>
        <v>-6.3859888769636766E-3</v>
      </c>
    </row>
    <row r="1068" spans="1:29" x14ac:dyDescent="0.15">
      <c r="A1068" s="8">
        <v>42453</v>
      </c>
      <c r="B1068" s="4">
        <v>2035.94</v>
      </c>
      <c r="C1068" s="1">
        <v>15.0623</v>
      </c>
      <c r="D1068" s="1">
        <v>2.2599999999999998</v>
      </c>
      <c r="E1068" s="1">
        <v>0.64259999999999995</v>
      </c>
      <c r="F1068" s="4">
        <f t="shared" si="399"/>
        <v>0.15062300000000001</v>
      </c>
      <c r="G1068" s="4">
        <f t="shared" si="400"/>
        <v>2.2599999999999999E-2</v>
      </c>
      <c r="H1068" s="4">
        <f t="shared" si="401"/>
        <v>6.4259999999999994E-3</v>
      </c>
      <c r="I1068" s="3">
        <f t="shared" si="402"/>
        <v>65.028465667645364</v>
      </c>
      <c r="J1068" s="4">
        <f t="shared" si="412"/>
        <v>1509489.7179101652</v>
      </c>
      <c r="K1068" s="1">
        <f t="shared" si="413"/>
        <v>1939.38</v>
      </c>
      <c r="L1068" s="5">
        <f t="shared" si="414"/>
        <v>0.10684931506849346</v>
      </c>
      <c r="M1068" s="5">
        <f t="shared" si="415"/>
        <v>-0.16403773477384506</v>
      </c>
      <c r="N1068" s="5">
        <f t="shared" si="416"/>
        <v>8.9120630335003668</v>
      </c>
      <c r="O1068" s="1">
        <f t="shared" si="417"/>
        <v>0</v>
      </c>
      <c r="P1068" s="1">
        <f t="shared" si="418"/>
        <v>1939.38</v>
      </c>
      <c r="Q1068" s="5">
        <f t="shared" si="419"/>
        <v>0.10684931506849346</v>
      </c>
      <c r="R1068" s="5">
        <f t="shared" si="420"/>
        <v>-0.16403773477384506</v>
      </c>
      <c r="S1068" s="5">
        <f t="shared" si="403"/>
        <v>8.9120630335003668</v>
      </c>
      <c r="T1068" s="5">
        <f t="shared" si="404"/>
        <v>-748.28021705439994</v>
      </c>
      <c r="U1068" s="4">
        <f t="shared" si="405"/>
        <v>1509514.0765250651</v>
      </c>
      <c r="V1068" s="4">
        <f t="shared" si="421"/>
        <v>24.359007974609955</v>
      </c>
      <c r="W1068" s="4">
        <f t="shared" si="406"/>
        <v>1502845.356063955</v>
      </c>
      <c r="X1068" s="4">
        <f t="shared" si="410"/>
        <v>120.4910975152161</v>
      </c>
      <c r="Y1068" s="9">
        <f>SUM($X$6:X1068)</f>
        <v>502845.356063955</v>
      </c>
      <c r="Z1068" s="16">
        <f t="shared" si="411"/>
        <v>0.50284535606395497</v>
      </c>
      <c r="AA1068" s="16">
        <f t="shared" si="407"/>
        <v>0.59423989475827299</v>
      </c>
      <c r="AB1068" s="16">
        <f t="shared" si="408"/>
        <v>8.0181742063546024E-5</v>
      </c>
      <c r="AC1068" s="16">
        <f t="shared" si="409"/>
        <v>-3.7806069592626431E-4</v>
      </c>
    </row>
    <row r="1069" spans="1:29" x14ac:dyDescent="0.15">
      <c r="A1069" s="8">
        <v>42457</v>
      </c>
      <c r="B1069" s="4">
        <v>2037.05</v>
      </c>
      <c r="C1069" s="1">
        <v>15.118399999999999</v>
      </c>
      <c r="D1069" s="1">
        <v>2.2599999999999998</v>
      </c>
      <c r="E1069" s="1">
        <v>0.64259999999999995</v>
      </c>
      <c r="F1069" s="4">
        <f t="shared" si="399"/>
        <v>0.15118399999999999</v>
      </c>
      <c r="G1069" s="4">
        <f t="shared" si="400"/>
        <v>2.2599999999999999E-2</v>
      </c>
      <c r="H1069" s="4">
        <f t="shared" si="401"/>
        <v>6.4259999999999994E-3</v>
      </c>
      <c r="I1069" s="3">
        <f t="shared" si="402"/>
        <v>65.290252078040567</v>
      </c>
      <c r="J1069" s="4">
        <f t="shared" si="412"/>
        <v>1509514.0765250651</v>
      </c>
      <c r="K1069" s="1">
        <f t="shared" si="413"/>
        <v>1939.38</v>
      </c>
      <c r="L1069" s="5">
        <f t="shared" si="414"/>
        <v>9.5890410958904423E-2</v>
      </c>
      <c r="M1069" s="5">
        <f t="shared" si="415"/>
        <v>-0.14889288128751907</v>
      </c>
      <c r="N1069" s="5">
        <f t="shared" si="416"/>
        <v>7.5018882253670922</v>
      </c>
      <c r="O1069" s="1">
        <f t="shared" si="417"/>
        <v>0</v>
      </c>
      <c r="P1069" s="1">
        <f t="shared" si="418"/>
        <v>1939.38</v>
      </c>
      <c r="Q1069" s="5">
        <f t="shared" si="419"/>
        <v>9.5890410958904423E-2</v>
      </c>
      <c r="R1069" s="5">
        <f t="shared" si="420"/>
        <v>-0.14889288128751907</v>
      </c>
      <c r="S1069" s="5">
        <f t="shared" si="403"/>
        <v>7.5018882253670922</v>
      </c>
      <c r="T1069" s="5">
        <f t="shared" si="404"/>
        <v>-748.28021705439994</v>
      </c>
      <c r="U1069" s="4">
        <f t="shared" si="405"/>
        <v>1509538.4355330397</v>
      </c>
      <c r="V1069" s="4">
        <f t="shared" si="421"/>
        <v>97.437604222351808</v>
      </c>
      <c r="W1069" s="4">
        <f t="shared" si="406"/>
        <v>1503924.9209834442</v>
      </c>
      <c r="X1069" s="4">
        <f t="shared" si="410"/>
        <v>1079.564919489203</v>
      </c>
      <c r="Y1069" s="9">
        <f>SUM($X$6:X1069)</f>
        <v>503924.9209834442</v>
      </c>
      <c r="Z1069" s="16">
        <f t="shared" si="411"/>
        <v>0.50392492098344421</v>
      </c>
      <c r="AA1069" s="16">
        <f t="shared" si="407"/>
        <v>0.5951090786650588</v>
      </c>
      <c r="AB1069" s="16">
        <f t="shared" si="408"/>
        <v>7.1834731040900334E-4</v>
      </c>
      <c r="AC1069" s="16">
        <f t="shared" si="409"/>
        <v>5.4520270734889045E-4</v>
      </c>
    </row>
    <row r="1070" spans="1:29" x14ac:dyDescent="0.15">
      <c r="A1070" s="8">
        <v>42458</v>
      </c>
      <c r="B1070" s="4">
        <v>2055.0100000000002</v>
      </c>
      <c r="C1070" s="1">
        <v>14.217000000000001</v>
      </c>
      <c r="D1070" s="1">
        <v>2.2400000000000002</v>
      </c>
      <c r="E1070" s="1">
        <v>0.63790000000000002</v>
      </c>
      <c r="F1070" s="4">
        <f t="shared" si="399"/>
        <v>0.14217000000000002</v>
      </c>
      <c r="G1070" s="4">
        <f t="shared" si="400"/>
        <v>2.2400000000000003E-2</v>
      </c>
      <c r="H1070" s="4">
        <f t="shared" si="401"/>
        <v>6.3790000000000001E-3</v>
      </c>
      <c r="I1070" s="3">
        <f t="shared" si="402"/>
        <v>62.158445695794896</v>
      </c>
      <c r="J1070" s="4">
        <f t="shared" si="412"/>
        <v>1509538.4355330397</v>
      </c>
      <c r="K1070" s="1">
        <f t="shared" si="413"/>
        <v>1939.38</v>
      </c>
      <c r="L1070" s="5">
        <f t="shared" si="414"/>
        <v>9.3150684931507161E-2</v>
      </c>
      <c r="M1070" s="5">
        <f t="shared" si="415"/>
        <v>-9.2896445474076703E-2</v>
      </c>
      <c r="N1070" s="5">
        <f t="shared" si="416"/>
        <v>3.9356752022696768</v>
      </c>
      <c r="O1070" s="1">
        <f t="shared" si="417"/>
        <v>0</v>
      </c>
      <c r="P1070" s="1">
        <f t="shared" si="418"/>
        <v>1939.38</v>
      </c>
      <c r="Q1070" s="5">
        <f t="shared" si="419"/>
        <v>9.3150684931507161E-2</v>
      </c>
      <c r="R1070" s="5">
        <f t="shared" si="420"/>
        <v>-9.2896445474076703E-2</v>
      </c>
      <c r="S1070" s="5">
        <f t="shared" si="403"/>
        <v>3.9356752022696768</v>
      </c>
      <c r="T1070" s="5">
        <f t="shared" si="404"/>
        <v>-748.28021705439994</v>
      </c>
      <c r="U1070" s="4">
        <f t="shared" si="405"/>
        <v>1509635.8731372622</v>
      </c>
      <c r="V1070" s="4">
        <f t="shared" si="421"/>
        <v>24.360973404872528</v>
      </c>
      <c r="W1070" s="4">
        <f t="shared" si="406"/>
        <v>1506690.8852426521</v>
      </c>
      <c r="X1070" s="4">
        <f t="shared" si="410"/>
        <v>2765.9642592079472</v>
      </c>
      <c r="Y1070" s="9">
        <f>SUM($X$6:X1070)</f>
        <v>506690.88524265215</v>
      </c>
      <c r="Z1070" s="16">
        <f t="shared" si="411"/>
        <v>0.50669088524265216</v>
      </c>
      <c r="AA1070" s="16">
        <f t="shared" si="407"/>
        <v>0.60917263088656781</v>
      </c>
      <c r="AB1070" s="16">
        <f t="shared" si="408"/>
        <v>1.8391637911015081E-3</v>
      </c>
      <c r="AC1070" s="16">
        <f t="shared" si="409"/>
        <v>8.8166711666381598E-3</v>
      </c>
    </row>
    <row r="1071" spans="1:29" x14ac:dyDescent="0.15">
      <c r="A1071" s="8">
        <v>42459</v>
      </c>
      <c r="B1071" s="4">
        <v>2063.9499999999998</v>
      </c>
      <c r="C1071" s="1">
        <v>13.772</v>
      </c>
      <c r="D1071" s="1">
        <v>2.23</v>
      </c>
      <c r="E1071" s="1">
        <v>0.63200000000000001</v>
      </c>
      <c r="F1071" s="4">
        <f t="shared" si="399"/>
        <v>0.13772000000000001</v>
      </c>
      <c r="G1071" s="4">
        <f t="shared" si="400"/>
        <v>2.23E-2</v>
      </c>
      <c r="H1071" s="4">
        <f t="shared" si="401"/>
        <v>6.3200000000000001E-3</v>
      </c>
      <c r="I1071" s="3">
        <f t="shared" si="402"/>
        <v>60.600152111040003</v>
      </c>
      <c r="J1071" s="4">
        <f t="shared" si="412"/>
        <v>1509635.8731372622</v>
      </c>
      <c r="K1071" s="1">
        <f t="shared" si="413"/>
        <v>1939.38</v>
      </c>
      <c r="L1071" s="5">
        <f t="shared" si="414"/>
        <v>9.0410958904109898E-2</v>
      </c>
      <c r="M1071" s="5">
        <f t="shared" si="415"/>
        <v>-6.8086863784663915E-2</v>
      </c>
      <c r="N1071" s="5">
        <f t="shared" si="416"/>
        <v>2.6043702228162813</v>
      </c>
      <c r="O1071" s="1">
        <f t="shared" si="417"/>
        <v>0</v>
      </c>
      <c r="P1071" s="1">
        <f t="shared" si="418"/>
        <v>1939.38</v>
      </c>
      <c r="Q1071" s="5">
        <f t="shared" si="419"/>
        <v>9.0410958904109898E-2</v>
      </c>
      <c r="R1071" s="5">
        <f t="shared" si="420"/>
        <v>-6.8086863784663915E-2</v>
      </c>
      <c r="S1071" s="5">
        <f t="shared" si="403"/>
        <v>2.6043702228162813</v>
      </c>
      <c r="T1071" s="5">
        <f t="shared" si="404"/>
        <v>-748.28021705439994</v>
      </c>
      <c r="U1071" s="4">
        <f t="shared" si="405"/>
        <v>1509660.2341106671</v>
      </c>
      <c r="V1071" s="4">
        <f t="shared" si="421"/>
        <v>24.361366517566655</v>
      </c>
      <c r="W1071" s="4">
        <f t="shared" si="406"/>
        <v>1507711.4353950482</v>
      </c>
      <c r="X1071" s="4">
        <f t="shared" si="410"/>
        <v>1020.5501523960847</v>
      </c>
      <c r="Y1071" s="9">
        <f>SUM($X$6:X1071)</f>
        <v>507711.43539504823</v>
      </c>
      <c r="Z1071" s="16">
        <f t="shared" si="411"/>
        <v>0.50771143539504826</v>
      </c>
      <c r="AA1071" s="16">
        <f t="shared" si="407"/>
        <v>0.616173085054735</v>
      </c>
      <c r="AB1071" s="16">
        <f t="shared" si="408"/>
        <v>6.773454080010084E-4</v>
      </c>
      <c r="AC1071" s="16">
        <f t="shared" si="409"/>
        <v>4.3503437939472799E-3</v>
      </c>
    </row>
    <row r="1072" spans="1:29" x14ac:dyDescent="0.15">
      <c r="A1072" s="8">
        <v>42460</v>
      </c>
      <c r="B1072" s="4">
        <v>2059.7399999999998</v>
      </c>
      <c r="C1072" s="1">
        <v>14.024100000000001</v>
      </c>
      <c r="D1072" s="1">
        <v>2.23</v>
      </c>
      <c r="E1072" s="1">
        <v>0.63549999999999995</v>
      </c>
      <c r="F1072" s="4">
        <f t="shared" si="399"/>
        <v>0.140241</v>
      </c>
      <c r="G1072" s="4">
        <f t="shared" si="400"/>
        <v>2.23E-2</v>
      </c>
      <c r="H1072" s="4">
        <f t="shared" si="401"/>
        <v>6.3549999999999995E-3</v>
      </c>
      <c r="I1072" s="3">
        <f t="shared" si="402"/>
        <v>61.495266835182264</v>
      </c>
      <c r="J1072" s="4">
        <f t="shared" si="412"/>
        <v>1509660.2341106671</v>
      </c>
      <c r="K1072" s="1">
        <f t="shared" si="413"/>
        <v>1939.38</v>
      </c>
      <c r="L1072" s="5">
        <f t="shared" si="414"/>
        <v>8.7671232876712635E-2</v>
      </c>
      <c r="M1072" s="5">
        <f t="shared" si="415"/>
        <v>-7.5194536186473801E-2</v>
      </c>
      <c r="N1072" s="5">
        <f t="shared" si="416"/>
        <v>2.9310682562361743</v>
      </c>
      <c r="O1072" s="1">
        <f t="shared" si="417"/>
        <v>0</v>
      </c>
      <c r="P1072" s="1">
        <f t="shared" si="418"/>
        <v>1939.38</v>
      </c>
      <c r="Q1072" s="5">
        <f t="shared" si="419"/>
        <v>8.7671232876712635E-2</v>
      </c>
      <c r="R1072" s="5">
        <f t="shared" si="420"/>
        <v>-7.5194536186473801E-2</v>
      </c>
      <c r="S1072" s="5">
        <f t="shared" si="403"/>
        <v>2.9310682562361743</v>
      </c>
      <c r="T1072" s="5">
        <f t="shared" si="404"/>
        <v>-748.28021705439994</v>
      </c>
      <c r="U1072" s="4">
        <f t="shared" si="405"/>
        <v>1509684.5954771847</v>
      </c>
      <c r="V1072" s="4">
        <f t="shared" si="421"/>
        <v>24.361759636604429</v>
      </c>
      <c r="W1072" s="4">
        <f t="shared" si="406"/>
        <v>1507491.3350862071</v>
      </c>
      <c r="X1072" s="4">
        <f t="shared" si="410"/>
        <v>-220.10030884109437</v>
      </c>
      <c r="Y1072" s="9">
        <f>SUM($X$6:X1072)</f>
        <v>507491.33508620714</v>
      </c>
      <c r="Z1072" s="16">
        <f t="shared" si="411"/>
        <v>0.50749133508620714</v>
      </c>
      <c r="AA1072" s="16">
        <f t="shared" si="407"/>
        <v>0.61287645059746598</v>
      </c>
      <c r="AB1072" s="16">
        <f t="shared" si="408"/>
        <v>-1.4598304667194092E-4</v>
      </c>
      <c r="AC1072" s="16">
        <f t="shared" si="409"/>
        <v>-2.0397780953996156E-3</v>
      </c>
    </row>
    <row r="1073" spans="1:29" x14ac:dyDescent="0.15">
      <c r="A1073" s="8">
        <v>42461</v>
      </c>
      <c r="B1073" s="4">
        <v>2072.7800000000002</v>
      </c>
      <c r="C1073" s="1">
        <v>13.4466</v>
      </c>
      <c r="D1073" s="1">
        <v>2.2200000000000002</v>
      </c>
      <c r="E1073" s="1">
        <v>0.6361</v>
      </c>
      <c r="F1073" s="4">
        <f t="shared" si="399"/>
        <v>0.134466</v>
      </c>
      <c r="G1073" s="4">
        <f t="shared" si="400"/>
        <v>2.2200000000000001E-2</v>
      </c>
      <c r="H1073" s="4">
        <f t="shared" si="401"/>
        <v>6.3610000000000003E-3</v>
      </c>
      <c r="I1073" s="3">
        <f t="shared" si="402"/>
        <v>59.486136810097761</v>
      </c>
      <c r="J1073" s="4">
        <f t="shared" si="412"/>
        <v>1509684.5954771847</v>
      </c>
      <c r="K1073" s="1">
        <f t="shared" si="413"/>
        <v>1939.38</v>
      </c>
      <c r="L1073" s="5">
        <f t="shared" si="414"/>
        <v>8.4931506849315372E-2</v>
      </c>
      <c r="M1073" s="5">
        <f t="shared" si="415"/>
        <v>-4.6119030118202134E-2</v>
      </c>
      <c r="N1073" s="5">
        <f t="shared" si="416"/>
        <v>1.5686445225439984</v>
      </c>
      <c r="O1073" s="1">
        <f t="shared" si="417"/>
        <v>1</v>
      </c>
      <c r="P1073" s="1">
        <f t="shared" si="418"/>
        <v>2072.7800000000002</v>
      </c>
      <c r="Q1073" s="5">
        <f t="shared" si="419"/>
        <v>0.24931506849315069</v>
      </c>
      <c r="R1073" s="5">
        <f t="shared" si="420"/>
        <v>-0.50725480379832155</v>
      </c>
      <c r="S1073" s="5">
        <f t="shared" si="403"/>
        <v>59.486136810097761</v>
      </c>
      <c r="T1073" s="5">
        <f t="shared" si="404"/>
        <v>-727.77178948724622</v>
      </c>
      <c r="U1073" s="4">
        <f t="shared" si="405"/>
        <v>1551827.5038089789</v>
      </c>
      <c r="V1073" s="4">
        <f t="shared" si="421"/>
        <v>25.041819171054481</v>
      </c>
      <c r="W1073" s="4">
        <f t="shared" si="406"/>
        <v>1508535.171573011</v>
      </c>
      <c r="X1073" s="4">
        <f t="shared" si="410"/>
        <v>1043.8364868038334</v>
      </c>
      <c r="Y1073" s="9">
        <f>SUM($X$6:X1073)</f>
        <v>508535.17157301097</v>
      </c>
      <c r="Z1073" s="16">
        <f t="shared" si="411"/>
        <v>0.50853517157301098</v>
      </c>
      <c r="AA1073" s="16">
        <f t="shared" si="407"/>
        <v>0.62308740388078887</v>
      </c>
      <c r="AB1073" s="16">
        <f t="shared" si="408"/>
        <v>6.924328269814836E-4</v>
      </c>
      <c r="AC1073" s="16">
        <f t="shared" si="409"/>
        <v>6.3308961325217843E-3</v>
      </c>
    </row>
    <row r="1074" spans="1:29" x14ac:dyDescent="0.15">
      <c r="A1074" s="8">
        <v>42464</v>
      </c>
      <c r="B1074" s="4">
        <v>2066.13</v>
      </c>
      <c r="C1074" s="1">
        <v>14.141</v>
      </c>
      <c r="D1074" s="1">
        <v>2.23</v>
      </c>
      <c r="E1074" s="1">
        <v>0.6371</v>
      </c>
      <c r="F1074" s="4">
        <f t="shared" si="399"/>
        <v>0.14141000000000001</v>
      </c>
      <c r="G1074" s="4">
        <f t="shared" si="400"/>
        <v>2.23E-2</v>
      </c>
      <c r="H1074" s="4">
        <f t="shared" si="401"/>
        <v>6.3709999999999999E-3</v>
      </c>
      <c r="I1074" s="3">
        <f t="shared" si="402"/>
        <v>62.159977621646696</v>
      </c>
      <c r="J1074" s="4">
        <f t="shared" si="412"/>
        <v>1551827.5038089789</v>
      </c>
      <c r="K1074" s="1">
        <f t="shared" si="413"/>
        <v>2072.7800000000002</v>
      </c>
      <c r="L1074" s="5">
        <f t="shared" si="414"/>
        <v>0.24109589041095891</v>
      </c>
      <c r="M1074" s="5">
        <f t="shared" si="415"/>
        <v>-0.52383443960792497</v>
      </c>
      <c r="N1074" s="5">
        <f t="shared" si="416"/>
        <v>64.683596222685992</v>
      </c>
      <c r="O1074" s="1">
        <f t="shared" si="417"/>
        <v>0</v>
      </c>
      <c r="P1074" s="1">
        <f t="shared" si="418"/>
        <v>2072.7800000000002</v>
      </c>
      <c r="Q1074" s="5">
        <f t="shared" si="419"/>
        <v>0.24109589041095891</v>
      </c>
      <c r="R1074" s="5">
        <f t="shared" si="420"/>
        <v>-0.52383443960792497</v>
      </c>
      <c r="S1074" s="5">
        <f t="shared" si="403"/>
        <v>64.683596222685992</v>
      </c>
      <c r="T1074" s="5">
        <f t="shared" si="404"/>
        <v>-727.77178948724622</v>
      </c>
      <c r="U1074" s="4">
        <f t="shared" si="405"/>
        <v>1551852.54562815</v>
      </c>
      <c r="V1074" s="4">
        <f t="shared" si="421"/>
        <v>75.12666981164223</v>
      </c>
      <c r="W1074" s="4">
        <f t="shared" si="406"/>
        <v>1504777.6490546954</v>
      </c>
      <c r="X1074" s="4">
        <f t="shared" si="410"/>
        <v>-3757.5225183155853</v>
      </c>
      <c r="Y1074" s="9">
        <f>SUM($X$6:X1074)</f>
        <v>504777.64905469539</v>
      </c>
      <c r="Z1074" s="16">
        <f t="shared" si="411"/>
        <v>0.50477764905469535</v>
      </c>
      <c r="AA1074" s="16">
        <f t="shared" si="407"/>
        <v>0.61788013092572014</v>
      </c>
      <c r="AB1074" s="16">
        <f t="shared" si="408"/>
        <v>-2.4908418372489543E-3</v>
      </c>
      <c r="AC1074" s="16">
        <f t="shared" si="409"/>
        <v>-3.2082517199124318E-3</v>
      </c>
    </row>
    <row r="1075" spans="1:29" x14ac:dyDescent="0.15">
      <c r="A1075" s="8">
        <v>42465</v>
      </c>
      <c r="B1075" s="4">
        <v>2045.17</v>
      </c>
      <c r="C1075" s="1">
        <v>15.1555</v>
      </c>
      <c r="D1075" s="1">
        <v>2.25</v>
      </c>
      <c r="E1075" s="1">
        <v>0.63360000000000005</v>
      </c>
      <c r="F1075" s="4">
        <f t="shared" si="399"/>
        <v>0.151555</v>
      </c>
      <c r="G1075" s="4">
        <f t="shared" si="400"/>
        <v>2.2499999999999999E-2</v>
      </c>
      <c r="H1075" s="4">
        <f t="shared" si="401"/>
        <v>6.3360000000000005E-3</v>
      </c>
      <c r="I1075" s="3">
        <f t="shared" si="402"/>
        <v>65.699692505262149</v>
      </c>
      <c r="J1075" s="4">
        <f t="shared" si="412"/>
        <v>1551852.54562815</v>
      </c>
      <c r="K1075" s="1">
        <f t="shared" si="413"/>
        <v>2072.7800000000002</v>
      </c>
      <c r="L1075" s="5">
        <f t="shared" si="414"/>
        <v>0.23835616438356166</v>
      </c>
      <c r="M1075" s="5">
        <f t="shared" si="415"/>
        <v>-0.57472494040815003</v>
      </c>
      <c r="N1075" s="5">
        <f t="shared" si="416"/>
        <v>79.906602528644711</v>
      </c>
      <c r="O1075" s="1">
        <f t="shared" si="417"/>
        <v>0</v>
      </c>
      <c r="P1075" s="1">
        <f t="shared" si="418"/>
        <v>2072.7800000000002</v>
      </c>
      <c r="Q1075" s="5">
        <f t="shared" si="419"/>
        <v>0.23835616438356166</v>
      </c>
      <c r="R1075" s="5">
        <f t="shared" si="420"/>
        <v>-0.57472494040815003</v>
      </c>
      <c r="S1075" s="5">
        <f t="shared" si="403"/>
        <v>79.906602528644711</v>
      </c>
      <c r="T1075" s="5">
        <f t="shared" si="404"/>
        <v>-727.77178948724622</v>
      </c>
      <c r="U1075" s="4">
        <f t="shared" si="405"/>
        <v>1551927.6722979615</v>
      </c>
      <c r="V1075" s="4">
        <f t="shared" si="421"/>
        <v>25.04343558858902</v>
      </c>
      <c r="W1075" s="4">
        <f t="shared" si="406"/>
        <v>1493773.9011838436</v>
      </c>
      <c r="X1075" s="4">
        <f t="shared" si="410"/>
        <v>-11003.747870851774</v>
      </c>
      <c r="Y1075" s="9">
        <f>SUM($X$6:X1075)</f>
        <v>493773.90118384361</v>
      </c>
      <c r="Z1075" s="16">
        <f t="shared" si="411"/>
        <v>0.49377390118384362</v>
      </c>
      <c r="AA1075" s="16">
        <f t="shared" si="407"/>
        <v>0.60146743301019545</v>
      </c>
      <c r="AB1075" s="16">
        <f t="shared" si="408"/>
        <v>-7.3125407449827241E-3</v>
      </c>
      <c r="AC1075" s="16">
        <f t="shared" si="409"/>
        <v>-1.0144569799577004E-2</v>
      </c>
    </row>
    <row r="1076" spans="1:29" x14ac:dyDescent="0.15">
      <c r="A1076" s="8">
        <v>42466</v>
      </c>
      <c r="B1076" s="4">
        <v>2066.66</v>
      </c>
      <c r="C1076" s="1">
        <v>14.1843</v>
      </c>
      <c r="D1076" s="1">
        <v>2.23</v>
      </c>
      <c r="E1076" s="1">
        <v>0.63759999999999994</v>
      </c>
      <c r="F1076" s="4">
        <f t="shared" si="399"/>
        <v>0.141843</v>
      </c>
      <c r="G1076" s="4">
        <f t="shared" si="400"/>
        <v>2.23E-2</v>
      </c>
      <c r="H1076" s="4">
        <f t="shared" si="401"/>
        <v>6.3759999999999997E-3</v>
      </c>
      <c r="I1076" s="3">
        <f t="shared" si="402"/>
        <v>62.351771140367376</v>
      </c>
      <c r="J1076" s="4">
        <f t="shared" si="412"/>
        <v>1551927.6722979615</v>
      </c>
      <c r="K1076" s="1">
        <f t="shared" si="413"/>
        <v>2072.7800000000002</v>
      </c>
      <c r="L1076" s="5">
        <f t="shared" si="414"/>
        <v>0.23561643835616441</v>
      </c>
      <c r="M1076" s="5">
        <f t="shared" si="415"/>
        <v>-0.52237080167167549</v>
      </c>
      <c r="N1076" s="5">
        <f t="shared" si="416"/>
        <v>63.835530689376867</v>
      </c>
      <c r="O1076" s="1">
        <f t="shared" si="417"/>
        <v>0</v>
      </c>
      <c r="P1076" s="1">
        <f t="shared" si="418"/>
        <v>2072.7800000000002</v>
      </c>
      <c r="Q1076" s="5">
        <f t="shared" si="419"/>
        <v>0.23561643835616441</v>
      </c>
      <c r="R1076" s="5">
        <f t="shared" si="420"/>
        <v>-0.52237080167167549</v>
      </c>
      <c r="S1076" s="5">
        <f t="shared" si="403"/>
        <v>63.835530689376867</v>
      </c>
      <c r="T1076" s="5">
        <f t="shared" si="404"/>
        <v>-727.77178948724622</v>
      </c>
      <c r="U1076" s="4">
        <f t="shared" si="405"/>
        <v>1551952.71573355</v>
      </c>
      <c r="V1076" s="4">
        <f t="shared" si="421"/>
        <v>25.043839714166051</v>
      </c>
      <c r="W1076" s="4">
        <f t="shared" si="406"/>
        <v>1505495.0173308742</v>
      </c>
      <c r="X1076" s="4">
        <f t="shared" si="410"/>
        <v>11721.116147030611</v>
      </c>
      <c r="Y1076" s="9">
        <f>SUM($X$6:X1076)</f>
        <v>505495.01733087422</v>
      </c>
      <c r="Z1076" s="16">
        <f t="shared" si="411"/>
        <v>0.50549501733087421</v>
      </c>
      <c r="AA1076" s="16">
        <f t="shared" si="407"/>
        <v>0.61829514666499608</v>
      </c>
      <c r="AB1076" s="16">
        <f t="shared" si="408"/>
        <v>7.8466467634368282E-3</v>
      </c>
      <c r="AC1076" s="16">
        <f t="shared" si="409"/>
        <v>1.0507683957812691E-2</v>
      </c>
    </row>
    <row r="1077" spans="1:29" x14ac:dyDescent="0.15">
      <c r="A1077" s="8">
        <v>42467</v>
      </c>
      <c r="B1077" s="4">
        <v>2041.91</v>
      </c>
      <c r="C1077" s="1">
        <v>15.6128</v>
      </c>
      <c r="D1077" s="1">
        <v>2.2599999999999998</v>
      </c>
      <c r="E1077" s="1">
        <v>0.63580000000000003</v>
      </c>
      <c r="F1077" s="4">
        <f t="shared" si="399"/>
        <v>0.15612799999999999</v>
      </c>
      <c r="G1077" s="4">
        <f t="shared" si="400"/>
        <v>2.2599999999999999E-2</v>
      </c>
      <c r="H1077" s="4">
        <f t="shared" si="401"/>
        <v>6.3579999999999999E-3</v>
      </c>
      <c r="I1077" s="3">
        <f t="shared" si="402"/>
        <v>67.4639934205928</v>
      </c>
      <c r="J1077" s="4">
        <f t="shared" si="412"/>
        <v>1551952.71573355</v>
      </c>
      <c r="K1077" s="1">
        <f t="shared" si="413"/>
        <v>2072.7800000000002</v>
      </c>
      <c r="L1077" s="5">
        <f t="shared" si="414"/>
        <v>0.23287671232876717</v>
      </c>
      <c r="M1077" s="5">
        <f t="shared" si="415"/>
        <v>-0.58075966447949845</v>
      </c>
      <c r="N1077" s="5">
        <f t="shared" si="416"/>
        <v>82.782681321516606</v>
      </c>
      <c r="O1077" s="1">
        <f t="shared" si="417"/>
        <v>0</v>
      </c>
      <c r="P1077" s="1">
        <f t="shared" si="418"/>
        <v>2072.7800000000002</v>
      </c>
      <c r="Q1077" s="5">
        <f t="shared" si="419"/>
        <v>0.23287671232876717</v>
      </c>
      <c r="R1077" s="5">
        <f t="shared" si="420"/>
        <v>-0.58075966447949845</v>
      </c>
      <c r="S1077" s="5">
        <f t="shared" si="403"/>
        <v>82.782681321516606</v>
      </c>
      <c r="T1077" s="5">
        <f t="shared" si="404"/>
        <v>-727.77178948724622</v>
      </c>
      <c r="U1077" s="4">
        <f t="shared" si="405"/>
        <v>1551977.7595732643</v>
      </c>
      <c r="V1077" s="4">
        <f t="shared" si="421"/>
        <v>25.04424384626445</v>
      </c>
      <c r="W1077" s="4">
        <f t="shared" si="406"/>
        <v>1491730.8594493517</v>
      </c>
      <c r="X1077" s="4">
        <f t="shared" si="410"/>
        <v>-13764.157881522551</v>
      </c>
      <c r="Y1077" s="9">
        <f>SUM($X$6:X1077)</f>
        <v>491730.85944935167</v>
      </c>
      <c r="Z1077" s="16">
        <f t="shared" si="411"/>
        <v>0.49173085944935169</v>
      </c>
      <c r="AA1077" s="16">
        <f t="shared" si="407"/>
        <v>0.59891469468936476</v>
      </c>
      <c r="AB1077" s="16">
        <f t="shared" si="408"/>
        <v>-9.1426127108180898E-3</v>
      </c>
      <c r="AC1077" s="16">
        <f t="shared" si="409"/>
        <v>-1.1975845083371128E-2</v>
      </c>
    </row>
    <row r="1078" spans="1:29" x14ac:dyDescent="0.15">
      <c r="A1078" s="8">
        <v>42468</v>
      </c>
      <c r="B1078" s="4">
        <v>2047.6</v>
      </c>
      <c r="C1078" s="1">
        <v>15.103199999999999</v>
      </c>
      <c r="D1078" s="1">
        <v>2.25</v>
      </c>
      <c r="E1078" s="1">
        <v>0.63780000000000003</v>
      </c>
      <c r="F1078" s="4">
        <f t="shared" si="399"/>
        <v>0.151032</v>
      </c>
      <c r="G1078" s="4">
        <f t="shared" si="400"/>
        <v>2.2499999999999999E-2</v>
      </c>
      <c r="H1078" s="4">
        <f t="shared" si="401"/>
        <v>6.378E-3</v>
      </c>
      <c r="I1078" s="3">
        <f t="shared" si="402"/>
        <v>65.554173634271592</v>
      </c>
      <c r="J1078" s="4">
        <f t="shared" si="412"/>
        <v>1551977.7595732643</v>
      </c>
      <c r="K1078" s="1">
        <f t="shared" si="413"/>
        <v>2072.7800000000002</v>
      </c>
      <c r="L1078" s="5">
        <f t="shared" si="414"/>
        <v>0.23013698630136992</v>
      </c>
      <c r="M1078" s="5">
        <f t="shared" si="415"/>
        <v>-0.56990615404955614</v>
      </c>
      <c r="N1078" s="5">
        <f t="shared" si="416"/>
        <v>77.125741972492335</v>
      </c>
      <c r="O1078" s="1">
        <f t="shared" si="417"/>
        <v>0</v>
      </c>
      <c r="P1078" s="1">
        <f t="shared" si="418"/>
        <v>2072.7800000000002</v>
      </c>
      <c r="Q1078" s="5">
        <f t="shared" si="419"/>
        <v>0.23013698630136992</v>
      </c>
      <c r="R1078" s="5">
        <f t="shared" si="420"/>
        <v>-0.56990615404955614</v>
      </c>
      <c r="S1078" s="5">
        <f t="shared" si="403"/>
        <v>77.125741972492335</v>
      </c>
      <c r="T1078" s="5">
        <f t="shared" si="404"/>
        <v>-727.77178948724622</v>
      </c>
      <c r="U1078" s="4">
        <f t="shared" si="405"/>
        <v>1552002.8038171106</v>
      </c>
      <c r="V1078" s="4">
        <f t="shared" si="421"/>
        <v>25.044647984884332</v>
      </c>
      <c r="W1078" s="4">
        <f t="shared" si="406"/>
        <v>1495872.8645662582</v>
      </c>
      <c r="X1078" s="4">
        <f t="shared" si="410"/>
        <v>4142.0051169064827</v>
      </c>
      <c r="Y1078" s="9">
        <f>SUM($X$6:X1078)</f>
        <v>495872.86456625815</v>
      </c>
      <c r="Z1078" s="16">
        <f t="shared" si="411"/>
        <v>0.49587286456625818</v>
      </c>
      <c r="AA1078" s="16">
        <f t="shared" si="407"/>
        <v>0.60337024102234815</v>
      </c>
      <c r="AB1078" s="16">
        <f t="shared" si="408"/>
        <v>2.7766437160356371E-3</v>
      </c>
      <c r="AC1078" s="16">
        <f t="shared" si="409"/>
        <v>2.7866066574921654E-3</v>
      </c>
    </row>
    <row r="1079" spans="1:29" x14ac:dyDescent="0.15">
      <c r="A1079" s="8">
        <v>42471</v>
      </c>
      <c r="B1079" s="4">
        <v>2041.99</v>
      </c>
      <c r="C1079" s="1">
        <v>15.578099999999999</v>
      </c>
      <c r="D1079" s="1">
        <v>2.25</v>
      </c>
      <c r="E1079" s="1">
        <v>0.63680000000000003</v>
      </c>
      <c r="F1079" s="4">
        <f t="shared" si="399"/>
        <v>0.155781</v>
      </c>
      <c r="G1079" s="4">
        <f t="shared" si="400"/>
        <v>2.2499999999999999E-2</v>
      </c>
      <c r="H1079" s="4">
        <f t="shared" si="401"/>
        <v>6.3680000000000004E-3</v>
      </c>
      <c r="I1079" s="3">
        <f t="shared" si="402"/>
        <v>67.297996118691444</v>
      </c>
      <c r="J1079" s="4">
        <f t="shared" si="412"/>
        <v>1552002.8038171106</v>
      </c>
      <c r="K1079" s="1">
        <f t="shared" si="413"/>
        <v>2072.7800000000002</v>
      </c>
      <c r="L1079" s="5">
        <f t="shared" si="414"/>
        <v>0.22191780821917814</v>
      </c>
      <c r="M1079" s="5">
        <f t="shared" si="415"/>
        <v>-0.58259971172033276</v>
      </c>
      <c r="N1079" s="5">
        <f t="shared" si="416"/>
        <v>80.950577874308294</v>
      </c>
      <c r="O1079" s="1">
        <f t="shared" si="417"/>
        <v>0</v>
      </c>
      <c r="P1079" s="1">
        <f t="shared" si="418"/>
        <v>2072.7800000000002</v>
      </c>
      <c r="Q1079" s="5">
        <f t="shared" si="419"/>
        <v>0.22191780821917814</v>
      </c>
      <c r="R1079" s="5">
        <f t="shared" si="420"/>
        <v>-0.58259971172033276</v>
      </c>
      <c r="S1079" s="5">
        <f t="shared" si="403"/>
        <v>80.950577874308294</v>
      </c>
      <c r="T1079" s="5">
        <f t="shared" si="404"/>
        <v>-727.77178948724622</v>
      </c>
      <c r="U1079" s="4">
        <f t="shared" si="405"/>
        <v>1552027.8484650955</v>
      </c>
      <c r="V1079" s="4">
        <f t="shared" si="421"/>
        <v>75.135156390077356</v>
      </c>
      <c r="W1079" s="4">
        <f t="shared" si="406"/>
        <v>1493114.3015454835</v>
      </c>
      <c r="X1079" s="4">
        <f t="shared" si="410"/>
        <v>-2758.563020774629</v>
      </c>
      <c r="Y1079" s="9">
        <f>SUM($X$6:X1079)</f>
        <v>493114.30154548353</v>
      </c>
      <c r="Z1079" s="16">
        <f t="shared" si="411"/>
        <v>0.49311430154548352</v>
      </c>
      <c r="AA1079" s="16">
        <f t="shared" si="407"/>
        <v>0.5989773385745385</v>
      </c>
      <c r="AB1079" s="16">
        <f t="shared" si="408"/>
        <v>-1.8441159580593763E-3</v>
      </c>
      <c r="AC1079" s="16">
        <f t="shared" si="409"/>
        <v>-2.7397929283062613E-3</v>
      </c>
    </row>
    <row r="1080" spans="1:29" x14ac:dyDescent="0.15">
      <c r="A1080" s="8">
        <v>42472</v>
      </c>
      <c r="B1080" s="4">
        <v>2061.7199999999998</v>
      </c>
      <c r="C1080" s="1">
        <v>14.7225</v>
      </c>
      <c r="D1080" s="1">
        <v>2.23</v>
      </c>
      <c r="E1080" s="1">
        <v>0.63660000000000005</v>
      </c>
      <c r="F1080" s="4">
        <f t="shared" si="399"/>
        <v>0.14722499999999999</v>
      </c>
      <c r="G1080" s="4">
        <f t="shared" si="400"/>
        <v>2.23E-2</v>
      </c>
      <c r="H1080" s="4">
        <f t="shared" si="401"/>
        <v>6.3660000000000001E-3</v>
      </c>
      <c r="I1080" s="3">
        <f t="shared" si="402"/>
        <v>64.403164646066045</v>
      </c>
      <c r="J1080" s="4">
        <f t="shared" si="412"/>
        <v>1552027.8484650955</v>
      </c>
      <c r="K1080" s="1">
        <f t="shared" si="413"/>
        <v>2072.7800000000002</v>
      </c>
      <c r="L1080" s="5">
        <f t="shared" si="414"/>
        <v>0.21917808219178089</v>
      </c>
      <c r="M1080" s="5">
        <f t="shared" si="415"/>
        <v>-0.5347569332271247</v>
      </c>
      <c r="N1080" s="5">
        <f t="shared" si="416"/>
        <v>66.231210340692854</v>
      </c>
      <c r="O1080" s="1">
        <f t="shared" si="417"/>
        <v>0</v>
      </c>
      <c r="P1080" s="1">
        <f t="shared" si="418"/>
        <v>2072.7800000000002</v>
      </c>
      <c r="Q1080" s="5">
        <f t="shared" si="419"/>
        <v>0.21917808219178089</v>
      </c>
      <c r="R1080" s="5">
        <f t="shared" si="420"/>
        <v>-0.5347569332271247</v>
      </c>
      <c r="S1080" s="5">
        <f t="shared" si="403"/>
        <v>66.231210340692854</v>
      </c>
      <c r="T1080" s="5">
        <f t="shared" si="404"/>
        <v>-727.77178948724622</v>
      </c>
      <c r="U1080" s="4">
        <f t="shared" si="405"/>
        <v>1552102.9836214855</v>
      </c>
      <c r="V1080" s="4">
        <f t="shared" si="421"/>
        <v>25.046264585015201</v>
      </c>
      <c r="W1080" s="4">
        <f t="shared" si="406"/>
        <v>1503901.7771519334</v>
      </c>
      <c r="X1080" s="4">
        <f t="shared" si="410"/>
        <v>10787.47560644988</v>
      </c>
      <c r="Y1080" s="9">
        <f>SUM($X$6:X1080)</f>
        <v>503901.77715193341</v>
      </c>
      <c r="Z1080" s="16">
        <f t="shared" si="411"/>
        <v>0.50390177715193341</v>
      </c>
      <c r="AA1080" s="16">
        <f t="shared" si="407"/>
        <v>0.61442688675551649</v>
      </c>
      <c r="AB1080" s="16">
        <f t="shared" si="408"/>
        <v>7.2248156723728691E-3</v>
      </c>
      <c r="AC1080" s="16">
        <f t="shared" si="409"/>
        <v>9.6621433013872691E-3</v>
      </c>
    </row>
    <row r="1081" spans="1:29" x14ac:dyDescent="0.15">
      <c r="A1081" s="8">
        <v>42473</v>
      </c>
      <c r="B1081" s="4">
        <v>2082.42</v>
      </c>
      <c r="C1081" s="1">
        <v>13.9518</v>
      </c>
      <c r="D1081" s="1">
        <v>2.21</v>
      </c>
      <c r="E1081" s="1">
        <v>0.63529999999999998</v>
      </c>
      <c r="F1081" s="4">
        <f t="shared" si="399"/>
        <v>0.139518</v>
      </c>
      <c r="G1081" s="4">
        <f t="shared" si="400"/>
        <v>2.2099999999999998E-2</v>
      </c>
      <c r="H1081" s="4">
        <f t="shared" si="401"/>
        <v>6.3530000000000001E-3</v>
      </c>
      <c r="I1081" s="3">
        <f t="shared" si="402"/>
        <v>61.822245814618086</v>
      </c>
      <c r="J1081" s="4">
        <f t="shared" si="412"/>
        <v>1552102.9836214855</v>
      </c>
      <c r="K1081" s="1">
        <f t="shared" si="413"/>
        <v>2072.7800000000002</v>
      </c>
      <c r="L1081" s="5">
        <f t="shared" si="414"/>
        <v>0.21643835616438364</v>
      </c>
      <c r="M1081" s="5">
        <f t="shared" si="415"/>
        <v>-0.47720320756550183</v>
      </c>
      <c r="N1081" s="5">
        <f t="shared" si="416"/>
        <v>52.357528061738556</v>
      </c>
      <c r="O1081" s="1">
        <f t="shared" si="417"/>
        <v>0</v>
      </c>
      <c r="P1081" s="1">
        <f t="shared" si="418"/>
        <v>2072.7800000000002</v>
      </c>
      <c r="Q1081" s="5">
        <f t="shared" si="419"/>
        <v>0.21643835616438364</v>
      </c>
      <c r="R1081" s="5">
        <f t="shared" si="420"/>
        <v>-0.47720320756550183</v>
      </c>
      <c r="S1081" s="5">
        <f t="shared" si="403"/>
        <v>52.357528061738556</v>
      </c>
      <c r="T1081" s="5">
        <f t="shared" si="404"/>
        <v>-727.77178948724622</v>
      </c>
      <c r="U1081" s="4">
        <f t="shared" si="405"/>
        <v>1552128.0298860706</v>
      </c>
      <c r="V1081" s="4">
        <f t="shared" si="421"/>
        <v>25.046668756243715</v>
      </c>
      <c r="W1081" s="4">
        <f t="shared" si="406"/>
        <v>1514023.6979954503</v>
      </c>
      <c r="X1081" s="4">
        <f t="shared" si="410"/>
        <v>10121.920843516942</v>
      </c>
      <c r="Y1081" s="9">
        <f>SUM($X$6:X1081)</f>
        <v>514023.69799545035</v>
      </c>
      <c r="Z1081" s="16">
        <f t="shared" si="411"/>
        <v>0.51402369799545033</v>
      </c>
      <c r="AA1081" s="16">
        <f t="shared" si="407"/>
        <v>0.63063599204422671</v>
      </c>
      <c r="AB1081" s="16">
        <f t="shared" si="408"/>
        <v>6.730440110713669E-3</v>
      </c>
      <c r="AC1081" s="16">
        <f t="shared" si="409"/>
        <v>1.0040160642570415E-2</v>
      </c>
    </row>
    <row r="1082" spans="1:29" x14ac:dyDescent="0.15">
      <c r="A1082" s="8">
        <v>42474</v>
      </c>
      <c r="B1082" s="4">
        <v>2082.7800000000002</v>
      </c>
      <c r="C1082" s="1">
        <v>13.8704</v>
      </c>
      <c r="D1082" s="1">
        <v>2.21</v>
      </c>
      <c r="E1082" s="1">
        <v>0.63990000000000002</v>
      </c>
      <c r="F1082" s="4">
        <f t="shared" si="399"/>
        <v>0.13870399999999999</v>
      </c>
      <c r="G1082" s="4">
        <f t="shared" si="400"/>
        <v>2.2099999999999998E-2</v>
      </c>
      <c r="H1082" s="4">
        <f t="shared" si="401"/>
        <v>6.3990000000000002E-3</v>
      </c>
      <c r="I1082" s="3">
        <f t="shared" si="402"/>
        <v>61.484361388265135</v>
      </c>
      <c r="J1082" s="4">
        <f t="shared" si="412"/>
        <v>1552128.0298860706</v>
      </c>
      <c r="K1082" s="1">
        <f t="shared" si="413"/>
        <v>2072.7800000000002</v>
      </c>
      <c r="L1082" s="5">
        <f t="shared" si="414"/>
        <v>0.21369863013698639</v>
      </c>
      <c r="M1082" s="5">
        <f t="shared" si="415"/>
        <v>-0.47589937587604342</v>
      </c>
      <c r="N1082" s="5">
        <f t="shared" si="416"/>
        <v>51.482772660624249</v>
      </c>
      <c r="O1082" s="1">
        <f t="shared" si="417"/>
        <v>0</v>
      </c>
      <c r="P1082" s="1">
        <f t="shared" si="418"/>
        <v>2072.7800000000002</v>
      </c>
      <c r="Q1082" s="5">
        <f t="shared" si="419"/>
        <v>0.21369863013698639</v>
      </c>
      <c r="R1082" s="5">
        <f t="shared" si="420"/>
        <v>-0.47589937587604342</v>
      </c>
      <c r="S1082" s="5">
        <f t="shared" si="403"/>
        <v>51.482772660624249</v>
      </c>
      <c r="T1082" s="5">
        <f t="shared" si="404"/>
        <v>-727.77178948724622</v>
      </c>
      <c r="U1082" s="4">
        <f t="shared" si="405"/>
        <v>1552153.0765548269</v>
      </c>
      <c r="V1082" s="4">
        <f t="shared" si="421"/>
        <v>25.047072933994329</v>
      </c>
      <c r="W1082" s="4">
        <f t="shared" si="406"/>
        <v>1514685.3669678394</v>
      </c>
      <c r="X1082" s="4">
        <f t="shared" si="410"/>
        <v>661.66897238907404</v>
      </c>
      <c r="Y1082" s="9">
        <f>SUM($X$6:X1082)</f>
        <v>514685.36696783942</v>
      </c>
      <c r="Z1082" s="16">
        <f t="shared" si="411"/>
        <v>0.5146853669678394</v>
      </c>
      <c r="AA1082" s="16">
        <f t="shared" si="407"/>
        <v>0.63091788952750871</v>
      </c>
      <c r="AB1082" s="16">
        <f t="shared" si="408"/>
        <v>4.3702682676969722E-4</v>
      </c>
      <c r="AC1082" s="16">
        <f t="shared" si="409"/>
        <v>1.728757887458473E-4</v>
      </c>
    </row>
    <row r="1083" spans="1:29" x14ac:dyDescent="0.15">
      <c r="A1083" s="8">
        <v>42475</v>
      </c>
      <c r="B1083" s="4">
        <v>2080.73</v>
      </c>
      <c r="C1083" s="1">
        <v>13.6798</v>
      </c>
      <c r="D1083" s="1">
        <v>2.21</v>
      </c>
      <c r="E1083" s="1">
        <v>0.6401</v>
      </c>
      <c r="F1083" s="4">
        <f t="shared" si="399"/>
        <v>0.136798</v>
      </c>
      <c r="G1083" s="4">
        <f t="shared" si="400"/>
        <v>2.2099999999999998E-2</v>
      </c>
      <c r="H1083" s="4">
        <f t="shared" si="401"/>
        <v>6.4010000000000004E-3</v>
      </c>
      <c r="I1083" s="3">
        <f t="shared" si="402"/>
        <v>60.637836633381809</v>
      </c>
      <c r="J1083" s="4">
        <f t="shared" si="412"/>
        <v>1552153.0765548269</v>
      </c>
      <c r="K1083" s="1">
        <f t="shared" si="413"/>
        <v>2072.7800000000002</v>
      </c>
      <c r="L1083" s="5">
        <f t="shared" si="414"/>
        <v>0.21095890410958915</v>
      </c>
      <c r="M1083" s="5">
        <f t="shared" si="415"/>
        <v>-0.48194102585922216</v>
      </c>
      <c r="N1083" s="5">
        <f t="shared" si="416"/>
        <v>51.358795942632014</v>
      </c>
      <c r="O1083" s="1">
        <f t="shared" si="417"/>
        <v>0</v>
      </c>
      <c r="P1083" s="1">
        <f t="shared" si="418"/>
        <v>2072.7800000000002</v>
      </c>
      <c r="Q1083" s="5">
        <f t="shared" si="419"/>
        <v>0.21095890410958915</v>
      </c>
      <c r="R1083" s="5">
        <f t="shared" si="420"/>
        <v>-0.48194102585922216</v>
      </c>
      <c r="S1083" s="5">
        <f t="shared" si="403"/>
        <v>51.358795942632014</v>
      </c>
      <c r="T1083" s="5">
        <f t="shared" si="404"/>
        <v>-727.77178948724622</v>
      </c>
      <c r="U1083" s="4">
        <f t="shared" si="405"/>
        <v>1552178.1236277609</v>
      </c>
      <c r="V1083" s="4">
        <f t="shared" si="421"/>
        <v>25.047477118267153</v>
      </c>
      <c r="W1083" s="4">
        <f t="shared" si="406"/>
        <v>1514800.6407986812</v>
      </c>
      <c r="X1083" s="4">
        <f t="shared" si="410"/>
        <v>115.27383084176108</v>
      </c>
      <c r="Y1083" s="9">
        <f>SUM($X$6:X1083)</f>
        <v>514800.64079868118</v>
      </c>
      <c r="Z1083" s="16">
        <f t="shared" si="411"/>
        <v>0.51480064079868115</v>
      </c>
      <c r="AA1083" s="16">
        <f t="shared" si="407"/>
        <v>0.62931263996993103</v>
      </c>
      <c r="AB1083" s="16">
        <f t="shared" si="408"/>
        <v>7.6104142388673797E-5</v>
      </c>
      <c r="AC1083" s="16">
        <f t="shared" si="409"/>
        <v>-9.8426141983319485E-4</v>
      </c>
    </row>
    <row r="1084" spans="1:29" x14ac:dyDescent="0.15">
      <c r="A1084" s="8">
        <v>42478</v>
      </c>
      <c r="B1084" s="4">
        <v>2094.34</v>
      </c>
      <c r="C1084" s="1">
        <v>13.2354</v>
      </c>
      <c r="D1084" s="1">
        <v>2.2000000000000002</v>
      </c>
      <c r="E1084" s="1">
        <v>0.64139999999999997</v>
      </c>
      <c r="F1084" s="4">
        <f t="shared" si="399"/>
        <v>0.132354</v>
      </c>
      <c r="G1084" s="4">
        <f t="shared" si="400"/>
        <v>2.2000000000000002E-2</v>
      </c>
      <c r="H1084" s="4">
        <f t="shared" si="401"/>
        <v>6.4139999999999996E-3</v>
      </c>
      <c r="I1084" s="3">
        <f t="shared" si="402"/>
        <v>59.16109357766851</v>
      </c>
      <c r="J1084" s="4">
        <f t="shared" si="412"/>
        <v>1552178.1236277609</v>
      </c>
      <c r="K1084" s="1">
        <f t="shared" si="413"/>
        <v>2072.7800000000002</v>
      </c>
      <c r="L1084" s="5">
        <f t="shared" si="414"/>
        <v>0.20273972602739737</v>
      </c>
      <c r="M1084" s="5">
        <f t="shared" si="415"/>
        <v>-0.4382614135182113</v>
      </c>
      <c r="N1084" s="5">
        <f t="shared" si="416"/>
        <v>42.278186603577176</v>
      </c>
      <c r="O1084" s="1">
        <f t="shared" si="417"/>
        <v>0</v>
      </c>
      <c r="P1084" s="1">
        <f t="shared" si="418"/>
        <v>2072.7800000000002</v>
      </c>
      <c r="Q1084" s="5">
        <f t="shared" si="419"/>
        <v>0.20273972602739737</v>
      </c>
      <c r="R1084" s="5">
        <f t="shared" si="420"/>
        <v>-0.4382614135182113</v>
      </c>
      <c r="S1084" s="5">
        <f t="shared" si="403"/>
        <v>42.278186603577176</v>
      </c>
      <c r="T1084" s="5">
        <f t="shared" si="404"/>
        <v>-727.77178948724622</v>
      </c>
      <c r="U1084" s="4">
        <f t="shared" si="405"/>
        <v>1552203.1711048791</v>
      </c>
      <c r="V1084" s="4">
        <f t="shared" si="421"/>
        <v>75.143643927186872</v>
      </c>
      <c r="W1084" s="4">
        <f t="shared" si="406"/>
        <v>1521434.299584118</v>
      </c>
      <c r="X1084" s="4">
        <f t="shared" si="410"/>
        <v>6633.6587854367681</v>
      </c>
      <c r="Y1084" s="9">
        <f>SUM($X$6:X1084)</f>
        <v>521434.29958411795</v>
      </c>
      <c r="Z1084" s="16">
        <f t="shared" si="411"/>
        <v>0.52143429958411791</v>
      </c>
      <c r="AA1084" s="16">
        <f t="shared" si="407"/>
        <v>0.63996993093511678</v>
      </c>
      <c r="AB1084" s="16">
        <f t="shared" si="408"/>
        <v>4.3792289274047049E-3</v>
      </c>
      <c r="AC1084" s="16">
        <f t="shared" si="409"/>
        <v>6.5409736006113847E-3</v>
      </c>
    </row>
    <row r="1085" spans="1:29" x14ac:dyDescent="0.15">
      <c r="A1085" s="8">
        <v>42479</v>
      </c>
      <c r="B1085" s="4">
        <v>2100.8000000000002</v>
      </c>
      <c r="C1085" s="1">
        <v>13.1333</v>
      </c>
      <c r="D1085" s="1">
        <v>2.19</v>
      </c>
      <c r="E1085" s="1">
        <v>0.64190000000000003</v>
      </c>
      <c r="F1085" s="4">
        <f t="shared" si="399"/>
        <v>0.13133300000000001</v>
      </c>
      <c r="G1085" s="4">
        <f t="shared" si="400"/>
        <v>2.1899999999999999E-2</v>
      </c>
      <c r="H1085" s="4">
        <f t="shared" si="401"/>
        <v>6.4190000000000002E-3</v>
      </c>
      <c r="I1085" s="3">
        <f t="shared" si="402"/>
        <v>58.890801701552576</v>
      </c>
      <c r="J1085" s="4">
        <f t="shared" si="412"/>
        <v>1552203.1711048791</v>
      </c>
      <c r="K1085" s="1">
        <f t="shared" si="413"/>
        <v>2072.7800000000002</v>
      </c>
      <c r="L1085" s="5">
        <f t="shared" si="414"/>
        <v>0.20000000000000012</v>
      </c>
      <c r="M1085" s="5">
        <f t="shared" si="415"/>
        <v>-0.41685176976616339</v>
      </c>
      <c r="N1085" s="5">
        <f t="shared" si="416"/>
        <v>38.753821511571481</v>
      </c>
      <c r="O1085" s="1">
        <f t="shared" si="417"/>
        <v>0</v>
      </c>
      <c r="P1085" s="1">
        <f t="shared" si="418"/>
        <v>2072.7800000000002</v>
      </c>
      <c r="Q1085" s="5">
        <f t="shared" si="419"/>
        <v>0.20000000000000012</v>
      </c>
      <c r="R1085" s="5">
        <f t="shared" si="420"/>
        <v>-0.41685176976616339</v>
      </c>
      <c r="S1085" s="5">
        <f t="shared" si="403"/>
        <v>38.753821511571481</v>
      </c>
      <c r="T1085" s="5">
        <f t="shared" si="404"/>
        <v>-727.77178948724622</v>
      </c>
      <c r="U1085" s="4">
        <f t="shared" si="405"/>
        <v>1552278.3147488064</v>
      </c>
      <c r="V1085" s="4">
        <f t="shared" si="421"/>
        <v>25.049093901014984</v>
      </c>
      <c r="W1085" s="4">
        <f t="shared" si="406"/>
        <v>1524074.3767178608</v>
      </c>
      <c r="X1085" s="4">
        <f t="shared" si="410"/>
        <v>2640.0771337428596</v>
      </c>
      <c r="Y1085" s="9">
        <f>SUM($X$6:X1085)</f>
        <v>524074.37671786081</v>
      </c>
      <c r="Z1085" s="16">
        <f t="shared" si="411"/>
        <v>0.52407437671786083</v>
      </c>
      <c r="AA1085" s="16">
        <f t="shared" si="407"/>
        <v>0.64502842466289778</v>
      </c>
      <c r="AB1085" s="16">
        <f t="shared" si="408"/>
        <v>1.7352554326299343E-3</v>
      </c>
      <c r="AC1085" s="16">
        <f t="shared" si="409"/>
        <v>3.0845039487380444E-3</v>
      </c>
    </row>
    <row r="1086" spans="1:29" x14ac:dyDescent="0.15">
      <c r="A1086" s="8">
        <v>42480</v>
      </c>
      <c r="B1086" s="4">
        <v>2102.4</v>
      </c>
      <c r="C1086" s="1">
        <v>13.277200000000001</v>
      </c>
      <c r="D1086" s="1">
        <v>2.19</v>
      </c>
      <c r="E1086" s="1">
        <v>0.64219999999999999</v>
      </c>
      <c r="F1086" s="4">
        <f t="shared" si="399"/>
        <v>0.132772</v>
      </c>
      <c r="G1086" s="4">
        <f t="shared" si="400"/>
        <v>2.1899999999999999E-2</v>
      </c>
      <c r="H1086" s="4">
        <f t="shared" si="401"/>
        <v>6.4219999999999998E-3</v>
      </c>
      <c r="I1086" s="3">
        <f t="shared" si="402"/>
        <v>59.533977779155428</v>
      </c>
      <c r="J1086" s="4">
        <f t="shared" si="412"/>
        <v>1552278.3147488064</v>
      </c>
      <c r="K1086" s="1">
        <f t="shared" si="413"/>
        <v>2072.7800000000002</v>
      </c>
      <c r="L1086" s="5">
        <f t="shared" si="414"/>
        <v>0.19726027397260287</v>
      </c>
      <c r="M1086" s="5">
        <f t="shared" si="415"/>
        <v>-0.41180600521727895</v>
      </c>
      <c r="N1086" s="5">
        <f t="shared" si="416"/>
        <v>38.246292410139027</v>
      </c>
      <c r="O1086" s="1">
        <f t="shared" si="417"/>
        <v>0</v>
      </c>
      <c r="P1086" s="1">
        <f t="shared" si="418"/>
        <v>2072.7800000000002</v>
      </c>
      <c r="Q1086" s="5">
        <f t="shared" si="419"/>
        <v>0.19726027397260287</v>
      </c>
      <c r="R1086" s="5">
        <f t="shared" si="420"/>
        <v>-0.41180600521727895</v>
      </c>
      <c r="S1086" s="5">
        <f t="shared" si="403"/>
        <v>38.246292410139027</v>
      </c>
      <c r="T1086" s="5">
        <f t="shared" si="404"/>
        <v>-727.77178948724622</v>
      </c>
      <c r="U1086" s="4">
        <f t="shared" si="405"/>
        <v>1552303.3638427074</v>
      </c>
      <c r="V1086" s="4">
        <f t="shared" si="421"/>
        <v>25.049498117900125</v>
      </c>
      <c r="W1086" s="4">
        <f t="shared" si="406"/>
        <v>1524468.791174128</v>
      </c>
      <c r="X1086" s="4">
        <f t="shared" si="410"/>
        <v>394.41445626714267</v>
      </c>
      <c r="Y1086" s="9">
        <f>SUM($X$6:X1086)</f>
        <v>524468.79117412795</v>
      </c>
      <c r="Z1086" s="16">
        <f t="shared" si="411"/>
        <v>0.52446879117412792</v>
      </c>
      <c r="AA1086" s="16">
        <f t="shared" si="407"/>
        <v>0.64628130236637293</v>
      </c>
      <c r="AB1086" s="16">
        <f t="shared" si="408"/>
        <v>2.5878950679331401E-4</v>
      </c>
      <c r="AC1086" s="16">
        <f t="shared" si="409"/>
        <v>7.6161462300071826E-4</v>
      </c>
    </row>
    <row r="1087" spans="1:29" x14ac:dyDescent="0.15">
      <c r="A1087" s="8">
        <v>42481</v>
      </c>
      <c r="B1087" s="4">
        <v>2091.48</v>
      </c>
      <c r="C1087" s="1">
        <v>13.777200000000001</v>
      </c>
      <c r="D1087" s="1">
        <v>2.2000000000000002</v>
      </c>
      <c r="E1087" s="1">
        <v>0.6452</v>
      </c>
      <c r="F1087" s="4">
        <f t="shared" si="399"/>
        <v>0.13777200000000001</v>
      </c>
      <c r="G1087" s="4">
        <f t="shared" si="400"/>
        <v>2.2000000000000002E-2</v>
      </c>
      <c r="H1087" s="4">
        <f t="shared" si="401"/>
        <v>6.4520000000000003E-3</v>
      </c>
      <c r="I1087" s="3">
        <f t="shared" si="402"/>
        <v>61.313943639514335</v>
      </c>
      <c r="J1087" s="4">
        <f t="shared" si="412"/>
        <v>1552303.3638427074</v>
      </c>
      <c r="K1087" s="1">
        <f t="shared" si="413"/>
        <v>2072.7800000000002</v>
      </c>
      <c r="L1087" s="5">
        <f t="shared" si="414"/>
        <v>0.19452054794520562</v>
      </c>
      <c r="M1087" s="5">
        <f t="shared" si="415"/>
        <v>-0.44699335822332847</v>
      </c>
      <c r="N1087" s="5">
        <f t="shared" si="416"/>
        <v>44.383073015512331</v>
      </c>
      <c r="O1087" s="1">
        <f t="shared" si="417"/>
        <v>0</v>
      </c>
      <c r="P1087" s="1">
        <f t="shared" si="418"/>
        <v>2072.7800000000002</v>
      </c>
      <c r="Q1087" s="5">
        <f t="shared" si="419"/>
        <v>0.19452054794520562</v>
      </c>
      <c r="R1087" s="5">
        <f t="shared" si="420"/>
        <v>-0.44699335822332847</v>
      </c>
      <c r="S1087" s="5">
        <f t="shared" si="403"/>
        <v>44.383073015512331</v>
      </c>
      <c r="T1087" s="5">
        <f t="shared" si="404"/>
        <v>-727.77178948724622</v>
      </c>
      <c r="U1087" s="4">
        <f t="shared" si="405"/>
        <v>1552328.4133408254</v>
      </c>
      <c r="V1087" s="4">
        <f t="shared" si="421"/>
        <v>25.049902341308108</v>
      </c>
      <c r="W1087" s="4">
        <f t="shared" si="406"/>
        <v>1520027.6648693827</v>
      </c>
      <c r="X1087" s="4">
        <f t="shared" si="410"/>
        <v>-4441.1263047452085</v>
      </c>
      <c r="Y1087" s="9">
        <f>SUM($X$6:X1087)</f>
        <v>520027.66486938274</v>
      </c>
      <c r="Z1087" s="16">
        <f t="shared" si="411"/>
        <v>0.52002766486938279</v>
      </c>
      <c r="AA1087" s="16">
        <f t="shared" si="407"/>
        <v>0.63773041204015479</v>
      </c>
      <c r="AB1087" s="16">
        <f t="shared" si="408"/>
        <v>-2.9132287459454681E-3</v>
      </c>
      <c r="AC1087" s="16">
        <f t="shared" si="409"/>
        <v>-5.194063926940674E-3</v>
      </c>
    </row>
    <row r="1088" spans="1:29" x14ac:dyDescent="0.15">
      <c r="A1088" s="8">
        <v>42482</v>
      </c>
      <c r="B1088" s="4">
        <v>2091.58</v>
      </c>
      <c r="C1088" s="1">
        <v>13.4519</v>
      </c>
      <c r="D1088" s="1">
        <v>2.2000000000000002</v>
      </c>
      <c r="E1088" s="1">
        <v>0.64290000000000003</v>
      </c>
      <c r="F1088" s="4">
        <f t="shared" si="399"/>
        <v>0.134519</v>
      </c>
      <c r="G1088" s="4">
        <f t="shared" si="400"/>
        <v>2.2000000000000002E-2</v>
      </c>
      <c r="H1088" s="4">
        <f t="shared" si="401"/>
        <v>6.4290000000000007E-3</v>
      </c>
      <c r="I1088" s="3">
        <f t="shared" si="402"/>
        <v>59.975746306897783</v>
      </c>
      <c r="J1088" s="4">
        <f t="shared" si="412"/>
        <v>1552328.4133408254</v>
      </c>
      <c r="K1088" s="1">
        <f t="shared" si="413"/>
        <v>2072.7800000000002</v>
      </c>
      <c r="L1088" s="5">
        <f t="shared" si="414"/>
        <v>0.19178082191780838</v>
      </c>
      <c r="M1088" s="5">
        <f t="shared" si="415"/>
        <v>-0.44559508863445102</v>
      </c>
      <c r="N1088" s="5">
        <f t="shared" si="416"/>
        <v>42.776336847027103</v>
      </c>
      <c r="O1088" s="1">
        <f t="shared" si="417"/>
        <v>0</v>
      </c>
      <c r="P1088" s="1">
        <f t="shared" si="418"/>
        <v>2072.7800000000002</v>
      </c>
      <c r="Q1088" s="5">
        <f t="shared" si="419"/>
        <v>0.19178082191780838</v>
      </c>
      <c r="R1088" s="5">
        <f t="shared" si="420"/>
        <v>-0.44559508863445102</v>
      </c>
      <c r="S1088" s="5">
        <f t="shared" si="403"/>
        <v>42.776336847027103</v>
      </c>
      <c r="T1088" s="5">
        <f t="shared" si="404"/>
        <v>-727.77178948724622</v>
      </c>
      <c r="U1088" s="4">
        <f t="shared" si="405"/>
        <v>1552353.4632431667</v>
      </c>
      <c r="V1088" s="4">
        <f t="shared" si="421"/>
        <v>25.050306571239044</v>
      </c>
      <c r="W1088" s="4">
        <f t="shared" si="406"/>
        <v>1521222.0520282965</v>
      </c>
      <c r="X1088" s="4">
        <f t="shared" si="410"/>
        <v>1194.3871589137707</v>
      </c>
      <c r="Y1088" s="9">
        <f>SUM($X$6:X1088)</f>
        <v>521222.05202829652</v>
      </c>
      <c r="Z1088" s="16">
        <f t="shared" si="411"/>
        <v>0.52122205202829652</v>
      </c>
      <c r="AA1088" s="16">
        <f t="shared" si="407"/>
        <v>0.637808716896622</v>
      </c>
      <c r="AB1088" s="16">
        <f t="shared" si="408"/>
        <v>7.8576672419735554E-4</v>
      </c>
      <c r="AC1088" s="16">
        <f t="shared" si="409"/>
        <v>4.7813031919936622E-5</v>
      </c>
    </row>
    <row r="1089" spans="1:29" x14ac:dyDescent="0.15">
      <c r="A1089" s="8">
        <v>42485</v>
      </c>
      <c r="B1089" s="4">
        <v>2087.79</v>
      </c>
      <c r="C1089" s="1">
        <v>13.8705</v>
      </c>
      <c r="D1089" s="1">
        <v>2.2000000000000002</v>
      </c>
      <c r="E1089" s="1">
        <v>0.64090000000000003</v>
      </c>
      <c r="F1089" s="4">
        <f t="shared" si="399"/>
        <v>0.13870499999999999</v>
      </c>
      <c r="G1089" s="4">
        <f t="shared" si="400"/>
        <v>2.2000000000000002E-2</v>
      </c>
      <c r="H1089" s="4">
        <f t="shared" si="401"/>
        <v>6.4090000000000006E-3</v>
      </c>
      <c r="I1089" s="3">
        <f t="shared" si="402"/>
        <v>61.603553835717371</v>
      </c>
      <c r="J1089" s="4">
        <f t="shared" si="412"/>
        <v>1552353.4632431667</v>
      </c>
      <c r="K1089" s="1">
        <f t="shared" si="413"/>
        <v>2072.7800000000002</v>
      </c>
      <c r="L1089" s="5">
        <f t="shared" si="414"/>
        <v>0.1835616438356166</v>
      </c>
      <c r="M1089" s="5">
        <f t="shared" si="415"/>
        <v>-0.45714308713331492</v>
      </c>
      <c r="N1089" s="5">
        <f t="shared" si="416"/>
        <v>44.79878422714247</v>
      </c>
      <c r="O1089" s="1">
        <f t="shared" si="417"/>
        <v>0</v>
      </c>
      <c r="P1089" s="1">
        <f t="shared" si="418"/>
        <v>2072.7800000000002</v>
      </c>
      <c r="Q1089" s="5">
        <f t="shared" si="419"/>
        <v>0.1835616438356166</v>
      </c>
      <c r="R1089" s="5">
        <f t="shared" si="420"/>
        <v>-0.45714308713331492</v>
      </c>
      <c r="S1089" s="5">
        <f t="shared" si="403"/>
        <v>44.79878422714247</v>
      </c>
      <c r="T1089" s="5">
        <f t="shared" si="404"/>
        <v>-727.77178948724622</v>
      </c>
      <c r="U1089" s="4">
        <f t="shared" si="405"/>
        <v>1552378.5135497379</v>
      </c>
      <c r="V1089" s="4">
        <f t="shared" si="421"/>
        <v>75.152132423079081</v>
      </c>
      <c r="W1089" s="4">
        <f t="shared" si="406"/>
        <v>1519775.2221858974</v>
      </c>
      <c r="X1089" s="4">
        <f t="shared" si="410"/>
        <v>-1446.8298423991073</v>
      </c>
      <c r="Y1089" s="9">
        <f>SUM($X$6:X1089)</f>
        <v>519775.22218589741</v>
      </c>
      <c r="Z1089" s="16">
        <f t="shared" si="411"/>
        <v>0.51977522218589745</v>
      </c>
      <c r="AA1089" s="16">
        <f t="shared" si="407"/>
        <v>0.63484096283651514</v>
      </c>
      <c r="AB1089" s="16">
        <f t="shared" si="408"/>
        <v>-9.510970738755729E-4</v>
      </c>
      <c r="AC1089" s="16">
        <f t="shared" si="409"/>
        <v>-1.8120272712494688E-3</v>
      </c>
    </row>
    <row r="1090" spans="1:29" x14ac:dyDescent="0.15">
      <c r="A1090" s="8">
        <v>42486</v>
      </c>
      <c r="B1090" s="4">
        <v>2091.6999999999998</v>
      </c>
      <c r="C1090" s="1">
        <v>13.6624</v>
      </c>
      <c r="D1090" s="1">
        <v>2.2000000000000002</v>
      </c>
      <c r="E1090" s="1">
        <v>0.64139999999999997</v>
      </c>
      <c r="F1090" s="4">
        <f t="shared" si="399"/>
        <v>0.136624</v>
      </c>
      <c r="G1090" s="4">
        <f t="shared" si="400"/>
        <v>2.2000000000000002E-2</v>
      </c>
      <c r="H1090" s="4">
        <f t="shared" si="401"/>
        <v>6.4139999999999996E-3</v>
      </c>
      <c r="I1090" s="3">
        <f t="shared" si="402"/>
        <v>60.855410185731465</v>
      </c>
      <c r="J1090" s="4">
        <f t="shared" si="412"/>
        <v>1552378.5135497379</v>
      </c>
      <c r="K1090" s="1">
        <f t="shared" si="413"/>
        <v>2072.7800000000002</v>
      </c>
      <c r="L1090" s="5">
        <f t="shared" si="414"/>
        <v>0.18082191780821935</v>
      </c>
      <c r="M1090" s="5">
        <f t="shared" si="415"/>
        <v>-0.44377037187468399</v>
      </c>
      <c r="N1090" s="5">
        <f t="shared" si="416"/>
        <v>41.900515090046873</v>
      </c>
      <c r="O1090" s="1">
        <f t="shared" si="417"/>
        <v>0</v>
      </c>
      <c r="P1090" s="1">
        <f t="shared" si="418"/>
        <v>2072.7800000000002</v>
      </c>
      <c r="Q1090" s="5">
        <f t="shared" si="419"/>
        <v>0.18082191780821935</v>
      </c>
      <c r="R1090" s="5">
        <f t="shared" si="420"/>
        <v>-0.44377037187468399</v>
      </c>
      <c r="S1090" s="5">
        <f t="shared" si="403"/>
        <v>41.900515090046873</v>
      </c>
      <c r="T1090" s="5">
        <f t="shared" si="404"/>
        <v>-727.77178948724622</v>
      </c>
      <c r="U1090" s="4">
        <f t="shared" si="405"/>
        <v>1552453.665682161</v>
      </c>
      <c r="V1090" s="4">
        <f t="shared" si="421"/>
        <v>25.051923536624461</v>
      </c>
      <c r="W1090" s="4">
        <f t="shared" si="406"/>
        <v>1521959.6528346401</v>
      </c>
      <c r="X1090" s="4">
        <f t="shared" si="410"/>
        <v>2184.4306487427093</v>
      </c>
      <c r="Y1090" s="9">
        <f>SUM($X$6:X1090)</f>
        <v>521959.65283464012</v>
      </c>
      <c r="Z1090" s="16">
        <f t="shared" si="411"/>
        <v>0.52195965283464008</v>
      </c>
      <c r="AA1090" s="16">
        <f t="shared" si="407"/>
        <v>0.63790268272438244</v>
      </c>
      <c r="AB1090" s="16">
        <f t="shared" si="408"/>
        <v>1.4373379805474366E-3</v>
      </c>
      <c r="AC1090" s="16">
        <f t="shared" si="409"/>
        <v>1.8727937196748019E-3</v>
      </c>
    </row>
    <row r="1091" spans="1:29" x14ac:dyDescent="0.15">
      <c r="A1091" s="8">
        <v>42487</v>
      </c>
      <c r="B1091" s="4">
        <v>2095.15</v>
      </c>
      <c r="C1091" s="1">
        <v>13.508800000000001</v>
      </c>
      <c r="D1091" s="1">
        <v>2.19</v>
      </c>
      <c r="E1091" s="1">
        <v>0.64539999999999997</v>
      </c>
      <c r="F1091" s="4">
        <f t="shared" si="399"/>
        <v>0.13508800000000001</v>
      </c>
      <c r="G1091" s="4">
        <f t="shared" si="400"/>
        <v>2.1899999999999999E-2</v>
      </c>
      <c r="H1091" s="4">
        <f t="shared" si="401"/>
        <v>6.4539999999999997E-3</v>
      </c>
      <c r="I1091" s="3">
        <f t="shared" si="402"/>
        <v>60.280764129404041</v>
      </c>
      <c r="J1091" s="4">
        <f t="shared" si="412"/>
        <v>1552453.665682161</v>
      </c>
      <c r="K1091" s="1">
        <f t="shared" si="413"/>
        <v>2072.7800000000002</v>
      </c>
      <c r="L1091" s="5">
        <f t="shared" si="414"/>
        <v>0.1780821917808221</v>
      </c>
      <c r="M1091" s="5">
        <f t="shared" si="415"/>
        <v>-0.43138838389555284</v>
      </c>
      <c r="N1091" s="5">
        <f t="shared" si="416"/>
        <v>39.43301883348127</v>
      </c>
      <c r="O1091" s="1">
        <f t="shared" si="417"/>
        <v>0</v>
      </c>
      <c r="P1091" s="1">
        <f t="shared" si="418"/>
        <v>2072.7800000000002</v>
      </c>
      <c r="Q1091" s="5">
        <f t="shared" si="419"/>
        <v>0.1780821917808221</v>
      </c>
      <c r="R1091" s="5">
        <f t="shared" si="420"/>
        <v>-0.43138838389555284</v>
      </c>
      <c r="S1091" s="5">
        <f t="shared" si="403"/>
        <v>39.43301883348127</v>
      </c>
      <c r="T1091" s="5">
        <f t="shared" si="404"/>
        <v>-727.77178948724622</v>
      </c>
      <c r="U1091" s="4">
        <f t="shared" si="405"/>
        <v>1552478.7176056977</v>
      </c>
      <c r="V1091" s="4">
        <f t="shared" si="421"/>
        <v>25.052327799171394</v>
      </c>
      <c r="W1091" s="4">
        <f t="shared" si="406"/>
        <v>1523780.4789243708</v>
      </c>
      <c r="X1091" s="4">
        <f t="shared" si="410"/>
        <v>1820.8260897307191</v>
      </c>
      <c r="Y1091" s="9">
        <f>SUM($X$6:X1091)</f>
        <v>523780.47892437084</v>
      </c>
      <c r="Z1091" s="16">
        <f t="shared" si="411"/>
        <v>0.52378047892437085</v>
      </c>
      <c r="AA1091" s="16">
        <f t="shared" si="407"/>
        <v>0.64060420027250109</v>
      </c>
      <c r="AB1091" s="16">
        <f t="shared" si="408"/>
        <v>1.1963694874167277E-3</v>
      </c>
      <c r="AC1091" s="16">
        <f t="shared" si="409"/>
        <v>1.6493761055602013E-3</v>
      </c>
    </row>
    <row r="1092" spans="1:29" x14ac:dyDescent="0.15">
      <c r="A1092" s="8">
        <v>42488</v>
      </c>
      <c r="B1092" s="4">
        <v>2075.81</v>
      </c>
      <c r="C1092" s="1">
        <v>14.4123</v>
      </c>
      <c r="D1092" s="1">
        <v>2.21</v>
      </c>
      <c r="E1092" s="1">
        <v>0.65069999999999995</v>
      </c>
      <c r="F1092" s="4">
        <f t="shared" si="399"/>
        <v>0.144123</v>
      </c>
      <c r="G1092" s="4">
        <f t="shared" si="400"/>
        <v>2.2099999999999998E-2</v>
      </c>
      <c r="H1092" s="4">
        <f t="shared" si="401"/>
        <v>6.5069999999999998E-3</v>
      </c>
      <c r="I1092" s="3">
        <f t="shared" si="402"/>
        <v>63.476670555128862</v>
      </c>
      <c r="J1092" s="4">
        <f t="shared" si="412"/>
        <v>1552478.7176056977</v>
      </c>
      <c r="K1092" s="1">
        <f t="shared" si="413"/>
        <v>2072.7800000000002</v>
      </c>
      <c r="L1092" s="5">
        <f t="shared" si="414"/>
        <v>0.17534246575342485</v>
      </c>
      <c r="M1092" s="5">
        <f t="shared" si="415"/>
        <v>-0.49445983631764306</v>
      </c>
      <c r="N1092" s="5">
        <f t="shared" si="416"/>
        <v>51.136821041929586</v>
      </c>
      <c r="O1092" s="1">
        <f t="shared" si="417"/>
        <v>0</v>
      </c>
      <c r="P1092" s="1">
        <f t="shared" si="418"/>
        <v>2072.7800000000002</v>
      </c>
      <c r="Q1092" s="5">
        <f t="shared" si="419"/>
        <v>0.17534246575342485</v>
      </c>
      <c r="R1092" s="5">
        <f t="shared" si="420"/>
        <v>-0.49445983631764306</v>
      </c>
      <c r="S1092" s="5">
        <f t="shared" si="403"/>
        <v>51.136821041929586</v>
      </c>
      <c r="T1092" s="5">
        <f t="shared" si="404"/>
        <v>-727.77178948724622</v>
      </c>
      <c r="U1092" s="4">
        <f t="shared" si="405"/>
        <v>1552503.7699334968</v>
      </c>
      <c r="V1092" s="4">
        <f t="shared" si="421"/>
        <v>25.052732068241905</v>
      </c>
      <c r="W1092" s="4">
        <f t="shared" si="406"/>
        <v>1515287.8341751227</v>
      </c>
      <c r="X1092" s="4">
        <f t="shared" si="410"/>
        <v>-8492.6447492481675</v>
      </c>
      <c r="Y1092" s="9">
        <f>SUM($X$6:X1092)</f>
        <v>515287.83417512267</v>
      </c>
      <c r="Z1092" s="16">
        <f t="shared" si="411"/>
        <v>0.51528783417512269</v>
      </c>
      <c r="AA1092" s="16">
        <f t="shared" si="407"/>
        <v>0.6254600410317448</v>
      </c>
      <c r="AB1092" s="16">
        <f t="shared" si="408"/>
        <v>-5.5734043497151792E-3</v>
      </c>
      <c r="AC1092" s="16">
        <f t="shared" si="409"/>
        <v>-9.2308426604301094E-3</v>
      </c>
    </row>
    <row r="1093" spans="1:29" x14ac:dyDescent="0.15">
      <c r="A1093" s="8">
        <v>42489</v>
      </c>
      <c r="B1093" s="4">
        <v>2065.3000000000002</v>
      </c>
      <c r="C1093" s="1">
        <v>14.923400000000001</v>
      </c>
      <c r="D1093" s="1">
        <v>2.23</v>
      </c>
      <c r="E1093" s="1">
        <v>0.65069999999999995</v>
      </c>
      <c r="F1093" s="4">
        <f t="shared" si="399"/>
        <v>0.14923400000000001</v>
      </c>
      <c r="G1093" s="4">
        <f t="shared" si="400"/>
        <v>2.23E-2</v>
      </c>
      <c r="H1093" s="4">
        <f t="shared" si="401"/>
        <v>6.5069999999999998E-3</v>
      </c>
      <c r="I1093" s="3">
        <f t="shared" si="402"/>
        <v>65.297955562184057</v>
      </c>
      <c r="J1093" s="4">
        <f t="shared" si="412"/>
        <v>1552503.7699334968</v>
      </c>
      <c r="K1093" s="1">
        <f t="shared" si="413"/>
        <v>2072.7800000000002</v>
      </c>
      <c r="L1093" s="5">
        <f t="shared" si="414"/>
        <v>0.1726027397260276</v>
      </c>
      <c r="M1093" s="5">
        <f t="shared" si="415"/>
        <v>-0.52638105915687439</v>
      </c>
      <c r="N1093" s="5">
        <f t="shared" si="416"/>
        <v>57.851793987059189</v>
      </c>
      <c r="O1093" s="1">
        <f t="shared" si="417"/>
        <v>0</v>
      </c>
      <c r="P1093" s="1">
        <f t="shared" si="418"/>
        <v>2072.7800000000002</v>
      </c>
      <c r="Q1093" s="5">
        <f t="shared" si="419"/>
        <v>0.1726027397260276</v>
      </c>
      <c r="R1093" s="5">
        <f t="shared" si="420"/>
        <v>-0.52638105915687439</v>
      </c>
      <c r="S1093" s="5">
        <f t="shared" si="403"/>
        <v>57.851793987059189</v>
      </c>
      <c r="T1093" s="5">
        <f t="shared" si="404"/>
        <v>-727.77178948724622</v>
      </c>
      <c r="U1093" s="4">
        <f t="shared" si="405"/>
        <v>1552528.8226655652</v>
      </c>
      <c r="V1093" s="4">
        <f t="shared" si="421"/>
        <v>25.053136343836101</v>
      </c>
      <c r="W1093" s="4">
        <f t="shared" si="406"/>
        <v>1510425.9190305555</v>
      </c>
      <c r="X1093" s="4">
        <f t="shared" si="410"/>
        <v>-4861.915144567145</v>
      </c>
      <c r="Y1093" s="9">
        <f>SUM($X$6:X1093)</f>
        <v>510425.91903055552</v>
      </c>
      <c r="Z1093" s="16">
        <f t="shared" si="411"/>
        <v>0.51042591903055556</v>
      </c>
      <c r="AA1093" s="16">
        <f t="shared" si="407"/>
        <v>0.61723020061704248</v>
      </c>
      <c r="AB1093" s="16">
        <f t="shared" si="408"/>
        <v>-3.2085753181103219E-3</v>
      </c>
      <c r="AC1093" s="16">
        <f t="shared" si="409"/>
        <v>-5.0630838082482326E-3</v>
      </c>
    </row>
    <row r="1094" spans="1:29" x14ac:dyDescent="0.15">
      <c r="A1094" s="8">
        <v>42492</v>
      </c>
      <c r="B1094" s="4">
        <v>2081.4299999999998</v>
      </c>
      <c r="C1094" s="1">
        <v>14.228</v>
      </c>
      <c r="D1094" s="1">
        <v>2.21</v>
      </c>
      <c r="E1094" s="1">
        <v>0.65069999999999995</v>
      </c>
      <c r="F1094" s="4">
        <f t="shared" si="399"/>
        <v>0.14227999999999999</v>
      </c>
      <c r="G1094" s="4">
        <f t="shared" si="400"/>
        <v>2.2099999999999998E-2</v>
      </c>
      <c r="H1094" s="4">
        <f t="shared" si="401"/>
        <v>6.5069999999999998E-3</v>
      </c>
      <c r="I1094" s="3">
        <f t="shared" si="402"/>
        <v>62.88871886287783</v>
      </c>
      <c r="J1094" s="4">
        <f t="shared" si="412"/>
        <v>1552528.8226655652</v>
      </c>
      <c r="K1094" s="1">
        <f t="shared" si="413"/>
        <v>2072.7800000000002</v>
      </c>
      <c r="L1094" s="5">
        <f t="shared" si="414"/>
        <v>0.16438356164383583</v>
      </c>
      <c r="M1094" s="5">
        <f t="shared" si="415"/>
        <v>-0.47570038388782993</v>
      </c>
      <c r="N1094" s="5">
        <f t="shared" si="416"/>
        <v>46.041860538940931</v>
      </c>
      <c r="O1094" s="1">
        <f t="shared" si="417"/>
        <v>0</v>
      </c>
      <c r="P1094" s="1">
        <f t="shared" si="418"/>
        <v>2072.7800000000002</v>
      </c>
      <c r="Q1094" s="5">
        <f t="shared" si="419"/>
        <v>0.16438356164383583</v>
      </c>
      <c r="R1094" s="5">
        <f t="shared" si="420"/>
        <v>-0.47570038388782993</v>
      </c>
      <c r="S1094" s="5">
        <f t="shared" si="403"/>
        <v>46.041860538940931</v>
      </c>
      <c r="T1094" s="5">
        <f t="shared" si="404"/>
        <v>-727.77178948724622</v>
      </c>
      <c r="U1094" s="4">
        <f t="shared" si="405"/>
        <v>1552553.875801909</v>
      </c>
      <c r="V1094" s="4">
        <f t="shared" si="421"/>
        <v>75.160621877862269</v>
      </c>
      <c r="W1094" s="4">
        <f t="shared" si="406"/>
        <v>1519045.9085661618</v>
      </c>
      <c r="X1094" s="4">
        <f t="shared" si="410"/>
        <v>8619.9895356062334</v>
      </c>
      <c r="Y1094" s="9">
        <f>SUM($X$6:X1094)</f>
        <v>519045.90856616176</v>
      </c>
      <c r="Z1094" s="16">
        <f t="shared" si="411"/>
        <v>0.51904590856616173</v>
      </c>
      <c r="AA1094" s="16">
        <f t="shared" si="407"/>
        <v>0.62986077396520124</v>
      </c>
      <c r="AB1094" s="16">
        <f t="shared" si="408"/>
        <v>5.7069925952666686E-3</v>
      </c>
      <c r="AC1094" s="16">
        <f t="shared" si="409"/>
        <v>7.8100033893379424E-3</v>
      </c>
    </row>
    <row r="1095" spans="1:29" x14ac:dyDescent="0.15">
      <c r="A1095" s="8">
        <v>42493</v>
      </c>
      <c r="B1095" s="4">
        <v>2063.37</v>
      </c>
      <c r="C1095" s="1">
        <v>15.0283</v>
      </c>
      <c r="D1095" s="1">
        <v>2.23</v>
      </c>
      <c r="E1095" s="1">
        <v>0.64700000000000002</v>
      </c>
      <c r="F1095" s="4">
        <f t="shared" ref="F1095:F1158" si="422">C1095/100</f>
        <v>0.150283</v>
      </c>
      <c r="G1095" s="4">
        <f t="shared" ref="G1095:G1158" si="423">D1095/100</f>
        <v>2.23E-2</v>
      </c>
      <c r="H1095" s="4">
        <f t="shared" ref="H1095:H1158" si="424">E1095/100</f>
        <v>6.4700000000000001E-3</v>
      </c>
      <c r="I1095" s="3">
        <f t="shared" ref="I1095:I1158" si="425">BSM_Put(B1095,B1095,F1095,H1095,G1095,$B$3,$F$3)</f>
        <v>65.675836712819148</v>
      </c>
      <c r="J1095" s="4">
        <f t="shared" si="412"/>
        <v>1552553.875801909</v>
      </c>
      <c r="K1095" s="1">
        <f t="shared" si="413"/>
        <v>2072.7800000000002</v>
      </c>
      <c r="L1095" s="5">
        <f t="shared" si="414"/>
        <v>0.16164383561643858</v>
      </c>
      <c r="M1095" s="5">
        <f t="shared" si="415"/>
        <v>-0.53291704819617303</v>
      </c>
      <c r="N1095" s="5">
        <f t="shared" si="416"/>
        <v>57.404446460465095</v>
      </c>
      <c r="O1095" s="1">
        <f t="shared" si="417"/>
        <v>0</v>
      </c>
      <c r="P1095" s="1">
        <f t="shared" si="418"/>
        <v>2072.7800000000002</v>
      </c>
      <c r="Q1095" s="5">
        <f t="shared" si="419"/>
        <v>0.16164383561643858</v>
      </c>
      <c r="R1095" s="5">
        <f t="shared" si="420"/>
        <v>-0.53291704819617303</v>
      </c>
      <c r="S1095" s="5">
        <f t="shared" ref="S1095:S1158" si="426">BSM_Put(B1095,P1095,F1095,H1095,G1095,Q1095,$F$3)</f>
        <v>57.404446460465095</v>
      </c>
      <c r="T1095" s="5">
        <f t="shared" si="404"/>
        <v>-727.77178948724622</v>
      </c>
      <c r="U1095" s="4">
        <f t="shared" si="405"/>
        <v>1552629.0364237868</v>
      </c>
      <c r="V1095" s="4">
        <f t="shared" si="421"/>
        <v>25.054753491879733</v>
      </c>
      <c r="W1095" s="4">
        <f t="shared" si="406"/>
        <v>1510851.6996987292</v>
      </c>
      <c r="X1095" s="4">
        <f t="shared" si="410"/>
        <v>-8194.2088674325496</v>
      </c>
      <c r="Y1095" s="9">
        <f>SUM($X$6:X1095)</f>
        <v>510851.69969872921</v>
      </c>
      <c r="Z1095" s="16">
        <f t="shared" si="411"/>
        <v>0.51085169969872923</v>
      </c>
      <c r="AA1095" s="16">
        <f t="shared" si="407"/>
        <v>0.61571891688722535</v>
      </c>
      <c r="AB1095" s="16">
        <f t="shared" si="408"/>
        <v>-5.3943128520500885E-3</v>
      </c>
      <c r="AC1095" s="16">
        <f t="shared" si="409"/>
        <v>-8.6767270578400179E-3</v>
      </c>
    </row>
    <row r="1096" spans="1:29" x14ac:dyDescent="0.15">
      <c r="A1096" s="8">
        <v>42494</v>
      </c>
      <c r="B1096" s="4">
        <v>2051.12</v>
      </c>
      <c r="C1096" s="1">
        <v>15.520099999999999</v>
      </c>
      <c r="D1096" s="1">
        <v>2.2400000000000002</v>
      </c>
      <c r="E1096" s="1">
        <v>0.64790000000000003</v>
      </c>
      <c r="F1096" s="4">
        <f t="shared" si="422"/>
        <v>0.15520100000000001</v>
      </c>
      <c r="G1096" s="4">
        <f t="shared" si="423"/>
        <v>2.2400000000000003E-2</v>
      </c>
      <c r="H1096" s="4">
        <f t="shared" si="424"/>
        <v>6.4790000000000004E-3</v>
      </c>
      <c r="I1096" s="3">
        <f t="shared" si="425"/>
        <v>67.307203258065982</v>
      </c>
      <c r="J1096" s="4">
        <f t="shared" si="412"/>
        <v>1552629.0364237868</v>
      </c>
      <c r="K1096" s="1">
        <f t="shared" si="413"/>
        <v>2072.7800000000002</v>
      </c>
      <c r="L1096" s="5">
        <f t="shared" si="414"/>
        <v>0.15890410958904133</v>
      </c>
      <c r="M1096" s="5">
        <f t="shared" si="415"/>
        <v>-0.56929665326761236</v>
      </c>
      <c r="N1096" s="5">
        <f t="shared" si="416"/>
        <v>65.297450419197361</v>
      </c>
      <c r="O1096" s="1">
        <f t="shared" si="417"/>
        <v>0</v>
      </c>
      <c r="P1096" s="1">
        <f t="shared" si="418"/>
        <v>2072.7800000000002</v>
      </c>
      <c r="Q1096" s="5">
        <f t="shared" si="419"/>
        <v>0.15890410958904133</v>
      </c>
      <c r="R1096" s="5">
        <f t="shared" si="420"/>
        <v>-0.56929665326761236</v>
      </c>
      <c r="S1096" s="5">
        <f t="shared" si="426"/>
        <v>65.297450419197361</v>
      </c>
      <c r="T1096" s="5">
        <f t="shared" ref="T1096:T1159" si="427">IF(O1096,-(J1096+IF(L1096&lt;=0.00001, MAX(K1096-B1096,0),N1096)*T1095)/P1096,T1095)</f>
        <v>-727.77178948724622</v>
      </c>
      <c r="U1096" s="4">
        <f t="shared" ref="U1096:U1159" si="428">IF(O1096,(J1096+IF(L1096&lt;=0.00001, MAX(K1096-B1096,0),N1096)*T1095)-(S1096*T1096),U1095)+V1095</f>
        <v>1552654.0911772787</v>
      </c>
      <c r="V1096" s="4">
        <f t="shared" si="421"/>
        <v>25.055157800093614</v>
      </c>
      <c r="W1096" s="4">
        <f t="shared" ref="W1096:W1159" si="429">S1096*T1096+U1096</f>
        <v>1505132.4488367448</v>
      </c>
      <c r="X1096" s="4">
        <f t="shared" si="410"/>
        <v>-5719.2508619844448</v>
      </c>
      <c r="Y1096" s="9">
        <f>SUM($X$6:X1096)</f>
        <v>505132.44883674476</v>
      </c>
      <c r="Z1096" s="16">
        <f t="shared" si="411"/>
        <v>0.5051324488367448</v>
      </c>
      <c r="AA1096" s="16">
        <f t="shared" ref="AA1096:AA1159" si="430">(B1096-$B$6)/$B$6</f>
        <v>0.60612657196999353</v>
      </c>
      <c r="AB1096" s="16">
        <f t="shared" ref="AB1096:AB1159" si="431">X1096/W1095</f>
        <v>-3.7854482098573206E-3</v>
      </c>
      <c r="AC1096" s="16">
        <f t="shared" ref="AC1096:AC1159" si="432">(B1096-B1095)/B1095</f>
        <v>-5.9368896513955329E-3</v>
      </c>
    </row>
    <row r="1097" spans="1:29" x14ac:dyDescent="0.15">
      <c r="A1097" s="8">
        <v>42495</v>
      </c>
      <c r="B1097" s="4">
        <v>2050.63</v>
      </c>
      <c r="C1097" s="1">
        <v>15.5847</v>
      </c>
      <c r="D1097" s="1">
        <v>2.2400000000000002</v>
      </c>
      <c r="E1097" s="1">
        <v>0.64580000000000004</v>
      </c>
      <c r="F1097" s="4">
        <f t="shared" si="422"/>
        <v>0.15584699999999999</v>
      </c>
      <c r="G1097" s="4">
        <f t="shared" si="423"/>
        <v>2.2400000000000003E-2</v>
      </c>
      <c r="H1097" s="4">
        <f t="shared" si="424"/>
        <v>6.4580000000000002E-3</v>
      </c>
      <c r="I1097" s="3">
        <f t="shared" si="425"/>
        <v>67.55925683747131</v>
      </c>
      <c r="J1097" s="4">
        <f t="shared" si="412"/>
        <v>1552654.0911772787</v>
      </c>
      <c r="K1097" s="1">
        <f t="shared" si="413"/>
        <v>2072.7800000000002</v>
      </c>
      <c r="L1097" s="5">
        <f t="shared" si="414"/>
        <v>0.15616438356164408</v>
      </c>
      <c r="M1097" s="5">
        <f t="shared" si="415"/>
        <v>-0.5710222898786862</v>
      </c>
      <c r="N1097" s="5">
        <f t="shared" si="416"/>
        <v>65.306193097133615</v>
      </c>
      <c r="O1097" s="1">
        <f t="shared" si="417"/>
        <v>0</v>
      </c>
      <c r="P1097" s="1">
        <f t="shared" si="418"/>
        <v>2072.7800000000002</v>
      </c>
      <c r="Q1097" s="5">
        <f t="shared" si="419"/>
        <v>0.15616438356164408</v>
      </c>
      <c r="R1097" s="5">
        <f t="shared" si="420"/>
        <v>-0.5710222898786862</v>
      </c>
      <c r="S1097" s="5">
        <f t="shared" si="426"/>
        <v>65.306193097133615</v>
      </c>
      <c r="T1097" s="5">
        <f t="shared" si="427"/>
        <v>-727.77178948724622</v>
      </c>
      <c r="U1097" s="4">
        <f t="shared" si="428"/>
        <v>1552679.1463350789</v>
      </c>
      <c r="V1097" s="4">
        <f t="shared" si="421"/>
        <v>25.055562114831819</v>
      </c>
      <c r="W1097" s="4">
        <f t="shared" si="429"/>
        <v>1505151.1413201783</v>
      </c>
      <c r="X1097" s="4">
        <f t="shared" ref="X1097:X1160" si="433">W1097-W1096</f>
        <v>18.692483433522284</v>
      </c>
      <c r="Y1097" s="9">
        <f>SUM($X$6:X1097)</f>
        <v>505151.14132017829</v>
      </c>
      <c r="Z1097" s="16">
        <f t="shared" si="411"/>
        <v>0.50515114132017824</v>
      </c>
      <c r="AA1097" s="16">
        <f t="shared" si="430"/>
        <v>0.60574287817330441</v>
      </c>
      <c r="AB1097" s="16">
        <f t="shared" si="431"/>
        <v>1.241916181394464E-5</v>
      </c>
      <c r="AC1097" s="16">
        <f t="shared" si="432"/>
        <v>-2.3889387261583024E-4</v>
      </c>
    </row>
    <row r="1098" spans="1:29" x14ac:dyDescent="0.15">
      <c r="A1098" s="8">
        <v>42496</v>
      </c>
      <c r="B1098" s="4">
        <v>2057.14</v>
      </c>
      <c r="C1098" s="1">
        <v>15.0502</v>
      </c>
      <c r="D1098" s="1">
        <v>2.23</v>
      </c>
      <c r="E1098" s="1">
        <v>0.64359999999999995</v>
      </c>
      <c r="F1098" s="4">
        <f t="shared" si="422"/>
        <v>0.150502</v>
      </c>
      <c r="G1098" s="4">
        <f t="shared" si="423"/>
        <v>2.23E-2</v>
      </c>
      <c r="H1098" s="4">
        <f t="shared" si="424"/>
        <v>6.4359999999999999E-3</v>
      </c>
      <c r="I1098" s="3">
        <f t="shared" si="425"/>
        <v>65.576103366000623</v>
      </c>
      <c r="J1098" s="4">
        <f t="shared" si="412"/>
        <v>1552679.1463350789</v>
      </c>
      <c r="K1098" s="1">
        <f t="shared" si="413"/>
        <v>2072.7800000000002</v>
      </c>
      <c r="L1098" s="5">
        <f t="shared" si="414"/>
        <v>0.15342465753424683</v>
      </c>
      <c r="M1098" s="5">
        <f t="shared" si="415"/>
        <v>-0.55388728311653024</v>
      </c>
      <c r="N1098" s="5">
        <f t="shared" si="416"/>
        <v>59.456532079826822</v>
      </c>
      <c r="O1098" s="1">
        <f t="shared" si="417"/>
        <v>0</v>
      </c>
      <c r="P1098" s="1">
        <f t="shared" si="418"/>
        <v>2072.7800000000002</v>
      </c>
      <c r="Q1098" s="5">
        <f t="shared" si="419"/>
        <v>0.15342465753424683</v>
      </c>
      <c r="R1098" s="5">
        <f t="shared" si="420"/>
        <v>-0.55388728311653024</v>
      </c>
      <c r="S1098" s="5">
        <f t="shared" si="426"/>
        <v>59.456532079826822</v>
      </c>
      <c r="T1098" s="5">
        <f t="shared" si="427"/>
        <v>-727.77178948724622</v>
      </c>
      <c r="U1098" s="4">
        <f t="shared" si="428"/>
        <v>1552704.2018971937</v>
      </c>
      <c r="V1098" s="4">
        <f t="shared" si="421"/>
        <v>25.05596643609444</v>
      </c>
      <c r="W1098" s="4">
        <f t="shared" si="429"/>
        <v>1509433.4151487523</v>
      </c>
      <c r="X1098" s="4">
        <f t="shared" si="433"/>
        <v>4282.2738285739906</v>
      </c>
      <c r="Y1098" s="9">
        <f>SUM($X$6:X1098)</f>
        <v>509433.41514875228</v>
      </c>
      <c r="Z1098" s="16">
        <f t="shared" si="411"/>
        <v>0.50943341514875229</v>
      </c>
      <c r="AA1098" s="16">
        <f t="shared" si="430"/>
        <v>0.6108405243293189</v>
      </c>
      <c r="AB1098" s="16">
        <f t="shared" si="431"/>
        <v>2.845078949890693E-3</v>
      </c>
      <c r="AC1098" s="16">
        <f t="shared" si="432"/>
        <v>3.1746341368261281E-3</v>
      </c>
    </row>
    <row r="1099" spans="1:29" x14ac:dyDescent="0.15">
      <c r="A1099" s="8">
        <v>42499</v>
      </c>
      <c r="B1099" s="4">
        <v>2058.69</v>
      </c>
      <c r="C1099" s="1">
        <v>14.8042</v>
      </c>
      <c r="D1099" s="1">
        <v>2.23</v>
      </c>
      <c r="E1099" s="1">
        <v>0.64359999999999995</v>
      </c>
      <c r="F1099" s="4">
        <f t="shared" si="422"/>
        <v>0.14804200000000001</v>
      </c>
      <c r="G1099" s="4">
        <f t="shared" si="423"/>
        <v>2.23E-2</v>
      </c>
      <c r="H1099" s="4">
        <f t="shared" si="424"/>
        <v>6.4359999999999999E-3</v>
      </c>
      <c r="I1099" s="3">
        <f t="shared" si="425"/>
        <v>64.622419308346764</v>
      </c>
      <c r="J1099" s="4">
        <f t="shared" si="412"/>
        <v>1552704.2018971937</v>
      </c>
      <c r="K1099" s="1">
        <f t="shared" si="413"/>
        <v>2072.7800000000002</v>
      </c>
      <c r="L1099" s="5">
        <f t="shared" si="414"/>
        <v>0.14520547945205506</v>
      </c>
      <c r="M1099" s="5">
        <f t="shared" si="415"/>
        <v>-0.55132761349426573</v>
      </c>
      <c r="N1099" s="5">
        <f t="shared" si="416"/>
        <v>56.397237741910963</v>
      </c>
      <c r="O1099" s="1">
        <f t="shared" si="417"/>
        <v>0</v>
      </c>
      <c r="P1099" s="1">
        <f t="shared" si="418"/>
        <v>2072.7800000000002</v>
      </c>
      <c r="Q1099" s="5">
        <f t="shared" si="419"/>
        <v>0.14520547945205506</v>
      </c>
      <c r="R1099" s="5">
        <f t="shared" si="420"/>
        <v>-0.55132761349426573</v>
      </c>
      <c r="S1099" s="5">
        <f t="shared" si="426"/>
        <v>56.397237741910963</v>
      </c>
      <c r="T1099" s="5">
        <f t="shared" si="427"/>
        <v>-727.77178948724622</v>
      </c>
      <c r="U1099" s="4">
        <f t="shared" si="428"/>
        <v>1552729.2578636298</v>
      </c>
      <c r="V1099" s="4">
        <f t="shared" si="421"/>
        <v>75.169112291644751</v>
      </c>
      <c r="W1099" s="4">
        <f t="shared" si="429"/>
        <v>1511684.9392300616</v>
      </c>
      <c r="X1099" s="4">
        <f t="shared" si="433"/>
        <v>2251.524081309326</v>
      </c>
      <c r="Y1099" s="9">
        <f>SUM($X$6:X1099)</f>
        <v>511684.9392300616</v>
      </c>
      <c r="Z1099" s="16">
        <f t="shared" si="411"/>
        <v>0.51168493923006164</v>
      </c>
      <c r="AA1099" s="16">
        <f t="shared" si="430"/>
        <v>0.61205424960456056</v>
      </c>
      <c r="AB1099" s="16">
        <f t="shared" si="431"/>
        <v>1.4916352445314336E-3</v>
      </c>
      <c r="AC1099" s="16">
        <f t="shared" si="432"/>
        <v>7.5347326871296166E-4</v>
      </c>
    </row>
    <row r="1100" spans="1:29" x14ac:dyDescent="0.15">
      <c r="A1100" s="8">
        <v>42500</v>
      </c>
      <c r="B1100" s="4">
        <v>2084.39</v>
      </c>
      <c r="C1100" s="1">
        <v>13.9955</v>
      </c>
      <c r="D1100" s="1">
        <v>2.21</v>
      </c>
      <c r="E1100" s="1">
        <v>0.6421</v>
      </c>
      <c r="F1100" s="4">
        <f t="shared" si="422"/>
        <v>0.139955</v>
      </c>
      <c r="G1100" s="4">
        <f t="shared" si="423"/>
        <v>2.2099999999999998E-2</v>
      </c>
      <c r="H1100" s="4">
        <f t="shared" si="424"/>
        <v>6.4209999999999996E-3</v>
      </c>
      <c r="I1100" s="3">
        <f t="shared" si="425"/>
        <v>62.042217493635476</v>
      </c>
      <c r="J1100" s="4">
        <f t="shared" si="412"/>
        <v>1552729.2578636298</v>
      </c>
      <c r="K1100" s="1">
        <f t="shared" si="413"/>
        <v>2072.7800000000002</v>
      </c>
      <c r="L1100" s="5">
        <f t="shared" si="414"/>
        <v>0.14246575342465781</v>
      </c>
      <c r="M1100" s="5">
        <f t="shared" si="415"/>
        <v>-0.46273856744525954</v>
      </c>
      <c r="N1100" s="5">
        <f t="shared" si="416"/>
        <v>40.322180315450098</v>
      </c>
      <c r="O1100" s="1">
        <f t="shared" si="417"/>
        <v>0</v>
      </c>
      <c r="P1100" s="1">
        <f t="shared" si="418"/>
        <v>2072.7800000000002</v>
      </c>
      <c r="Q1100" s="5">
        <f t="shared" si="419"/>
        <v>0.14246575342465781</v>
      </c>
      <c r="R1100" s="5">
        <f t="shared" si="420"/>
        <v>-0.46273856744525954</v>
      </c>
      <c r="S1100" s="5">
        <f t="shared" si="426"/>
        <v>40.322180315450098</v>
      </c>
      <c r="T1100" s="5">
        <f t="shared" si="427"/>
        <v>-727.77178948724622</v>
      </c>
      <c r="U1100" s="4">
        <f t="shared" si="428"/>
        <v>1552804.4269759215</v>
      </c>
      <c r="V1100" s="4">
        <f t="shared" si="421"/>
        <v>25.057583766816926</v>
      </c>
      <c r="W1100" s="4">
        <f t="shared" si="429"/>
        <v>1523459.0816517191</v>
      </c>
      <c r="X1100" s="4">
        <f t="shared" si="433"/>
        <v>11774.142421657452</v>
      </c>
      <c r="Y1100" s="9">
        <f>SUM($X$6:X1100)</f>
        <v>523459.08165171905</v>
      </c>
      <c r="Z1100" s="16">
        <f t="shared" si="411"/>
        <v>0.52345908165171906</v>
      </c>
      <c r="AA1100" s="16">
        <f t="shared" si="430"/>
        <v>0.63217859771663032</v>
      </c>
      <c r="AB1100" s="16">
        <f t="shared" si="431"/>
        <v>7.7887542014239506E-3</v>
      </c>
      <c r="AC1100" s="16">
        <f t="shared" si="432"/>
        <v>1.2483666797817941E-2</v>
      </c>
    </row>
    <row r="1101" spans="1:29" x14ac:dyDescent="0.15">
      <c r="A1101" s="8">
        <v>42501</v>
      </c>
      <c r="B1101" s="4">
        <v>2064.46</v>
      </c>
      <c r="C1101" s="1">
        <v>14.8672</v>
      </c>
      <c r="D1101" s="1">
        <v>2.23</v>
      </c>
      <c r="E1101" s="1">
        <v>0.64019999999999999</v>
      </c>
      <c r="F1101" s="4">
        <f t="shared" si="422"/>
        <v>0.148672</v>
      </c>
      <c r="G1101" s="4">
        <f t="shared" si="423"/>
        <v>2.23E-2</v>
      </c>
      <c r="H1101" s="4">
        <f t="shared" si="424"/>
        <v>6.4019999999999997E-3</v>
      </c>
      <c r="I1101" s="3">
        <f t="shared" si="425"/>
        <v>65.070513176192804</v>
      </c>
      <c r="J1101" s="4">
        <f t="shared" si="412"/>
        <v>1552804.4269759215</v>
      </c>
      <c r="K1101" s="1">
        <f t="shared" si="413"/>
        <v>2072.7800000000002</v>
      </c>
      <c r="L1101" s="5">
        <f t="shared" si="414"/>
        <v>0.13972602739726056</v>
      </c>
      <c r="M1101" s="5">
        <f t="shared" si="415"/>
        <v>-0.53203313529032292</v>
      </c>
      <c r="N1101" s="5">
        <f t="shared" si="416"/>
        <v>52.498038152493308</v>
      </c>
      <c r="O1101" s="1">
        <f t="shared" si="417"/>
        <v>0</v>
      </c>
      <c r="P1101" s="1">
        <f t="shared" si="418"/>
        <v>2072.7800000000002</v>
      </c>
      <c r="Q1101" s="5">
        <f t="shared" si="419"/>
        <v>0.13972602739726056</v>
      </c>
      <c r="R1101" s="5">
        <f t="shared" si="420"/>
        <v>-0.53203313529032292</v>
      </c>
      <c r="S1101" s="5">
        <f t="shared" si="426"/>
        <v>52.498038152493308</v>
      </c>
      <c r="T1101" s="5">
        <f t="shared" si="427"/>
        <v>-727.77178948724622</v>
      </c>
      <c r="U1101" s="4">
        <f t="shared" si="428"/>
        <v>1552829.4845596883</v>
      </c>
      <c r="V1101" s="4">
        <f t="shared" si="421"/>
        <v>25.057988120702912</v>
      </c>
      <c r="W1101" s="4">
        <f t="shared" si="429"/>
        <v>1514622.8933888786</v>
      </c>
      <c r="X1101" s="4">
        <f t="shared" si="433"/>
        <v>-8836.1882628405001</v>
      </c>
      <c r="Y1101" s="9">
        <f>SUM($X$6:X1101)</f>
        <v>514622.89338887855</v>
      </c>
      <c r="Z1101" s="16">
        <f t="shared" si="411"/>
        <v>0.51462289338887857</v>
      </c>
      <c r="AA1101" s="16">
        <f t="shared" si="430"/>
        <v>0.61657243982271792</v>
      </c>
      <c r="AB1101" s="16">
        <f t="shared" si="431"/>
        <v>-5.800082436910871E-3</v>
      </c>
      <c r="AC1101" s="16">
        <f t="shared" si="432"/>
        <v>-9.5615503816463502E-3</v>
      </c>
    </row>
    <row r="1102" spans="1:29" x14ac:dyDescent="0.15">
      <c r="A1102" s="8">
        <v>42502</v>
      </c>
      <c r="B1102" s="4">
        <v>2064.11</v>
      </c>
      <c r="C1102" s="1">
        <v>14.687799999999999</v>
      </c>
      <c r="D1102" s="1">
        <v>2.23</v>
      </c>
      <c r="E1102" s="1">
        <v>0.64</v>
      </c>
      <c r="F1102" s="4">
        <f t="shared" si="422"/>
        <v>0.14687799999999998</v>
      </c>
      <c r="G1102" s="4">
        <f t="shared" si="423"/>
        <v>2.23E-2</v>
      </c>
      <c r="H1102" s="4">
        <f t="shared" si="424"/>
        <v>6.4000000000000003E-3</v>
      </c>
      <c r="I1102" s="3">
        <f t="shared" si="425"/>
        <v>64.32659407238495</v>
      </c>
      <c r="J1102" s="4">
        <f t="shared" si="412"/>
        <v>1552829.4845596883</v>
      </c>
      <c r="K1102" s="1">
        <f t="shared" si="413"/>
        <v>2072.7800000000002</v>
      </c>
      <c r="L1102" s="5">
        <f t="shared" si="414"/>
        <v>0.13698630136986331</v>
      </c>
      <c r="M1102" s="5">
        <f t="shared" si="415"/>
        <v>-0.53421796053980863</v>
      </c>
      <c r="N1102" s="5">
        <f t="shared" si="416"/>
        <v>51.647051158176822</v>
      </c>
      <c r="O1102" s="1">
        <f t="shared" si="417"/>
        <v>0</v>
      </c>
      <c r="P1102" s="1">
        <f t="shared" si="418"/>
        <v>2072.7800000000002</v>
      </c>
      <c r="Q1102" s="5">
        <f t="shared" si="419"/>
        <v>0.13698630136986331</v>
      </c>
      <c r="R1102" s="5">
        <f t="shared" si="420"/>
        <v>-0.53421796053980863</v>
      </c>
      <c r="S1102" s="5">
        <f t="shared" si="426"/>
        <v>51.647051158176822</v>
      </c>
      <c r="T1102" s="5">
        <f t="shared" si="427"/>
        <v>-727.77178948724622</v>
      </c>
      <c r="U1102" s="4">
        <f t="shared" si="428"/>
        <v>1552854.542547809</v>
      </c>
      <c r="V1102" s="4">
        <f t="shared" si="421"/>
        <v>25.058392481113955</v>
      </c>
      <c r="W1102" s="4">
        <f t="shared" si="429"/>
        <v>1515267.2757046833</v>
      </c>
      <c r="X1102" s="4">
        <f t="shared" si="433"/>
        <v>644.3823158047162</v>
      </c>
      <c r="Y1102" s="9">
        <f>SUM($X$6:X1102)</f>
        <v>515267.27570468327</v>
      </c>
      <c r="Z1102" s="16">
        <f t="shared" si="411"/>
        <v>0.51526727570468323</v>
      </c>
      <c r="AA1102" s="16">
        <f t="shared" si="430"/>
        <v>0.61629837282508282</v>
      </c>
      <c r="AB1102" s="16">
        <f t="shared" si="431"/>
        <v>4.2544076061266255E-4</v>
      </c>
      <c r="AC1102" s="16">
        <f t="shared" si="432"/>
        <v>-1.6953585925612947E-4</v>
      </c>
    </row>
    <row r="1103" spans="1:29" x14ac:dyDescent="0.15">
      <c r="A1103" s="8">
        <v>42503</v>
      </c>
      <c r="B1103" s="4">
        <v>2046.61</v>
      </c>
      <c r="C1103" s="1">
        <v>15.215400000000001</v>
      </c>
      <c r="D1103" s="1">
        <v>2.25</v>
      </c>
      <c r="E1103" s="1">
        <v>0.64149999999999996</v>
      </c>
      <c r="F1103" s="4">
        <f t="shared" si="422"/>
        <v>0.15215400000000001</v>
      </c>
      <c r="G1103" s="4">
        <f t="shared" si="423"/>
        <v>2.2499999999999999E-2</v>
      </c>
      <c r="H1103" s="4">
        <f t="shared" si="424"/>
        <v>6.4149999999999997E-3</v>
      </c>
      <c r="I1103" s="3">
        <f t="shared" si="425"/>
        <v>65.967177262956781</v>
      </c>
      <c r="J1103" s="4">
        <f t="shared" si="412"/>
        <v>1552854.542547809</v>
      </c>
      <c r="K1103" s="1">
        <f t="shared" si="413"/>
        <v>2072.7800000000002</v>
      </c>
      <c r="L1103" s="5">
        <f t="shared" si="414"/>
        <v>0.13424657534246606</v>
      </c>
      <c r="M1103" s="5">
        <f t="shared" si="415"/>
        <v>-0.592566889646027</v>
      </c>
      <c r="N1103" s="5">
        <f t="shared" si="416"/>
        <v>62.608583144905168</v>
      </c>
      <c r="O1103" s="1">
        <f t="shared" si="417"/>
        <v>0</v>
      </c>
      <c r="P1103" s="1">
        <f t="shared" si="418"/>
        <v>2072.7800000000002</v>
      </c>
      <c r="Q1103" s="5">
        <f t="shared" si="419"/>
        <v>0.13424657534246606</v>
      </c>
      <c r="R1103" s="5">
        <f t="shared" si="420"/>
        <v>-0.592566889646027</v>
      </c>
      <c r="S1103" s="5">
        <f t="shared" si="426"/>
        <v>62.608583144905168</v>
      </c>
      <c r="T1103" s="5">
        <f t="shared" si="427"/>
        <v>-727.77178948724622</v>
      </c>
      <c r="U1103" s="4">
        <f t="shared" si="428"/>
        <v>1552879.6009402901</v>
      </c>
      <c r="V1103" s="4">
        <f t="shared" si="421"/>
        <v>25.058796848050157</v>
      </c>
      <c r="W1103" s="4">
        <f t="shared" si="429"/>
        <v>1507314.8403476614</v>
      </c>
      <c r="X1103" s="4">
        <f t="shared" si="433"/>
        <v>-7952.4353570218664</v>
      </c>
      <c r="Y1103" s="9">
        <f>SUM($X$6:X1103)</f>
        <v>507314.8403476614</v>
      </c>
      <c r="Z1103" s="16">
        <f t="shared" si="411"/>
        <v>0.50731484034766139</v>
      </c>
      <c r="AA1103" s="16">
        <f t="shared" si="430"/>
        <v>0.6025950229433229</v>
      </c>
      <c r="AB1103" s="16">
        <f t="shared" si="431"/>
        <v>-5.2482063623551451E-3</v>
      </c>
      <c r="AC1103" s="16">
        <f t="shared" si="432"/>
        <v>-8.4782303268722235E-3</v>
      </c>
    </row>
    <row r="1104" spans="1:29" x14ac:dyDescent="0.15">
      <c r="A1104" s="8">
        <v>42506</v>
      </c>
      <c r="B1104" s="4">
        <v>2066.66</v>
      </c>
      <c r="C1104" s="1">
        <v>14.653700000000001</v>
      </c>
      <c r="D1104" s="1">
        <v>2.23</v>
      </c>
      <c r="E1104" s="1">
        <v>0.64</v>
      </c>
      <c r="F1104" s="4">
        <f t="shared" si="422"/>
        <v>0.146537</v>
      </c>
      <c r="G1104" s="4">
        <f t="shared" si="423"/>
        <v>2.23E-2</v>
      </c>
      <c r="H1104" s="4">
        <f t="shared" si="424"/>
        <v>6.4000000000000003E-3</v>
      </c>
      <c r="I1104" s="3">
        <f t="shared" si="425"/>
        <v>64.266481951247613</v>
      </c>
      <c r="J1104" s="4">
        <f t="shared" si="412"/>
        <v>1552879.6009402901</v>
      </c>
      <c r="K1104" s="1">
        <f t="shared" si="413"/>
        <v>2072.7800000000002</v>
      </c>
      <c r="L1104" s="5">
        <f t="shared" si="414"/>
        <v>0.12602739726027429</v>
      </c>
      <c r="M1104" s="5">
        <f t="shared" si="415"/>
        <v>-0.526163633419784</v>
      </c>
      <c r="N1104" s="5">
        <f t="shared" si="416"/>
        <v>48.190576297092413</v>
      </c>
      <c r="O1104" s="1">
        <f t="shared" si="417"/>
        <v>0</v>
      </c>
      <c r="P1104" s="1">
        <f t="shared" si="418"/>
        <v>2072.7800000000002</v>
      </c>
      <c r="Q1104" s="5">
        <f t="shared" si="419"/>
        <v>0.12602739726027429</v>
      </c>
      <c r="R1104" s="5">
        <f t="shared" si="420"/>
        <v>-0.526163633419784</v>
      </c>
      <c r="S1104" s="5">
        <f t="shared" si="426"/>
        <v>48.190576297092413</v>
      </c>
      <c r="T1104" s="5">
        <f t="shared" si="427"/>
        <v>-727.77178948724622</v>
      </c>
      <c r="U1104" s="4">
        <f t="shared" si="428"/>
        <v>1552904.6597371381</v>
      </c>
      <c r="V1104" s="4">
        <f t="shared" si="421"/>
        <v>75.177603664534857</v>
      </c>
      <c r="W1104" s="4">
        <f t="shared" si="429"/>
        <v>1517832.9177889815</v>
      </c>
      <c r="X1104" s="4">
        <f t="shared" si="433"/>
        <v>10518.077441320056</v>
      </c>
      <c r="Y1104" s="9">
        <f>SUM($X$6:X1104)</f>
        <v>517832.91778898146</v>
      </c>
      <c r="Z1104" s="16">
        <f t="shared" si="411"/>
        <v>0.51783291778898144</v>
      </c>
      <c r="AA1104" s="16">
        <f t="shared" si="430"/>
        <v>0.61829514666499608</v>
      </c>
      <c r="AB1104" s="16">
        <f t="shared" si="431"/>
        <v>6.9780228786801212E-3</v>
      </c>
      <c r="AC1104" s="16">
        <f t="shared" si="432"/>
        <v>9.7966881819203239E-3</v>
      </c>
    </row>
    <row r="1105" spans="1:29" x14ac:dyDescent="0.15">
      <c r="A1105" s="8">
        <v>42507</v>
      </c>
      <c r="B1105" s="4">
        <v>2047.21</v>
      </c>
      <c r="C1105" s="1">
        <v>15.2837</v>
      </c>
      <c r="D1105" s="1">
        <v>2.25</v>
      </c>
      <c r="E1105" s="1">
        <v>0.63900000000000001</v>
      </c>
      <c r="F1105" s="4">
        <f t="shared" si="422"/>
        <v>0.152837</v>
      </c>
      <c r="G1105" s="4">
        <f t="shared" si="423"/>
        <v>2.2499999999999999E-2</v>
      </c>
      <c r="H1105" s="4">
        <f t="shared" si="424"/>
        <v>6.3899999999999998E-3</v>
      </c>
      <c r="I1105" s="3">
        <f t="shared" si="425"/>
        <v>66.2702866487124</v>
      </c>
      <c r="J1105" s="4">
        <f t="shared" si="412"/>
        <v>1552904.6597371381</v>
      </c>
      <c r="K1105" s="1">
        <f t="shared" si="413"/>
        <v>2072.7800000000002</v>
      </c>
      <c r="L1105" s="5">
        <f t="shared" si="414"/>
        <v>0.12328767123287702</v>
      </c>
      <c r="M1105" s="5">
        <f t="shared" si="415"/>
        <v>-0.59375971220160673</v>
      </c>
      <c r="N1105" s="5">
        <f t="shared" si="416"/>
        <v>60.398211184636466</v>
      </c>
      <c r="O1105" s="1">
        <f t="shared" si="417"/>
        <v>0</v>
      </c>
      <c r="P1105" s="1">
        <f t="shared" si="418"/>
        <v>2072.7800000000002</v>
      </c>
      <c r="Q1105" s="5">
        <f t="shared" si="419"/>
        <v>0.12328767123287702</v>
      </c>
      <c r="R1105" s="5">
        <f t="shared" si="420"/>
        <v>-0.59375971220160673</v>
      </c>
      <c r="S1105" s="5">
        <f t="shared" si="426"/>
        <v>60.398211184636466</v>
      </c>
      <c r="T1105" s="5">
        <f t="shared" si="427"/>
        <v>-727.77178948724622</v>
      </c>
      <c r="U1105" s="4">
        <f t="shared" si="428"/>
        <v>1552979.8373408027</v>
      </c>
      <c r="V1105" s="4">
        <f t="shared" si="421"/>
        <v>25.060414361472127</v>
      </c>
      <c r="W1105" s="4">
        <f t="shared" si="429"/>
        <v>1509023.7231051312</v>
      </c>
      <c r="X1105" s="4">
        <f t="shared" si="433"/>
        <v>-8809.1946838502772</v>
      </c>
      <c r="Y1105" s="9">
        <f>SUM($X$6:X1105)</f>
        <v>509023.72310513118</v>
      </c>
      <c r="Z1105" s="16">
        <f t="shared" si="411"/>
        <v>0.50902372310513122</v>
      </c>
      <c r="AA1105" s="16">
        <f t="shared" si="430"/>
        <v>0.60306485208212623</v>
      </c>
      <c r="AB1105" s="16">
        <f t="shared" si="431"/>
        <v>-5.8037973617561149E-3</v>
      </c>
      <c r="AC1105" s="16">
        <f t="shared" si="432"/>
        <v>-9.4113206816795313E-3</v>
      </c>
    </row>
    <row r="1106" spans="1:29" x14ac:dyDescent="0.15">
      <c r="A1106" s="8">
        <v>42508</v>
      </c>
      <c r="B1106" s="4">
        <v>2047.63</v>
      </c>
      <c r="C1106" s="1">
        <v>15.402100000000001</v>
      </c>
      <c r="D1106" s="1">
        <v>2.25</v>
      </c>
      <c r="E1106" s="1">
        <v>0.64939999999999998</v>
      </c>
      <c r="F1106" s="4">
        <f t="shared" si="422"/>
        <v>0.15402100000000002</v>
      </c>
      <c r="G1106" s="4">
        <f t="shared" si="423"/>
        <v>2.2499999999999999E-2</v>
      </c>
      <c r="H1106" s="4">
        <f t="shared" si="424"/>
        <v>6.4939999999999998E-3</v>
      </c>
      <c r="I1106" s="3">
        <f t="shared" si="425"/>
        <v>66.735651746763978</v>
      </c>
      <c r="J1106" s="4">
        <f t="shared" si="412"/>
        <v>1552979.8373408027</v>
      </c>
      <c r="K1106" s="1">
        <f t="shared" si="413"/>
        <v>2072.7800000000002</v>
      </c>
      <c r="L1106" s="5">
        <f t="shared" si="414"/>
        <v>0.12054794520547976</v>
      </c>
      <c r="M1106" s="5">
        <f t="shared" si="415"/>
        <v>-0.59230571774763907</v>
      </c>
      <c r="N1106" s="5">
        <f t="shared" si="416"/>
        <v>59.931390088018183</v>
      </c>
      <c r="O1106" s="1">
        <f t="shared" si="417"/>
        <v>0</v>
      </c>
      <c r="P1106" s="1">
        <f t="shared" si="418"/>
        <v>2072.7800000000002</v>
      </c>
      <c r="Q1106" s="5">
        <f t="shared" si="419"/>
        <v>0.12054794520547976</v>
      </c>
      <c r="R1106" s="5">
        <f t="shared" si="420"/>
        <v>-0.59230571774763907</v>
      </c>
      <c r="S1106" s="5">
        <f t="shared" si="426"/>
        <v>59.931390088018183</v>
      </c>
      <c r="T1106" s="5">
        <f t="shared" si="427"/>
        <v>-727.77178948724622</v>
      </c>
      <c r="U1106" s="4">
        <f t="shared" si="428"/>
        <v>1553004.8977551642</v>
      </c>
      <c r="V1106" s="4">
        <f t="shared" si="421"/>
        <v>25.060818761035385</v>
      </c>
      <c r="W1106" s="4">
        <f t="shared" si="429"/>
        <v>1509388.522744349</v>
      </c>
      <c r="X1106" s="4">
        <f t="shared" si="433"/>
        <v>364.79963921778835</v>
      </c>
      <c r="Y1106" s="9">
        <f>SUM($X$6:X1106)</f>
        <v>509388.52274434897</v>
      </c>
      <c r="Z1106" s="16">
        <f t="shared" ref="Z1106:Z1169" si="434">Y1106/$H$3</f>
        <v>0.50938852274434898</v>
      </c>
      <c r="AA1106" s="16">
        <f t="shared" si="430"/>
        <v>0.60339373247928851</v>
      </c>
      <c r="AB1106" s="16">
        <f t="shared" si="431"/>
        <v>2.4174546339612008E-4</v>
      </c>
      <c r="AC1106" s="16">
        <f t="shared" si="432"/>
        <v>2.051572628113739E-4</v>
      </c>
    </row>
    <row r="1107" spans="1:29" x14ac:dyDescent="0.15">
      <c r="A1107" s="8">
        <v>42509</v>
      </c>
      <c r="B1107" s="4">
        <v>2040.04</v>
      </c>
      <c r="C1107" s="1">
        <v>15.6995</v>
      </c>
      <c r="D1107" s="1">
        <v>2.2599999999999998</v>
      </c>
      <c r="E1107" s="1">
        <v>0.66839999999999999</v>
      </c>
      <c r="F1107" s="4">
        <f t="shared" si="422"/>
        <v>0.156995</v>
      </c>
      <c r="G1107" s="4">
        <f t="shared" si="423"/>
        <v>2.2599999999999999E-2</v>
      </c>
      <c r="H1107" s="4">
        <f t="shared" si="424"/>
        <v>6.6839999999999998E-3</v>
      </c>
      <c r="I1107" s="3">
        <f t="shared" si="425"/>
        <v>67.663798533211363</v>
      </c>
      <c r="J1107" s="4">
        <f t="shared" si="412"/>
        <v>1553004.8977551642</v>
      </c>
      <c r="K1107" s="1">
        <f t="shared" si="413"/>
        <v>2072.7800000000002</v>
      </c>
      <c r="L1107" s="5">
        <f t="shared" si="414"/>
        <v>0.1178082191780825</v>
      </c>
      <c r="M1107" s="5">
        <f t="shared" si="415"/>
        <v>-0.61752975512423225</v>
      </c>
      <c r="N1107" s="5">
        <f t="shared" si="416"/>
        <v>64.776618339254043</v>
      </c>
      <c r="O1107" s="1">
        <f t="shared" si="417"/>
        <v>0</v>
      </c>
      <c r="P1107" s="1">
        <f t="shared" si="418"/>
        <v>2072.7800000000002</v>
      </c>
      <c r="Q1107" s="5">
        <f t="shared" si="419"/>
        <v>0.1178082191780825</v>
      </c>
      <c r="R1107" s="5">
        <f t="shared" si="420"/>
        <v>-0.61752975512423225</v>
      </c>
      <c r="S1107" s="5">
        <f t="shared" si="426"/>
        <v>64.776618339254043</v>
      </c>
      <c r="T1107" s="5">
        <f t="shared" si="427"/>
        <v>-727.77178948724622</v>
      </c>
      <c r="U1107" s="4">
        <f t="shared" si="428"/>
        <v>1553029.9585739253</v>
      </c>
      <c r="V1107" s="4">
        <f t="shared" si="421"/>
        <v>25.061223167124435</v>
      </c>
      <c r="W1107" s="4">
        <f t="shared" si="429"/>
        <v>1505887.3631282339</v>
      </c>
      <c r="X1107" s="4">
        <f t="shared" si="433"/>
        <v>-3501.1596161150374</v>
      </c>
      <c r="Y1107" s="9">
        <f>SUM($X$6:X1107)</f>
        <v>505887.36312823393</v>
      </c>
      <c r="Z1107" s="16">
        <f t="shared" si="434"/>
        <v>0.5058873631282339</v>
      </c>
      <c r="AA1107" s="16">
        <f t="shared" si="430"/>
        <v>0.59745039387342802</v>
      </c>
      <c r="AB1107" s="16">
        <f t="shared" si="431"/>
        <v>-2.319588073817653E-3</v>
      </c>
      <c r="AC1107" s="16">
        <f t="shared" si="432"/>
        <v>-3.7067243593814046E-3</v>
      </c>
    </row>
    <row r="1108" spans="1:29" x14ac:dyDescent="0.15">
      <c r="A1108" s="8">
        <v>42510</v>
      </c>
      <c r="B1108" s="4">
        <v>2052.3200000000002</v>
      </c>
      <c r="C1108" s="1">
        <v>14.9954</v>
      </c>
      <c r="D1108" s="1">
        <v>2.25</v>
      </c>
      <c r="E1108" s="1">
        <v>0.67600000000000005</v>
      </c>
      <c r="F1108" s="4">
        <f t="shared" si="422"/>
        <v>0.149954</v>
      </c>
      <c r="G1108" s="4">
        <f t="shared" si="423"/>
        <v>2.2499999999999999E-2</v>
      </c>
      <c r="H1108" s="4">
        <f t="shared" si="424"/>
        <v>6.7600000000000004E-3</v>
      </c>
      <c r="I1108" s="3">
        <f t="shared" si="425"/>
        <v>65.162496234466303</v>
      </c>
      <c r="J1108" s="4">
        <f t="shared" si="412"/>
        <v>1553029.9585739253</v>
      </c>
      <c r="K1108" s="1">
        <f t="shared" si="413"/>
        <v>2072.7800000000002</v>
      </c>
      <c r="L1108" s="5">
        <f t="shared" si="414"/>
        <v>0.11506849315068524</v>
      </c>
      <c r="M1108" s="5">
        <f t="shared" si="415"/>
        <v>-0.57978427698507495</v>
      </c>
      <c r="N1108" s="5">
        <f t="shared" si="416"/>
        <v>54.964034771652599</v>
      </c>
      <c r="O1108" s="1">
        <f t="shared" si="417"/>
        <v>0</v>
      </c>
      <c r="P1108" s="1">
        <f t="shared" si="418"/>
        <v>2072.7800000000002</v>
      </c>
      <c r="Q1108" s="5">
        <f t="shared" si="419"/>
        <v>0.11506849315068524</v>
      </c>
      <c r="R1108" s="5">
        <f t="shared" si="420"/>
        <v>-0.57978427698507495</v>
      </c>
      <c r="S1108" s="5">
        <f t="shared" si="426"/>
        <v>54.964034771652599</v>
      </c>
      <c r="T1108" s="5">
        <f t="shared" si="427"/>
        <v>-727.77178948724622</v>
      </c>
      <c r="U1108" s="4">
        <f t="shared" si="428"/>
        <v>1553055.0197970925</v>
      </c>
      <c r="V1108" s="4">
        <f t="shared" si="421"/>
        <v>25.06162757973938</v>
      </c>
      <c r="W1108" s="4">
        <f t="shared" si="429"/>
        <v>1513053.7458538876</v>
      </c>
      <c r="X1108" s="4">
        <f t="shared" si="433"/>
        <v>7166.3827256537043</v>
      </c>
      <c r="Y1108" s="9">
        <f>SUM($X$6:X1108)</f>
        <v>513053.74585388764</v>
      </c>
      <c r="Z1108" s="16">
        <f t="shared" si="434"/>
        <v>0.51305374585388763</v>
      </c>
      <c r="AA1108" s="16">
        <f t="shared" si="430"/>
        <v>0.6070662302476002</v>
      </c>
      <c r="AB1108" s="16">
        <f t="shared" si="431"/>
        <v>4.758910195492125E-3</v>
      </c>
      <c r="AC1108" s="16">
        <f t="shared" si="432"/>
        <v>6.0194898139253154E-3</v>
      </c>
    </row>
    <row r="1109" spans="1:29" x14ac:dyDescent="0.15">
      <c r="A1109" s="8">
        <v>42513</v>
      </c>
      <c r="B1109" s="4">
        <v>2048.04</v>
      </c>
      <c r="C1109" s="1">
        <v>15.1274</v>
      </c>
      <c r="D1109" s="1">
        <v>2.25</v>
      </c>
      <c r="E1109" s="1">
        <v>0.67700000000000005</v>
      </c>
      <c r="F1109" s="4">
        <f t="shared" si="422"/>
        <v>0.15127399999999999</v>
      </c>
      <c r="G1109" s="4">
        <f t="shared" si="423"/>
        <v>2.2499999999999999E-2</v>
      </c>
      <c r="H1109" s="4">
        <f t="shared" si="424"/>
        <v>6.7700000000000008E-3</v>
      </c>
      <c r="I1109" s="3">
        <f t="shared" si="425"/>
        <v>65.559316853713511</v>
      </c>
      <c r="J1109" s="4">
        <f t="shared" si="412"/>
        <v>1553055.0197970925</v>
      </c>
      <c r="K1109" s="1">
        <f t="shared" si="413"/>
        <v>2072.7800000000002</v>
      </c>
      <c r="L1109" s="5">
        <f t="shared" si="414"/>
        <v>0.10684931506849346</v>
      </c>
      <c r="M1109" s="5">
        <f t="shared" si="415"/>
        <v>-0.59807667257252539</v>
      </c>
      <c r="N1109" s="5">
        <f t="shared" si="416"/>
        <v>56.202218304573911</v>
      </c>
      <c r="O1109" s="1">
        <f t="shared" si="417"/>
        <v>0</v>
      </c>
      <c r="P1109" s="1">
        <f t="shared" si="418"/>
        <v>2072.7800000000002</v>
      </c>
      <c r="Q1109" s="5">
        <f t="shared" si="419"/>
        <v>0.10684931506849346</v>
      </c>
      <c r="R1109" s="5">
        <f t="shared" si="420"/>
        <v>-0.59807667257252539</v>
      </c>
      <c r="S1109" s="5">
        <f t="shared" si="426"/>
        <v>56.202218304573911</v>
      </c>
      <c r="T1109" s="5">
        <f t="shared" si="427"/>
        <v>-727.77178948724622</v>
      </c>
      <c r="U1109" s="4">
        <f t="shared" si="428"/>
        <v>1553080.0814246724</v>
      </c>
      <c r="V1109" s="4">
        <f t="shared" si="421"/>
        <v>75.186095996640987</v>
      </c>
      <c r="W1109" s="4">
        <f t="shared" si="429"/>
        <v>1512177.6924359999</v>
      </c>
      <c r="X1109" s="4">
        <f t="shared" si="433"/>
        <v>-876.0534178877715</v>
      </c>
      <c r="Y1109" s="9">
        <f>SUM($X$6:X1109)</f>
        <v>512177.69243599987</v>
      </c>
      <c r="Z1109" s="16">
        <f t="shared" si="434"/>
        <v>0.51217769243599987</v>
      </c>
      <c r="AA1109" s="16">
        <f t="shared" si="430"/>
        <v>0.60371478239080389</v>
      </c>
      <c r="AB1109" s="16">
        <f t="shared" si="431"/>
        <v>-5.7899689306368509E-4</v>
      </c>
      <c r="AC1109" s="16">
        <f t="shared" si="432"/>
        <v>-2.085444764949033E-3</v>
      </c>
    </row>
    <row r="1110" spans="1:29" x14ac:dyDescent="0.15">
      <c r="A1110" s="8">
        <v>42514</v>
      </c>
      <c r="B1110" s="4">
        <v>2076.06</v>
      </c>
      <c r="C1110" s="1">
        <v>13.9023</v>
      </c>
      <c r="D1110" s="1">
        <v>2.2200000000000002</v>
      </c>
      <c r="E1110" s="1">
        <v>0.68010000000000004</v>
      </c>
      <c r="F1110" s="4">
        <f t="shared" si="422"/>
        <v>0.13902300000000001</v>
      </c>
      <c r="G1110" s="4">
        <f t="shared" si="423"/>
        <v>2.2200000000000001E-2</v>
      </c>
      <c r="H1110" s="4">
        <f t="shared" si="424"/>
        <v>6.8010000000000006E-3</v>
      </c>
      <c r="I1110" s="3">
        <f t="shared" si="425"/>
        <v>61.331961650844796</v>
      </c>
      <c r="J1110" s="4">
        <f t="shared" si="412"/>
        <v>1553080.0814246724</v>
      </c>
      <c r="K1110" s="1">
        <f t="shared" si="413"/>
        <v>2072.7800000000002</v>
      </c>
      <c r="L1110" s="5">
        <f t="shared" si="414"/>
        <v>0.1041095890410962</v>
      </c>
      <c r="M1110" s="5">
        <f t="shared" si="415"/>
        <v>-0.49011473148327189</v>
      </c>
      <c r="N1110" s="5">
        <f t="shared" si="416"/>
        <v>37.086322682619418</v>
      </c>
      <c r="O1110" s="1">
        <f t="shared" si="417"/>
        <v>0</v>
      </c>
      <c r="P1110" s="1">
        <f t="shared" si="418"/>
        <v>2072.7800000000002</v>
      </c>
      <c r="Q1110" s="5">
        <f t="shared" si="419"/>
        <v>0.1041095890410962</v>
      </c>
      <c r="R1110" s="5">
        <f t="shared" si="420"/>
        <v>-0.49011473148327189</v>
      </c>
      <c r="S1110" s="5">
        <f t="shared" si="426"/>
        <v>37.086322682619418</v>
      </c>
      <c r="T1110" s="5">
        <f t="shared" si="427"/>
        <v>-727.77178948724622</v>
      </c>
      <c r="U1110" s="4">
        <f t="shared" si="428"/>
        <v>1553155.2675206689</v>
      </c>
      <c r="V1110" s="4">
        <f t="shared" si="421"/>
        <v>25.063245275881474</v>
      </c>
      <c r="W1110" s="4">
        <f t="shared" si="429"/>
        <v>1526164.8880964376</v>
      </c>
      <c r="X1110" s="4">
        <f t="shared" si="433"/>
        <v>13987.19566043769</v>
      </c>
      <c r="Y1110" s="9">
        <f>SUM($X$6:X1110)</f>
        <v>526164.88809643756</v>
      </c>
      <c r="Z1110" s="16">
        <f t="shared" si="434"/>
        <v>0.52616488809643758</v>
      </c>
      <c r="AA1110" s="16">
        <f t="shared" si="430"/>
        <v>0.62565580317291281</v>
      </c>
      <c r="AB1110" s="16">
        <f t="shared" si="431"/>
        <v>9.249703742094894E-3</v>
      </c>
      <c r="AC1110" s="16">
        <f t="shared" si="432"/>
        <v>1.3681373410675565E-2</v>
      </c>
    </row>
    <row r="1111" spans="1:29" x14ac:dyDescent="0.15">
      <c r="A1111" s="8">
        <v>42515</v>
      </c>
      <c r="B1111" s="4">
        <v>2090.54</v>
      </c>
      <c r="C1111" s="1">
        <v>13.514900000000001</v>
      </c>
      <c r="D1111" s="1">
        <v>2.21</v>
      </c>
      <c r="E1111" s="1">
        <v>0.68089999999999995</v>
      </c>
      <c r="F1111" s="4">
        <f t="shared" si="422"/>
        <v>0.13514900000000002</v>
      </c>
      <c r="G1111" s="4">
        <f t="shared" si="423"/>
        <v>2.2099999999999998E-2</v>
      </c>
      <c r="H1111" s="4">
        <f t="shared" si="424"/>
        <v>6.8089999999999991E-3</v>
      </c>
      <c r="I1111" s="3">
        <f t="shared" si="425"/>
        <v>60.12714984915695</v>
      </c>
      <c r="J1111" s="4">
        <f t="shared" si="412"/>
        <v>1553155.2675206689</v>
      </c>
      <c r="K1111" s="1">
        <f t="shared" si="413"/>
        <v>2072.7800000000002</v>
      </c>
      <c r="L1111" s="5">
        <f t="shared" si="414"/>
        <v>0.10136986301369894</v>
      </c>
      <c r="M1111" s="5">
        <f t="shared" si="415"/>
        <v>-0.42614227564213802</v>
      </c>
      <c r="N1111" s="5">
        <f t="shared" si="416"/>
        <v>28.891784440002617</v>
      </c>
      <c r="O1111" s="1">
        <f t="shared" si="417"/>
        <v>0</v>
      </c>
      <c r="P1111" s="1">
        <f t="shared" si="418"/>
        <v>2072.7800000000002</v>
      </c>
      <c r="Q1111" s="5">
        <f t="shared" si="419"/>
        <v>0.10136986301369894</v>
      </c>
      <c r="R1111" s="5">
        <f t="shared" si="420"/>
        <v>-0.42614227564213802</v>
      </c>
      <c r="S1111" s="5">
        <f t="shared" si="426"/>
        <v>28.891784440002617</v>
      </c>
      <c r="T1111" s="5">
        <f t="shared" si="427"/>
        <v>-727.77178948724622</v>
      </c>
      <c r="U1111" s="4">
        <f t="shared" si="428"/>
        <v>1553180.3307659449</v>
      </c>
      <c r="V1111" s="4">
        <f t="shared" si="421"/>
        <v>25.063649721127163</v>
      </c>
      <c r="W1111" s="4">
        <f t="shared" si="429"/>
        <v>1532153.7051025645</v>
      </c>
      <c r="X1111" s="4">
        <f t="shared" si="433"/>
        <v>5988.8170061269775</v>
      </c>
      <c r="Y1111" s="9">
        <f>SUM($X$6:X1111)</f>
        <v>532153.70510256453</v>
      </c>
      <c r="Z1111" s="16">
        <f t="shared" si="434"/>
        <v>0.53215370510256454</v>
      </c>
      <c r="AA1111" s="16">
        <f t="shared" si="430"/>
        <v>0.63699434638936314</v>
      </c>
      <c r="AB1111" s="16">
        <f t="shared" si="431"/>
        <v>3.9240956549568759E-3</v>
      </c>
      <c r="AC1111" s="16">
        <f t="shared" si="432"/>
        <v>6.9747502480660573E-3</v>
      </c>
    </row>
    <row r="1112" spans="1:29" x14ac:dyDescent="0.15">
      <c r="A1112" s="8">
        <v>42516</v>
      </c>
      <c r="B1112" s="4">
        <v>2090.1</v>
      </c>
      <c r="C1112" s="1">
        <v>13.342600000000001</v>
      </c>
      <c r="D1112" s="1">
        <v>2.21</v>
      </c>
      <c r="E1112" s="1">
        <v>0.68899999999999995</v>
      </c>
      <c r="F1112" s="4">
        <f t="shared" si="422"/>
        <v>0.13342600000000002</v>
      </c>
      <c r="G1112" s="4">
        <f t="shared" si="423"/>
        <v>2.2099999999999998E-2</v>
      </c>
      <c r="H1112" s="4">
        <f t="shared" si="424"/>
        <v>6.8899999999999994E-3</v>
      </c>
      <c r="I1112" s="3">
        <f t="shared" si="425"/>
        <v>59.378685894570012</v>
      </c>
      <c r="J1112" s="4">
        <f t="shared" si="412"/>
        <v>1553180.3307659449</v>
      </c>
      <c r="K1112" s="1">
        <f t="shared" si="413"/>
        <v>2072.7800000000002</v>
      </c>
      <c r="L1112" s="5">
        <f t="shared" si="414"/>
        <v>9.8630136986301672E-2</v>
      </c>
      <c r="M1112" s="5">
        <f t="shared" si="415"/>
        <v>-0.426181390331133</v>
      </c>
      <c r="N1112" s="5">
        <f t="shared" si="416"/>
        <v>28.113456231127142</v>
      </c>
      <c r="O1112" s="1">
        <f t="shared" si="417"/>
        <v>0</v>
      </c>
      <c r="P1112" s="1">
        <f t="shared" si="418"/>
        <v>2072.7800000000002</v>
      </c>
      <c r="Q1112" s="5">
        <f t="shared" si="419"/>
        <v>9.8630136986301672E-2</v>
      </c>
      <c r="R1112" s="5">
        <f t="shared" si="420"/>
        <v>-0.426181390331133</v>
      </c>
      <c r="S1112" s="5">
        <f t="shared" si="426"/>
        <v>28.113456231127142</v>
      </c>
      <c r="T1112" s="5">
        <f t="shared" si="427"/>
        <v>-727.77178948724622</v>
      </c>
      <c r="U1112" s="4">
        <f t="shared" si="428"/>
        <v>1553205.3944156661</v>
      </c>
      <c r="V1112" s="4">
        <f t="shared" si="421"/>
        <v>25.064054172899375</v>
      </c>
      <c r="W1112" s="4">
        <f t="shared" si="429"/>
        <v>1532745.2140656672</v>
      </c>
      <c r="X1112" s="4">
        <f t="shared" si="433"/>
        <v>591.50896310270764</v>
      </c>
      <c r="Y1112" s="9">
        <f>SUM($X$6:X1112)</f>
        <v>532745.21406566724</v>
      </c>
      <c r="Z1112" s="16">
        <f t="shared" si="434"/>
        <v>0.53274521406566722</v>
      </c>
      <c r="AA1112" s="16">
        <f t="shared" si="430"/>
        <v>0.6366498050209074</v>
      </c>
      <c r="AB1112" s="16">
        <f t="shared" si="431"/>
        <v>3.8606372267533772E-4</v>
      </c>
      <c r="AC1112" s="16">
        <f t="shared" si="432"/>
        <v>-2.1047193548081098E-4</v>
      </c>
    </row>
    <row r="1113" spans="1:29" x14ac:dyDescent="0.15">
      <c r="A1113" s="8">
        <v>42517</v>
      </c>
      <c r="B1113" s="4">
        <v>2099.06</v>
      </c>
      <c r="C1113" s="1">
        <v>12.9749</v>
      </c>
      <c r="D1113" s="1">
        <v>2.2000000000000002</v>
      </c>
      <c r="E1113" s="1">
        <v>0.68799999999999994</v>
      </c>
      <c r="F1113" s="4">
        <f t="shared" si="422"/>
        <v>0.129749</v>
      </c>
      <c r="G1113" s="4">
        <f t="shared" si="423"/>
        <v>2.2000000000000002E-2</v>
      </c>
      <c r="H1113" s="4">
        <f t="shared" si="424"/>
        <v>6.8799999999999998E-3</v>
      </c>
      <c r="I1113" s="3">
        <f t="shared" si="425"/>
        <v>58.080938543388939</v>
      </c>
      <c r="J1113" s="4">
        <f t="shared" si="412"/>
        <v>1553205.3944156661</v>
      </c>
      <c r="K1113" s="1">
        <f t="shared" si="413"/>
        <v>2072.7800000000002</v>
      </c>
      <c r="L1113" s="5">
        <f t="shared" si="414"/>
        <v>9.589041095890441E-2</v>
      </c>
      <c r="M1113" s="5">
        <f t="shared" si="415"/>
        <v>-0.38220520646488798</v>
      </c>
      <c r="N1113" s="5">
        <f t="shared" si="416"/>
        <v>23.051430939331869</v>
      </c>
      <c r="O1113" s="1">
        <f t="shared" si="417"/>
        <v>0</v>
      </c>
      <c r="P1113" s="1">
        <f t="shared" si="418"/>
        <v>2072.7800000000002</v>
      </c>
      <c r="Q1113" s="5">
        <f t="shared" si="419"/>
        <v>9.589041095890441E-2</v>
      </c>
      <c r="R1113" s="5">
        <f t="shared" si="420"/>
        <v>-0.38220520646488798</v>
      </c>
      <c r="S1113" s="5">
        <f t="shared" si="426"/>
        <v>23.051430939331869</v>
      </c>
      <c r="T1113" s="5">
        <f t="shared" si="427"/>
        <v>-727.77178948724622</v>
      </c>
      <c r="U1113" s="4">
        <f t="shared" si="428"/>
        <v>1553230.4584698391</v>
      </c>
      <c r="V1113" s="4">
        <f t="shared" si="421"/>
        <v>25.064458631198221</v>
      </c>
      <c r="W1113" s="4">
        <f t="shared" si="429"/>
        <v>1536454.2773248798</v>
      </c>
      <c r="X1113" s="4">
        <f t="shared" si="433"/>
        <v>3709.063259212533</v>
      </c>
      <c r="Y1113" s="9">
        <f>SUM($X$6:X1113)</f>
        <v>536454.27732487977</v>
      </c>
      <c r="Z1113" s="16">
        <f t="shared" si="434"/>
        <v>0.53645427732487982</v>
      </c>
      <c r="AA1113" s="16">
        <f t="shared" si="430"/>
        <v>0.64366592016036839</v>
      </c>
      <c r="AB1113" s="16">
        <f t="shared" si="431"/>
        <v>2.4198824600300635E-3</v>
      </c>
      <c r="AC1113" s="16">
        <f t="shared" si="432"/>
        <v>4.2868762260179112E-3</v>
      </c>
    </row>
    <row r="1114" spans="1:29" x14ac:dyDescent="0.15">
      <c r="A1114" s="8">
        <v>42521</v>
      </c>
      <c r="B1114" s="4">
        <v>2096.96</v>
      </c>
      <c r="C1114" s="1">
        <v>13.4453</v>
      </c>
      <c r="D1114" s="1">
        <v>2.2000000000000002</v>
      </c>
      <c r="E1114" s="1">
        <v>0.70099999999999996</v>
      </c>
      <c r="F1114" s="4">
        <f t="shared" si="422"/>
        <v>0.13445299999999999</v>
      </c>
      <c r="G1114" s="4">
        <f t="shared" si="423"/>
        <v>2.2000000000000002E-2</v>
      </c>
      <c r="H1114" s="4">
        <f t="shared" si="424"/>
        <v>7.0099999999999997E-3</v>
      </c>
      <c r="I1114" s="3">
        <f t="shared" si="425"/>
        <v>59.940075819565998</v>
      </c>
      <c r="J1114" s="4">
        <f t="shared" si="412"/>
        <v>1553230.4584698391</v>
      </c>
      <c r="K1114" s="1">
        <f t="shared" si="413"/>
        <v>2072.7800000000002</v>
      </c>
      <c r="L1114" s="5">
        <f t="shared" si="414"/>
        <v>8.4931506849315372E-2</v>
      </c>
      <c r="M1114" s="5">
        <f t="shared" si="415"/>
        <v>-0.38782828471264641</v>
      </c>
      <c r="N1114" s="5">
        <f t="shared" si="416"/>
        <v>22.922093011145083</v>
      </c>
      <c r="O1114" s="1">
        <f t="shared" si="417"/>
        <v>0</v>
      </c>
      <c r="P1114" s="1">
        <f t="shared" si="418"/>
        <v>2072.7800000000002</v>
      </c>
      <c r="Q1114" s="5">
        <f t="shared" si="419"/>
        <v>8.4931506849315372E-2</v>
      </c>
      <c r="R1114" s="5">
        <f t="shared" si="420"/>
        <v>-0.38782828471264641</v>
      </c>
      <c r="S1114" s="5">
        <f t="shared" si="426"/>
        <v>22.922093011145083</v>
      </c>
      <c r="T1114" s="5">
        <f t="shared" si="427"/>
        <v>-727.77178948724622</v>
      </c>
      <c r="U1114" s="4">
        <f t="shared" si="428"/>
        <v>1553255.5229284703</v>
      </c>
      <c r="V1114" s="4">
        <f t="shared" si="421"/>
        <v>100.25945238409523</v>
      </c>
      <c r="W1114" s="4">
        <f t="shared" si="429"/>
        <v>1536573.4702789562</v>
      </c>
      <c r="X1114" s="4">
        <f t="shared" si="433"/>
        <v>119.19295407645404</v>
      </c>
      <c r="Y1114" s="9">
        <f>SUM($X$6:X1114)</f>
        <v>536573.47027895623</v>
      </c>
      <c r="Z1114" s="16">
        <f t="shared" si="434"/>
        <v>0.53657347027895619</v>
      </c>
      <c r="AA1114" s="16">
        <f t="shared" si="430"/>
        <v>0.64202151817455733</v>
      </c>
      <c r="AB1114" s="16">
        <f t="shared" si="431"/>
        <v>7.7576635917849036E-5</v>
      </c>
      <c r="AC1114" s="16">
        <f t="shared" si="432"/>
        <v>-1.0004478195001138E-3</v>
      </c>
    </row>
    <row r="1115" spans="1:29" x14ac:dyDescent="0.15">
      <c r="A1115" s="8">
        <v>42522</v>
      </c>
      <c r="B1115" s="4">
        <v>2099.33</v>
      </c>
      <c r="C1115" s="1">
        <v>13.361599999999999</v>
      </c>
      <c r="D1115" s="1">
        <v>2.2000000000000002</v>
      </c>
      <c r="E1115" s="1">
        <v>0.69599999999999995</v>
      </c>
      <c r="F1115" s="4">
        <f t="shared" si="422"/>
        <v>0.13361599999999998</v>
      </c>
      <c r="G1115" s="4">
        <f t="shared" si="423"/>
        <v>2.2000000000000002E-2</v>
      </c>
      <c r="H1115" s="4">
        <f t="shared" si="424"/>
        <v>6.9599999999999992E-3</v>
      </c>
      <c r="I1115" s="3">
        <f t="shared" si="425"/>
        <v>59.67379748044111</v>
      </c>
      <c r="J1115" s="4">
        <f t="shared" si="412"/>
        <v>1553255.5229284703</v>
      </c>
      <c r="K1115" s="1">
        <f t="shared" si="413"/>
        <v>2072.7800000000002</v>
      </c>
      <c r="L1115" s="5">
        <f t="shared" si="414"/>
        <v>8.2191780821918109E-2</v>
      </c>
      <c r="M1115" s="5">
        <f t="shared" si="415"/>
        <v>-0.3741337089499161</v>
      </c>
      <c r="N1115" s="5">
        <f t="shared" si="416"/>
        <v>21.289685291354427</v>
      </c>
      <c r="O1115" s="1">
        <f t="shared" si="417"/>
        <v>0</v>
      </c>
      <c r="P1115" s="1">
        <f t="shared" si="418"/>
        <v>2072.7800000000002</v>
      </c>
      <c r="Q1115" s="5">
        <f t="shared" si="419"/>
        <v>8.2191780821918109E-2</v>
      </c>
      <c r="R1115" s="5">
        <f t="shared" si="420"/>
        <v>-0.3741337089499161</v>
      </c>
      <c r="S1115" s="5">
        <f t="shared" si="426"/>
        <v>21.289685291354427</v>
      </c>
      <c r="T1115" s="5">
        <f t="shared" si="427"/>
        <v>-727.77178948724622</v>
      </c>
      <c r="U1115" s="4">
        <f t="shared" si="428"/>
        <v>1553355.7823808545</v>
      </c>
      <c r="V1115" s="4">
        <f t="shared" si="421"/>
        <v>25.066480981433514</v>
      </c>
      <c r="W1115" s="4">
        <f t="shared" si="429"/>
        <v>1537861.7500187452</v>
      </c>
      <c r="X1115" s="4">
        <f t="shared" si="433"/>
        <v>1288.2797397889663</v>
      </c>
      <c r="Y1115" s="9">
        <f>SUM($X$6:X1115)</f>
        <v>537861.7500187452</v>
      </c>
      <c r="Z1115" s="16">
        <f t="shared" si="434"/>
        <v>0.53786175001874514</v>
      </c>
      <c r="AA1115" s="16">
        <f t="shared" si="430"/>
        <v>0.64387734327282975</v>
      </c>
      <c r="AB1115" s="16">
        <f t="shared" si="431"/>
        <v>8.3841076571176672E-4</v>
      </c>
      <c r="AC1115" s="16">
        <f t="shared" si="432"/>
        <v>1.1302075385319181E-3</v>
      </c>
    </row>
    <row r="1116" spans="1:29" x14ac:dyDescent="0.15">
      <c r="A1116" s="8">
        <v>42523</v>
      </c>
      <c r="B1116" s="4">
        <v>2105.2600000000002</v>
      </c>
      <c r="C1116" s="1">
        <v>13.1371</v>
      </c>
      <c r="D1116" s="1">
        <v>2.19</v>
      </c>
      <c r="E1116" s="1">
        <v>0.69520000000000004</v>
      </c>
      <c r="F1116" s="4">
        <f t="shared" si="422"/>
        <v>0.13137100000000002</v>
      </c>
      <c r="G1116" s="4">
        <f t="shared" si="423"/>
        <v>2.1899999999999999E-2</v>
      </c>
      <c r="H1116" s="4">
        <f t="shared" si="424"/>
        <v>6.9520000000000007E-3</v>
      </c>
      <c r="I1116" s="3">
        <f t="shared" si="425"/>
        <v>58.881941114311651</v>
      </c>
      <c r="J1116" s="4">
        <f t="shared" ref="J1116:J1179" si="435">U1115</f>
        <v>1553355.7823808545</v>
      </c>
      <c r="K1116" s="1">
        <f t="shared" ref="K1116:K1179" si="436">P1115</f>
        <v>2072.7800000000002</v>
      </c>
      <c r="L1116" s="5">
        <f t="shared" ref="L1116:L1179" si="437">Q1115-(A1116-A1115)/365</f>
        <v>7.9452054794520846E-2</v>
      </c>
      <c r="M1116" s="5">
        <f t="shared" ref="M1116:M1179" si="438">BSM_Put(B1116,K1116,F1116,H1116,G1116,L1116,$G$3)</f>
        <v>-0.34165620056852031</v>
      </c>
      <c r="N1116" s="5">
        <f t="shared" ref="N1116:N1179" si="439">BSM_Put(B1116,K1116,F1116,H1116,G1116,L1116,$F$3)</f>
        <v>18.130027309732789</v>
      </c>
      <c r="O1116" s="1">
        <f t="shared" ref="O1116:O1179" si="440">IF(OR(M1116&gt;-0.05,L1116&lt;=0.00001),1,0)</f>
        <v>0</v>
      </c>
      <c r="P1116" s="1">
        <f t="shared" ref="P1116:P1179" si="441">IF(O1116,B1116,K1116)</f>
        <v>2072.7800000000002</v>
      </c>
      <c r="Q1116" s="5">
        <f t="shared" ref="Q1116:Q1179" si="442">IF(O1116,$B$3,L1116)</f>
        <v>7.9452054794520846E-2</v>
      </c>
      <c r="R1116" s="5">
        <f t="shared" ref="R1116:R1179" si="443">IF(O1116,BSM_Put(B1116,P1116,F1116,H1116,G1116,Q1116,$G$3),M1116)</f>
        <v>-0.34165620056852031</v>
      </c>
      <c r="S1116" s="5">
        <f t="shared" si="426"/>
        <v>18.130027309732789</v>
      </c>
      <c r="T1116" s="5">
        <f t="shared" si="427"/>
        <v>-727.77178948724622</v>
      </c>
      <c r="U1116" s="4">
        <f t="shared" si="428"/>
        <v>1553380.8488618359</v>
      </c>
      <c r="V1116" s="4">
        <f t="shared" ref="V1116:V1179" si="444">U1116*$H$6*(A1116-A1115)/365</f>
        <v>25.066885478893731</v>
      </c>
      <c r="W1116" s="4">
        <f t="shared" si="429"/>
        <v>1540186.326443179</v>
      </c>
      <c r="X1116" s="4">
        <f t="shared" si="433"/>
        <v>2324.5764244338498</v>
      </c>
      <c r="Y1116" s="9">
        <f>SUM($X$6:X1116)</f>
        <v>540186.32644317904</v>
      </c>
      <c r="Z1116" s="16">
        <f t="shared" si="434"/>
        <v>0.5401863264431791</v>
      </c>
      <c r="AA1116" s="16">
        <f t="shared" si="430"/>
        <v>0.64852082126133492</v>
      </c>
      <c r="AB1116" s="16">
        <f t="shared" si="431"/>
        <v>1.511563977974948E-3</v>
      </c>
      <c r="AC1116" s="16">
        <f t="shared" si="432"/>
        <v>2.8247107410460915E-3</v>
      </c>
    </row>
    <row r="1117" spans="1:29" x14ac:dyDescent="0.15">
      <c r="A1117" s="8">
        <v>42524</v>
      </c>
      <c r="B1117" s="4">
        <v>2099.13</v>
      </c>
      <c r="C1117" s="1">
        <v>13.136900000000001</v>
      </c>
      <c r="D1117" s="1">
        <v>2.2000000000000002</v>
      </c>
      <c r="E1117" s="1">
        <v>0.69730000000000003</v>
      </c>
      <c r="F1117" s="4">
        <f t="shared" si="422"/>
        <v>0.13136900000000001</v>
      </c>
      <c r="G1117" s="4">
        <f t="shared" si="423"/>
        <v>2.2000000000000002E-2</v>
      </c>
      <c r="H1117" s="4">
        <f t="shared" si="424"/>
        <v>6.973E-3</v>
      </c>
      <c r="I1117" s="3">
        <f t="shared" si="425"/>
        <v>58.730308151813475</v>
      </c>
      <c r="J1117" s="4">
        <f t="shared" si="435"/>
        <v>1553380.8488618359</v>
      </c>
      <c r="K1117" s="1">
        <f t="shared" si="436"/>
        <v>2072.7800000000002</v>
      </c>
      <c r="L1117" s="5">
        <f t="shared" si="437"/>
        <v>7.6712328767123583E-2</v>
      </c>
      <c r="M1117" s="5">
        <f t="shared" si="438"/>
        <v>-0.36868336490619869</v>
      </c>
      <c r="N1117" s="5">
        <f t="shared" si="439"/>
        <v>19.776785166816079</v>
      </c>
      <c r="O1117" s="1">
        <f t="shared" si="440"/>
        <v>0</v>
      </c>
      <c r="P1117" s="1">
        <f t="shared" si="441"/>
        <v>2072.7800000000002</v>
      </c>
      <c r="Q1117" s="5">
        <f t="shared" si="442"/>
        <v>7.6712328767123583E-2</v>
      </c>
      <c r="R1117" s="5">
        <f t="shared" si="443"/>
        <v>-0.36868336490619869</v>
      </c>
      <c r="S1117" s="5">
        <f t="shared" si="426"/>
        <v>19.776785166816079</v>
      </c>
      <c r="T1117" s="5">
        <f t="shared" si="427"/>
        <v>-727.77178948724622</v>
      </c>
      <c r="U1117" s="4">
        <f t="shared" si="428"/>
        <v>1553405.9157473147</v>
      </c>
      <c r="V1117" s="4">
        <f t="shared" si="444"/>
        <v>25.06728998288132</v>
      </c>
      <c r="W1117" s="4">
        <f t="shared" si="429"/>
        <v>1539012.9294161561</v>
      </c>
      <c r="X1117" s="4">
        <f t="shared" si="433"/>
        <v>-1173.3970270229038</v>
      </c>
      <c r="Y1117" s="9">
        <f>SUM($X$6:X1117)</f>
        <v>539012.92941615614</v>
      </c>
      <c r="Z1117" s="16">
        <f t="shared" si="434"/>
        <v>0.53901292941615619</v>
      </c>
      <c r="AA1117" s="16">
        <f t="shared" si="430"/>
        <v>0.64372073355989556</v>
      </c>
      <c r="AB1117" s="16">
        <f t="shared" si="431"/>
        <v>-7.6185394382294108E-4</v>
      </c>
      <c r="AC1117" s="16">
        <f t="shared" si="432"/>
        <v>-2.911754367631603E-3</v>
      </c>
    </row>
    <row r="1118" spans="1:29" x14ac:dyDescent="0.15">
      <c r="A1118" s="8">
        <v>42527</v>
      </c>
      <c r="B1118" s="4">
        <v>2109.41</v>
      </c>
      <c r="C1118" s="1">
        <v>13.115399999999999</v>
      </c>
      <c r="D1118" s="1">
        <v>2.19</v>
      </c>
      <c r="E1118" s="1">
        <v>0.67530000000000001</v>
      </c>
      <c r="F1118" s="4">
        <f t="shared" si="422"/>
        <v>0.13115399999999999</v>
      </c>
      <c r="G1118" s="4">
        <f t="shared" si="423"/>
        <v>2.1899999999999999E-2</v>
      </c>
      <c r="H1118" s="4">
        <f t="shared" si="424"/>
        <v>6.7530000000000003E-3</v>
      </c>
      <c r="I1118" s="3">
        <f t="shared" si="425"/>
        <v>58.963339904203373</v>
      </c>
      <c r="J1118" s="4">
        <f t="shared" si="435"/>
        <v>1553405.9157473147</v>
      </c>
      <c r="K1118" s="1">
        <f t="shared" si="436"/>
        <v>2072.7800000000002</v>
      </c>
      <c r="L1118" s="5">
        <f t="shared" si="437"/>
        <v>6.8493150684931808E-2</v>
      </c>
      <c r="M1118" s="5">
        <f t="shared" si="438"/>
        <v>-0.30902897831774639</v>
      </c>
      <c r="N1118" s="5">
        <f t="shared" si="439"/>
        <v>14.62615265528609</v>
      </c>
      <c r="O1118" s="1">
        <f t="shared" si="440"/>
        <v>0</v>
      </c>
      <c r="P1118" s="1">
        <f t="shared" si="441"/>
        <v>2072.7800000000002</v>
      </c>
      <c r="Q1118" s="5">
        <f t="shared" si="442"/>
        <v>6.8493150684931808E-2</v>
      </c>
      <c r="R1118" s="5">
        <f t="shared" si="443"/>
        <v>-0.30902897831774639</v>
      </c>
      <c r="S1118" s="5">
        <f t="shared" si="426"/>
        <v>14.62615265528609</v>
      </c>
      <c r="T1118" s="5">
        <f t="shared" si="427"/>
        <v>-727.77178948724622</v>
      </c>
      <c r="U1118" s="4">
        <f t="shared" si="428"/>
        <v>1553430.9830372976</v>
      </c>
      <c r="V1118" s="4">
        <f t="shared" si="444"/>
        <v>75.203083480189179</v>
      </c>
      <c r="W1118" s="4">
        <f t="shared" si="429"/>
        <v>1542786.4817460463</v>
      </c>
      <c r="X1118" s="4">
        <f t="shared" si="433"/>
        <v>3773.5523298901971</v>
      </c>
      <c r="Y1118" s="9">
        <f>SUM($X$6:X1118)</f>
        <v>542786.48174604634</v>
      </c>
      <c r="Z1118" s="16">
        <f t="shared" si="434"/>
        <v>0.54278648174604638</v>
      </c>
      <c r="AA1118" s="16">
        <f t="shared" si="430"/>
        <v>0.65177047280472333</v>
      </c>
      <c r="AB1118" s="16">
        <f t="shared" si="431"/>
        <v>2.4519302325301073E-3</v>
      </c>
      <c r="AC1118" s="16">
        <f t="shared" si="432"/>
        <v>4.8972669629797792E-3</v>
      </c>
    </row>
    <row r="1119" spans="1:29" x14ac:dyDescent="0.15">
      <c r="A1119" s="8">
        <v>42528</v>
      </c>
      <c r="B1119" s="4">
        <v>2112.13</v>
      </c>
      <c r="C1119" s="1">
        <v>13.178000000000001</v>
      </c>
      <c r="D1119" s="1">
        <v>2.19</v>
      </c>
      <c r="E1119" s="1">
        <v>0.67120000000000002</v>
      </c>
      <c r="F1119" s="4">
        <f t="shared" si="422"/>
        <v>0.13178000000000001</v>
      </c>
      <c r="G1119" s="4">
        <f t="shared" si="423"/>
        <v>2.1899999999999999E-2</v>
      </c>
      <c r="H1119" s="4">
        <f t="shared" si="424"/>
        <v>6.7120000000000001E-3</v>
      </c>
      <c r="I1119" s="3">
        <f t="shared" si="425"/>
        <v>59.312787510924558</v>
      </c>
      <c r="J1119" s="4">
        <f t="shared" si="435"/>
        <v>1553430.9830372976</v>
      </c>
      <c r="K1119" s="1">
        <f t="shared" si="436"/>
        <v>2072.7800000000002</v>
      </c>
      <c r="L1119" s="5">
        <f t="shared" si="437"/>
        <v>6.5753424657534545E-2</v>
      </c>
      <c r="M1119" s="5">
        <f t="shared" si="438"/>
        <v>-0.29284088934758984</v>
      </c>
      <c r="N1119" s="5">
        <f t="shared" si="439"/>
        <v>13.391882354659506</v>
      </c>
      <c r="O1119" s="1">
        <f t="shared" si="440"/>
        <v>0</v>
      </c>
      <c r="P1119" s="1">
        <f t="shared" si="441"/>
        <v>2072.7800000000002</v>
      </c>
      <c r="Q1119" s="5">
        <f t="shared" si="442"/>
        <v>6.5753424657534545E-2</v>
      </c>
      <c r="R1119" s="5">
        <f t="shared" si="443"/>
        <v>-0.29284088934758984</v>
      </c>
      <c r="S1119" s="5">
        <f t="shared" si="426"/>
        <v>13.391882354659506</v>
      </c>
      <c r="T1119" s="5">
        <f t="shared" si="427"/>
        <v>-727.77178948724622</v>
      </c>
      <c r="U1119" s="4">
        <f t="shared" si="428"/>
        <v>1553506.1861207779</v>
      </c>
      <c r="V1119" s="4">
        <f t="shared" si="444"/>
        <v>25.068908044524331</v>
      </c>
      <c r="W1119" s="4">
        <f t="shared" si="429"/>
        <v>1543759.9519349246</v>
      </c>
      <c r="X1119" s="4">
        <f t="shared" si="433"/>
        <v>973.47018887824379</v>
      </c>
      <c r="Y1119" s="9">
        <f>SUM($X$6:X1119)</f>
        <v>543759.95193492458</v>
      </c>
      <c r="Z1119" s="16">
        <f t="shared" si="434"/>
        <v>0.54375995193492455</v>
      </c>
      <c r="AA1119" s="16">
        <f t="shared" si="430"/>
        <v>0.6539003649006313</v>
      </c>
      <c r="AB1119" s="16">
        <f t="shared" si="431"/>
        <v>6.3098179845115076E-4</v>
      </c>
      <c r="AC1119" s="16">
        <f t="shared" si="432"/>
        <v>1.289460085995731E-3</v>
      </c>
    </row>
    <row r="1120" spans="1:29" x14ac:dyDescent="0.15">
      <c r="A1120" s="8">
        <v>42529</v>
      </c>
      <c r="B1120" s="4">
        <v>2119.12</v>
      </c>
      <c r="C1120" s="1">
        <v>13.1249</v>
      </c>
      <c r="D1120" s="1">
        <v>2.1800000000000002</v>
      </c>
      <c r="E1120" s="1">
        <v>0.67230000000000001</v>
      </c>
      <c r="F1120" s="4">
        <f t="shared" si="422"/>
        <v>0.131249</v>
      </c>
      <c r="G1120" s="4">
        <f t="shared" si="423"/>
        <v>2.18E-2</v>
      </c>
      <c r="H1120" s="4">
        <f t="shared" si="424"/>
        <v>6.7229999999999998E-3</v>
      </c>
      <c r="I1120" s="3">
        <f t="shared" si="425"/>
        <v>59.256319470374471</v>
      </c>
      <c r="J1120" s="4">
        <f t="shared" si="435"/>
        <v>1553506.1861207779</v>
      </c>
      <c r="K1120" s="1">
        <f t="shared" si="436"/>
        <v>2072.7800000000002</v>
      </c>
      <c r="L1120" s="5">
        <f t="shared" si="437"/>
        <v>6.3013698630137283E-2</v>
      </c>
      <c r="M1120" s="5">
        <f t="shared" si="438"/>
        <v>-0.25468606290716161</v>
      </c>
      <c r="N1120" s="5">
        <f t="shared" si="439"/>
        <v>10.856620359132924</v>
      </c>
      <c r="O1120" s="1">
        <f t="shared" si="440"/>
        <v>0</v>
      </c>
      <c r="P1120" s="1">
        <f t="shared" si="441"/>
        <v>2072.7800000000002</v>
      </c>
      <c r="Q1120" s="5">
        <f t="shared" si="442"/>
        <v>6.3013698630137283E-2</v>
      </c>
      <c r="R1120" s="5">
        <f t="shared" si="443"/>
        <v>-0.25468606290716161</v>
      </c>
      <c r="S1120" s="5">
        <f t="shared" si="426"/>
        <v>10.856620359132924</v>
      </c>
      <c r="T1120" s="5">
        <f t="shared" si="427"/>
        <v>-727.77178948724622</v>
      </c>
      <c r="U1120" s="4">
        <f t="shared" si="428"/>
        <v>1553531.2550288225</v>
      </c>
      <c r="V1120" s="4">
        <f t="shared" si="444"/>
        <v>25.069312581150037</v>
      </c>
      <c r="W1120" s="4">
        <f t="shared" si="429"/>
        <v>1545630.1130022726</v>
      </c>
      <c r="X1120" s="4">
        <f t="shared" si="433"/>
        <v>1870.1610673479736</v>
      </c>
      <c r="Y1120" s="9">
        <f>SUM($X$6:X1120)</f>
        <v>545630.11300227256</v>
      </c>
      <c r="Z1120" s="16">
        <f t="shared" si="434"/>
        <v>0.5456301130022726</v>
      </c>
      <c r="AA1120" s="16">
        <f t="shared" si="430"/>
        <v>0.65937387436768824</v>
      </c>
      <c r="AB1120" s="16">
        <f t="shared" si="431"/>
        <v>1.2114325578947316E-3</v>
      </c>
      <c r="AC1120" s="16">
        <f t="shared" si="432"/>
        <v>3.3094553839014555E-3</v>
      </c>
    </row>
    <row r="1121" spans="1:29" x14ac:dyDescent="0.15">
      <c r="A1121" s="8">
        <v>42530</v>
      </c>
      <c r="B1121" s="4">
        <v>2115.48</v>
      </c>
      <c r="C1121" s="1">
        <v>13.558999999999999</v>
      </c>
      <c r="D1121" s="1">
        <v>2.1800000000000002</v>
      </c>
      <c r="E1121" s="1">
        <v>0.67059999999999997</v>
      </c>
      <c r="F1121" s="4">
        <f t="shared" si="422"/>
        <v>0.13558999999999999</v>
      </c>
      <c r="G1121" s="4">
        <f t="shared" si="423"/>
        <v>2.18E-2</v>
      </c>
      <c r="H1121" s="4">
        <f t="shared" si="424"/>
        <v>6.7060000000000002E-3</v>
      </c>
      <c r="I1121" s="3">
        <f t="shared" si="425"/>
        <v>60.978219448647224</v>
      </c>
      <c r="J1121" s="4">
        <f t="shared" si="435"/>
        <v>1553531.2550288225</v>
      </c>
      <c r="K1121" s="1">
        <f t="shared" si="436"/>
        <v>2072.7800000000002</v>
      </c>
      <c r="L1121" s="5">
        <f t="shared" si="437"/>
        <v>6.027397260274002E-2</v>
      </c>
      <c r="M1121" s="5">
        <f t="shared" si="438"/>
        <v>-0.27327057986929443</v>
      </c>
      <c r="N1121" s="5">
        <f t="shared" si="439"/>
        <v>12.031321513320952</v>
      </c>
      <c r="O1121" s="1">
        <f t="shared" si="440"/>
        <v>0</v>
      </c>
      <c r="P1121" s="1">
        <f t="shared" si="441"/>
        <v>2072.7800000000002</v>
      </c>
      <c r="Q1121" s="5">
        <f t="shared" si="442"/>
        <v>6.027397260274002E-2</v>
      </c>
      <c r="R1121" s="5">
        <f t="shared" si="443"/>
        <v>-0.27327057986929443</v>
      </c>
      <c r="S1121" s="5">
        <f t="shared" si="426"/>
        <v>12.031321513320952</v>
      </c>
      <c r="T1121" s="5">
        <f t="shared" si="427"/>
        <v>-727.77178948724622</v>
      </c>
      <c r="U1121" s="4">
        <f t="shared" si="428"/>
        <v>1553556.3243414036</v>
      </c>
      <c r="V1121" s="4">
        <f t="shared" si="444"/>
        <v>25.069717124303743</v>
      </c>
      <c r="W1121" s="4">
        <f t="shared" si="429"/>
        <v>1544800.2679537577</v>
      </c>
      <c r="X1121" s="4">
        <f t="shared" si="433"/>
        <v>-829.84504851489328</v>
      </c>
      <c r="Y1121" s="9">
        <f>SUM($X$6:X1121)</f>
        <v>544800.26795375766</v>
      </c>
      <c r="Z1121" s="16">
        <f t="shared" si="434"/>
        <v>0.54480026795375769</v>
      </c>
      <c r="AA1121" s="16">
        <f t="shared" si="430"/>
        <v>0.6565235775922823</v>
      </c>
      <c r="AB1121" s="16">
        <f t="shared" si="431"/>
        <v>-5.3689756788121866E-4</v>
      </c>
      <c r="AC1121" s="16">
        <f t="shared" si="432"/>
        <v>-1.7176941371889619E-3</v>
      </c>
    </row>
    <row r="1122" spans="1:29" x14ac:dyDescent="0.15">
      <c r="A1122" s="8">
        <v>42531</v>
      </c>
      <c r="B1122" s="4">
        <v>2096.0700000000002</v>
      </c>
      <c r="C1122" s="1">
        <v>14.952999999999999</v>
      </c>
      <c r="D1122" s="1">
        <v>2.2000000000000002</v>
      </c>
      <c r="E1122" s="1">
        <v>0.67020000000000002</v>
      </c>
      <c r="F1122" s="4">
        <f t="shared" si="422"/>
        <v>0.14953</v>
      </c>
      <c r="G1122" s="4">
        <f t="shared" si="423"/>
        <v>2.2000000000000002E-2</v>
      </c>
      <c r="H1122" s="4">
        <f t="shared" si="424"/>
        <v>6.7020000000000005E-3</v>
      </c>
      <c r="I1122" s="3">
        <f t="shared" si="425"/>
        <v>66.260343349177788</v>
      </c>
      <c r="J1122" s="4">
        <f t="shared" si="435"/>
        <v>1553556.3243414036</v>
      </c>
      <c r="K1122" s="1">
        <f t="shared" si="436"/>
        <v>2072.7800000000002</v>
      </c>
      <c r="L1122" s="5">
        <f t="shared" si="437"/>
        <v>5.7534246575342757E-2</v>
      </c>
      <c r="M1122" s="5">
        <f t="shared" si="438"/>
        <v>-0.3797322120005705</v>
      </c>
      <c r="N1122" s="5">
        <f t="shared" si="439"/>
        <v>20.299055105390241</v>
      </c>
      <c r="O1122" s="1">
        <f t="shared" si="440"/>
        <v>0</v>
      </c>
      <c r="P1122" s="1">
        <f t="shared" si="441"/>
        <v>2072.7800000000002</v>
      </c>
      <c r="Q1122" s="5">
        <f t="shared" si="442"/>
        <v>5.7534246575342757E-2</v>
      </c>
      <c r="R1122" s="5">
        <f t="shared" si="443"/>
        <v>-0.3797322120005705</v>
      </c>
      <c r="S1122" s="5">
        <f t="shared" si="426"/>
        <v>20.299055105390241</v>
      </c>
      <c r="T1122" s="5">
        <f t="shared" si="427"/>
        <v>-727.77178948724622</v>
      </c>
      <c r="U1122" s="4">
        <f t="shared" si="428"/>
        <v>1553581.3940585279</v>
      </c>
      <c r="V1122" s="4">
        <f t="shared" si="444"/>
        <v>25.070121673985554</v>
      </c>
      <c r="W1122" s="4">
        <f t="shared" si="429"/>
        <v>1538808.3143995779</v>
      </c>
      <c r="X1122" s="4">
        <f t="shared" si="433"/>
        <v>-5991.9535541797522</v>
      </c>
      <c r="Y1122" s="9">
        <f>SUM($X$6:X1122)</f>
        <v>538808.31439957791</v>
      </c>
      <c r="Z1122" s="16">
        <f t="shared" si="434"/>
        <v>0.53880831439957788</v>
      </c>
      <c r="AA1122" s="16">
        <f t="shared" si="430"/>
        <v>0.64132460495199928</v>
      </c>
      <c r="AB1122" s="16">
        <f t="shared" si="431"/>
        <v>-3.8787885259216671E-3</v>
      </c>
      <c r="AC1122" s="16">
        <f t="shared" si="432"/>
        <v>-9.1752226445061431E-3</v>
      </c>
    </row>
    <row r="1123" spans="1:29" x14ac:dyDescent="0.15">
      <c r="A1123" s="8">
        <v>42534</v>
      </c>
      <c r="B1123" s="4">
        <v>2079.06</v>
      </c>
      <c r="C1123" s="1">
        <v>16.960699999999999</v>
      </c>
      <c r="D1123" s="1">
        <v>2.2200000000000002</v>
      </c>
      <c r="E1123" s="1">
        <v>0.66700000000000004</v>
      </c>
      <c r="F1123" s="4">
        <f t="shared" si="422"/>
        <v>0.16960699999999998</v>
      </c>
      <c r="G1123" s="4">
        <f t="shared" si="423"/>
        <v>2.2200000000000001E-2</v>
      </c>
      <c r="H1123" s="4">
        <f t="shared" si="424"/>
        <v>6.6700000000000006E-3</v>
      </c>
      <c r="I1123" s="3">
        <f t="shared" si="425"/>
        <v>74.052135304935874</v>
      </c>
      <c r="J1123" s="4">
        <f t="shared" si="435"/>
        <v>1553581.3940585279</v>
      </c>
      <c r="K1123" s="1">
        <f t="shared" si="436"/>
        <v>2072.7800000000002</v>
      </c>
      <c r="L1123" s="5">
        <f t="shared" si="437"/>
        <v>4.9315068493150975E-2</v>
      </c>
      <c r="M1123" s="5">
        <f t="shared" si="438"/>
        <v>-0.46807632632134033</v>
      </c>
      <c r="N1123" s="5">
        <f t="shared" si="439"/>
        <v>28.881393911035918</v>
      </c>
      <c r="O1123" s="1">
        <f t="shared" si="440"/>
        <v>0</v>
      </c>
      <c r="P1123" s="1">
        <f t="shared" si="441"/>
        <v>2072.7800000000002</v>
      </c>
      <c r="Q1123" s="5">
        <f t="shared" si="442"/>
        <v>4.9315068493150975E-2</v>
      </c>
      <c r="R1123" s="5">
        <f t="shared" si="443"/>
        <v>-0.46807632632134033</v>
      </c>
      <c r="S1123" s="5">
        <f t="shared" si="426"/>
        <v>28.881393911035918</v>
      </c>
      <c r="T1123" s="5">
        <f t="shared" si="427"/>
        <v>-727.77178948724622</v>
      </c>
      <c r="U1123" s="4">
        <f t="shared" si="428"/>
        <v>1553606.464180202</v>
      </c>
      <c r="V1123" s="4">
        <f t="shared" si="444"/>
        <v>75.211578690586762</v>
      </c>
      <c r="W1123" s="4">
        <f t="shared" si="429"/>
        <v>1532587.4004506813</v>
      </c>
      <c r="X1123" s="4">
        <f t="shared" si="433"/>
        <v>-6220.9139488965739</v>
      </c>
      <c r="Y1123" s="9">
        <f>SUM($X$6:X1123)</f>
        <v>532587.40045068134</v>
      </c>
      <c r="Z1123" s="16">
        <f t="shared" si="434"/>
        <v>0.53258740045068131</v>
      </c>
      <c r="AA1123" s="16">
        <f t="shared" si="430"/>
        <v>0.6280049488669287</v>
      </c>
      <c r="AB1123" s="16">
        <f t="shared" si="431"/>
        <v>-4.0426828284482524E-3</v>
      </c>
      <c r="AC1123" s="16">
        <f t="shared" si="432"/>
        <v>-8.1151869928009161E-3</v>
      </c>
    </row>
    <row r="1124" spans="1:29" x14ac:dyDescent="0.15">
      <c r="A1124" s="8">
        <v>42535</v>
      </c>
      <c r="B1124" s="4">
        <v>2075.3200000000002</v>
      </c>
      <c r="C1124" s="1">
        <v>16.915800000000001</v>
      </c>
      <c r="D1124" s="1">
        <v>2.23</v>
      </c>
      <c r="E1124" s="1">
        <v>0.6694</v>
      </c>
      <c r="F1124" s="4">
        <f t="shared" si="422"/>
        <v>0.169158</v>
      </c>
      <c r="G1124" s="4">
        <f t="shared" si="423"/>
        <v>2.23E-2</v>
      </c>
      <c r="H1124" s="4">
        <f t="shared" si="424"/>
        <v>6.6940000000000003E-3</v>
      </c>
      <c r="I1124" s="3">
        <f t="shared" si="425"/>
        <v>73.753502728311233</v>
      </c>
      <c r="J1124" s="4">
        <f t="shared" si="435"/>
        <v>1553606.464180202</v>
      </c>
      <c r="K1124" s="1">
        <f t="shared" si="436"/>
        <v>2072.7800000000002</v>
      </c>
      <c r="L1124" s="5">
        <f t="shared" si="437"/>
        <v>4.6575342465753712E-2</v>
      </c>
      <c r="M1124" s="5">
        <f t="shared" si="438"/>
        <v>-0.48677434526293523</v>
      </c>
      <c r="N1124" s="5">
        <f t="shared" si="439"/>
        <v>29.67131319326727</v>
      </c>
      <c r="O1124" s="1">
        <f t="shared" si="440"/>
        <v>0</v>
      </c>
      <c r="P1124" s="1">
        <f t="shared" si="441"/>
        <v>2072.7800000000002</v>
      </c>
      <c r="Q1124" s="5">
        <f t="shared" si="442"/>
        <v>4.6575342465753712E-2</v>
      </c>
      <c r="R1124" s="5">
        <f t="shared" si="443"/>
        <v>-0.48677434526293523</v>
      </c>
      <c r="S1124" s="5">
        <f t="shared" si="426"/>
        <v>29.67131319326727</v>
      </c>
      <c r="T1124" s="5">
        <f t="shared" si="427"/>
        <v>-727.77178948724622</v>
      </c>
      <c r="U1124" s="4">
        <f t="shared" si="428"/>
        <v>1553681.6757588927</v>
      </c>
      <c r="V1124" s="4">
        <f t="shared" si="444"/>
        <v>25.071739918410621</v>
      </c>
      <c r="W1124" s="4">
        <f t="shared" si="429"/>
        <v>1532087.731059792</v>
      </c>
      <c r="X1124" s="4">
        <f t="shared" si="433"/>
        <v>-499.66939088935032</v>
      </c>
      <c r="Y1124" s="9">
        <f>SUM($X$6:X1124)</f>
        <v>532087.73105979199</v>
      </c>
      <c r="Z1124" s="16">
        <f t="shared" si="434"/>
        <v>0.53208773105979201</v>
      </c>
      <c r="AA1124" s="16">
        <f t="shared" si="430"/>
        <v>0.62507634723505567</v>
      </c>
      <c r="AB1124" s="16">
        <f t="shared" si="431"/>
        <v>-3.2602994827075747E-4</v>
      </c>
      <c r="AC1124" s="16">
        <f t="shared" si="432"/>
        <v>-1.7988898829277566E-3</v>
      </c>
    </row>
    <row r="1125" spans="1:29" x14ac:dyDescent="0.15">
      <c r="A1125" s="8">
        <v>42536</v>
      </c>
      <c r="B1125" s="4">
        <v>2071.5</v>
      </c>
      <c r="C1125" s="1">
        <v>16.761800000000001</v>
      </c>
      <c r="D1125" s="1">
        <v>2.23</v>
      </c>
      <c r="E1125" s="1">
        <v>0.67059999999999997</v>
      </c>
      <c r="F1125" s="4">
        <f t="shared" si="422"/>
        <v>0.16761800000000002</v>
      </c>
      <c r="G1125" s="4">
        <f t="shared" si="423"/>
        <v>2.23E-2</v>
      </c>
      <c r="H1125" s="4">
        <f t="shared" si="424"/>
        <v>6.7060000000000002E-3</v>
      </c>
      <c r="I1125" s="3">
        <f t="shared" si="425"/>
        <v>72.982501148809462</v>
      </c>
      <c r="J1125" s="4">
        <f t="shared" si="435"/>
        <v>1553681.6757588927</v>
      </c>
      <c r="K1125" s="1">
        <f t="shared" si="436"/>
        <v>2072.7800000000002</v>
      </c>
      <c r="L1125" s="5">
        <f t="shared" si="437"/>
        <v>4.3835616438356449E-2</v>
      </c>
      <c r="M1125" s="5">
        <f t="shared" si="438"/>
        <v>-0.50729590316668516</v>
      </c>
      <c r="N1125" s="5">
        <f t="shared" si="439"/>
        <v>30.358422548614801</v>
      </c>
      <c r="O1125" s="1">
        <f t="shared" si="440"/>
        <v>0</v>
      </c>
      <c r="P1125" s="1">
        <f t="shared" si="441"/>
        <v>2072.7800000000002</v>
      </c>
      <c r="Q1125" s="5">
        <f t="shared" si="442"/>
        <v>4.3835616438356449E-2</v>
      </c>
      <c r="R1125" s="5">
        <f t="shared" si="443"/>
        <v>-0.50729590316668516</v>
      </c>
      <c r="S1125" s="5">
        <f t="shared" si="426"/>
        <v>30.358422548614801</v>
      </c>
      <c r="T1125" s="5">
        <f t="shared" si="427"/>
        <v>-727.77178948724622</v>
      </c>
      <c r="U1125" s="4">
        <f t="shared" si="428"/>
        <v>1553706.747498811</v>
      </c>
      <c r="V1125" s="4">
        <f t="shared" si="444"/>
        <v>25.072144500734236</v>
      </c>
      <c r="W1125" s="4">
        <f t="shared" si="429"/>
        <v>1531612.7439945957</v>
      </c>
      <c r="X1125" s="4">
        <f t="shared" si="433"/>
        <v>-474.98706519627012</v>
      </c>
      <c r="Y1125" s="9">
        <f>SUM($X$6:X1125)</f>
        <v>531612.74399459572</v>
      </c>
      <c r="Z1125" s="16">
        <f t="shared" si="434"/>
        <v>0.53161274399459568</v>
      </c>
      <c r="AA1125" s="16">
        <f t="shared" si="430"/>
        <v>0.62208510171800857</v>
      </c>
      <c r="AB1125" s="16">
        <f t="shared" si="431"/>
        <v>-3.1002602237908858E-4</v>
      </c>
      <c r="AC1125" s="16">
        <f t="shared" si="432"/>
        <v>-1.8406799915194588E-3</v>
      </c>
    </row>
    <row r="1126" spans="1:29" x14ac:dyDescent="0.15">
      <c r="A1126" s="8">
        <v>42537</v>
      </c>
      <c r="B1126" s="4">
        <v>2077.9899999999998</v>
      </c>
      <c r="C1126" s="1">
        <v>16.148800000000001</v>
      </c>
      <c r="D1126" s="1">
        <v>2.2200000000000002</v>
      </c>
      <c r="E1126" s="1">
        <v>0.66100000000000003</v>
      </c>
      <c r="F1126" s="4">
        <f t="shared" si="422"/>
        <v>0.16148800000000002</v>
      </c>
      <c r="G1126" s="4">
        <f t="shared" si="423"/>
        <v>2.2200000000000001E-2</v>
      </c>
      <c r="H1126" s="4">
        <f t="shared" si="424"/>
        <v>6.6100000000000004E-3</v>
      </c>
      <c r="I1126" s="3">
        <f t="shared" si="425"/>
        <v>70.68853228859389</v>
      </c>
      <c r="J1126" s="4">
        <f t="shared" si="435"/>
        <v>1553706.747498811</v>
      </c>
      <c r="K1126" s="1">
        <f t="shared" si="436"/>
        <v>2072.7800000000002</v>
      </c>
      <c r="L1126" s="5">
        <f t="shared" si="437"/>
        <v>4.1095890410959186E-2</v>
      </c>
      <c r="M1126" s="5">
        <f t="shared" si="438"/>
        <v>-0.47028242986788366</v>
      </c>
      <c r="N1126" s="5">
        <f t="shared" si="439"/>
        <v>25.192807654879513</v>
      </c>
      <c r="O1126" s="1">
        <f t="shared" si="440"/>
        <v>0</v>
      </c>
      <c r="P1126" s="1">
        <f t="shared" si="441"/>
        <v>2072.7800000000002</v>
      </c>
      <c r="Q1126" s="5">
        <f t="shared" si="442"/>
        <v>4.1095890410959186E-2</v>
      </c>
      <c r="R1126" s="5">
        <f t="shared" si="443"/>
        <v>-0.47028242986788366</v>
      </c>
      <c r="S1126" s="5">
        <f t="shared" si="426"/>
        <v>25.192807654879513</v>
      </c>
      <c r="T1126" s="5">
        <f t="shared" si="427"/>
        <v>-727.77178948724622</v>
      </c>
      <c r="U1126" s="4">
        <f t="shared" si="428"/>
        <v>1553731.8196433117</v>
      </c>
      <c r="V1126" s="4">
        <f t="shared" si="444"/>
        <v>25.072549089586591</v>
      </c>
      <c r="W1126" s="4">
        <f t="shared" si="429"/>
        <v>1535397.204934112</v>
      </c>
      <c r="X1126" s="4">
        <f t="shared" si="433"/>
        <v>3784.4609395163134</v>
      </c>
      <c r="Y1126" s="9">
        <f>SUM($X$6:X1126)</f>
        <v>535397.20493411203</v>
      </c>
      <c r="Z1126" s="16">
        <f t="shared" si="434"/>
        <v>0.53539720493411203</v>
      </c>
      <c r="AA1126" s="16">
        <f t="shared" si="430"/>
        <v>0.6271670869027296</v>
      </c>
      <c r="AB1126" s="16">
        <f t="shared" si="431"/>
        <v>2.4708993538706588E-3</v>
      </c>
      <c r="AC1126" s="16">
        <f t="shared" si="432"/>
        <v>3.1329954139511377E-3</v>
      </c>
    </row>
    <row r="1127" spans="1:29" x14ac:dyDescent="0.15">
      <c r="A1127" s="8">
        <v>42538</v>
      </c>
      <c r="B1127" s="4">
        <v>2071.2199999999998</v>
      </c>
      <c r="C1127" s="1">
        <v>16.529699999999998</v>
      </c>
      <c r="D1127" s="1">
        <v>2.23</v>
      </c>
      <c r="E1127" s="1">
        <v>0.65869999999999995</v>
      </c>
      <c r="F1127" s="4">
        <f t="shared" si="422"/>
        <v>0.16529699999999997</v>
      </c>
      <c r="G1127" s="4">
        <f t="shared" si="423"/>
        <v>2.23E-2</v>
      </c>
      <c r="H1127" s="4">
        <f t="shared" si="424"/>
        <v>6.5869999999999991E-3</v>
      </c>
      <c r="I1127" s="3">
        <f t="shared" si="425"/>
        <v>72.053193647280494</v>
      </c>
      <c r="J1127" s="4">
        <f t="shared" si="435"/>
        <v>1553731.8196433117</v>
      </c>
      <c r="K1127" s="1">
        <f t="shared" si="436"/>
        <v>2072.7800000000002</v>
      </c>
      <c r="L1127" s="5">
        <f t="shared" si="437"/>
        <v>3.8356164383561923E-2</v>
      </c>
      <c r="M1127" s="5">
        <f t="shared" si="438"/>
        <v>-0.50981046476425729</v>
      </c>
      <c r="N1127" s="5">
        <f t="shared" si="439"/>
        <v>28.170836286366416</v>
      </c>
      <c r="O1127" s="1">
        <f t="shared" si="440"/>
        <v>0</v>
      </c>
      <c r="P1127" s="1">
        <f t="shared" si="441"/>
        <v>2072.7800000000002</v>
      </c>
      <c r="Q1127" s="5">
        <f t="shared" si="442"/>
        <v>3.8356164383561923E-2</v>
      </c>
      <c r="R1127" s="5">
        <f t="shared" si="443"/>
        <v>-0.50981046476425729</v>
      </c>
      <c r="S1127" s="5">
        <f t="shared" si="426"/>
        <v>28.170836286366416</v>
      </c>
      <c r="T1127" s="5">
        <f t="shared" si="427"/>
        <v>-727.77178948724622</v>
      </c>
      <c r="U1127" s="4">
        <f t="shared" si="428"/>
        <v>1553756.8921924012</v>
      </c>
      <c r="V1127" s="4">
        <f t="shared" si="444"/>
        <v>25.072953684967786</v>
      </c>
      <c r="W1127" s="4">
        <f t="shared" si="429"/>
        <v>1533254.95225692</v>
      </c>
      <c r="X1127" s="4">
        <f t="shared" si="433"/>
        <v>-2142.2526771919802</v>
      </c>
      <c r="Y1127" s="9">
        <f>SUM($X$6:X1127)</f>
        <v>533254.95225692005</v>
      </c>
      <c r="Z1127" s="16">
        <f t="shared" si="434"/>
        <v>0.5332549522569201</v>
      </c>
      <c r="AA1127" s="16">
        <f t="shared" si="430"/>
        <v>0.62186584811990031</v>
      </c>
      <c r="AB1127" s="16">
        <f t="shared" si="431"/>
        <v>-1.3952433092281875E-3</v>
      </c>
      <c r="AC1127" s="16">
        <f t="shared" si="432"/>
        <v>-3.2579560055630598E-3</v>
      </c>
    </row>
    <row r="1128" spans="1:29" x14ac:dyDescent="0.15">
      <c r="A1128" s="8">
        <v>42541</v>
      </c>
      <c r="B1128" s="4">
        <v>2083.25</v>
      </c>
      <c r="C1128" s="1">
        <v>15.451599999999999</v>
      </c>
      <c r="D1128" s="1">
        <v>2.2200000000000002</v>
      </c>
      <c r="E1128" s="1">
        <v>0.66090000000000004</v>
      </c>
      <c r="F1128" s="4">
        <f t="shared" si="422"/>
        <v>0.15451599999999999</v>
      </c>
      <c r="G1128" s="4">
        <f t="shared" si="423"/>
        <v>2.2200000000000001E-2</v>
      </c>
      <c r="H1128" s="4">
        <f t="shared" si="424"/>
        <v>6.6090000000000003E-3</v>
      </c>
      <c r="I1128" s="3">
        <f t="shared" si="425"/>
        <v>67.990622359064986</v>
      </c>
      <c r="J1128" s="4">
        <f t="shared" si="435"/>
        <v>1553756.8921924012</v>
      </c>
      <c r="K1128" s="1">
        <f t="shared" si="436"/>
        <v>2072.7800000000002</v>
      </c>
      <c r="L1128" s="5">
        <f t="shared" si="437"/>
        <v>3.0136986301370142E-2</v>
      </c>
      <c r="M1128" s="5">
        <f t="shared" si="438"/>
        <v>-0.42682699457077283</v>
      </c>
      <c r="N1128" s="5">
        <f t="shared" si="439"/>
        <v>17.803812013299464</v>
      </c>
      <c r="O1128" s="1">
        <f t="shared" si="440"/>
        <v>0</v>
      </c>
      <c r="P1128" s="1">
        <f t="shared" si="441"/>
        <v>2072.7800000000002</v>
      </c>
      <c r="Q1128" s="5">
        <f t="shared" si="442"/>
        <v>3.0136986301370142E-2</v>
      </c>
      <c r="R1128" s="5">
        <f t="shared" si="443"/>
        <v>-0.42682699457077283</v>
      </c>
      <c r="S1128" s="5">
        <f t="shared" si="426"/>
        <v>17.803812013299464</v>
      </c>
      <c r="T1128" s="5">
        <f t="shared" si="427"/>
        <v>-727.77178948724622</v>
      </c>
      <c r="U1128" s="4">
        <f t="shared" si="428"/>
        <v>1553781.9651460862</v>
      </c>
      <c r="V1128" s="4">
        <f t="shared" si="444"/>
        <v>75.220074860633801</v>
      </c>
      <c r="W1128" s="4">
        <f t="shared" si="429"/>
        <v>1540824.8530174727</v>
      </c>
      <c r="X1128" s="4">
        <f t="shared" si="433"/>
        <v>7569.9007605526131</v>
      </c>
      <c r="Y1128" s="9">
        <f>SUM($X$6:X1128)</f>
        <v>540824.85301747266</v>
      </c>
      <c r="Z1128" s="16">
        <f t="shared" si="434"/>
        <v>0.54082485301747263</v>
      </c>
      <c r="AA1128" s="16">
        <f t="shared" si="430"/>
        <v>0.63128592235290437</v>
      </c>
      <c r="AB1128" s="16">
        <f t="shared" si="431"/>
        <v>4.937144177757178E-3</v>
      </c>
      <c r="AC1128" s="16">
        <f t="shared" si="432"/>
        <v>5.808171029634805E-3</v>
      </c>
    </row>
    <row r="1129" spans="1:29" x14ac:dyDescent="0.15">
      <c r="A1129" s="8">
        <v>42542</v>
      </c>
      <c r="B1129" s="4">
        <v>2088.9</v>
      </c>
      <c r="C1129" s="1">
        <v>15.456300000000001</v>
      </c>
      <c r="D1129" s="1">
        <v>2.21</v>
      </c>
      <c r="E1129" s="1">
        <v>0.65610000000000002</v>
      </c>
      <c r="F1129" s="4">
        <f t="shared" si="422"/>
        <v>0.15456300000000001</v>
      </c>
      <c r="G1129" s="4">
        <f t="shared" si="423"/>
        <v>2.2099999999999998E-2</v>
      </c>
      <c r="H1129" s="4">
        <f t="shared" si="424"/>
        <v>6.561E-3</v>
      </c>
      <c r="I1129" s="3">
        <f t="shared" si="425"/>
        <v>68.181692181957999</v>
      </c>
      <c r="J1129" s="4">
        <f t="shared" si="435"/>
        <v>1553781.9651460862</v>
      </c>
      <c r="K1129" s="1">
        <f t="shared" si="436"/>
        <v>2072.7800000000002</v>
      </c>
      <c r="L1129" s="5">
        <f t="shared" si="437"/>
        <v>2.7397260273972882E-2</v>
      </c>
      <c r="M1129" s="5">
        <f t="shared" si="438"/>
        <v>-0.38225358016566618</v>
      </c>
      <c r="N1129" s="5">
        <f t="shared" si="439"/>
        <v>14.478013700104921</v>
      </c>
      <c r="O1129" s="1">
        <f t="shared" si="440"/>
        <v>0</v>
      </c>
      <c r="P1129" s="1">
        <f t="shared" si="441"/>
        <v>2072.7800000000002</v>
      </c>
      <c r="Q1129" s="5">
        <f t="shared" si="442"/>
        <v>2.7397260273972882E-2</v>
      </c>
      <c r="R1129" s="5">
        <f t="shared" si="443"/>
        <v>-0.38225358016566618</v>
      </c>
      <c r="S1129" s="5">
        <f t="shared" si="426"/>
        <v>14.478013700104921</v>
      </c>
      <c r="T1129" s="5">
        <f t="shared" si="427"/>
        <v>-727.77178948724622</v>
      </c>
      <c r="U1129" s="4">
        <f t="shared" si="428"/>
        <v>1553857.1852209468</v>
      </c>
      <c r="V1129" s="4">
        <f t="shared" si="444"/>
        <v>25.074572112195547</v>
      </c>
      <c r="W1129" s="4">
        <f t="shared" si="429"/>
        <v>1543320.4952822006</v>
      </c>
      <c r="X1129" s="4">
        <f t="shared" si="433"/>
        <v>2495.6422647279687</v>
      </c>
      <c r="Y1129" s="9">
        <f>SUM($X$6:X1129)</f>
        <v>543320.49528220063</v>
      </c>
      <c r="Z1129" s="16">
        <f t="shared" si="434"/>
        <v>0.54332049528220061</v>
      </c>
      <c r="AA1129" s="16">
        <f t="shared" si="430"/>
        <v>0.63571014674330117</v>
      </c>
      <c r="AB1129" s="16">
        <f t="shared" si="431"/>
        <v>1.6196793943455874E-3</v>
      </c>
      <c r="AC1129" s="16">
        <f t="shared" si="432"/>
        <v>2.7121084843394171E-3</v>
      </c>
    </row>
    <row r="1130" spans="1:29" x14ac:dyDescent="0.15">
      <c r="A1130" s="8">
        <v>42543</v>
      </c>
      <c r="B1130" s="4">
        <v>2085.4499999999998</v>
      </c>
      <c r="C1130" s="1">
        <v>16.394100000000002</v>
      </c>
      <c r="D1130" s="1">
        <v>2.2200000000000002</v>
      </c>
      <c r="E1130" s="1">
        <v>0.65400000000000003</v>
      </c>
      <c r="F1130" s="4">
        <f t="shared" si="422"/>
        <v>0.163941</v>
      </c>
      <c r="G1130" s="4">
        <f t="shared" si="423"/>
        <v>2.2200000000000001E-2</v>
      </c>
      <c r="H1130" s="4">
        <f t="shared" si="424"/>
        <v>6.5400000000000007E-3</v>
      </c>
      <c r="I1130" s="3">
        <f t="shared" si="425"/>
        <v>71.975120613212582</v>
      </c>
      <c r="J1130" s="4">
        <f t="shared" si="435"/>
        <v>1553857.1852209468</v>
      </c>
      <c r="K1130" s="1">
        <f t="shared" si="436"/>
        <v>2072.7800000000002</v>
      </c>
      <c r="L1130" s="5">
        <f t="shared" si="437"/>
        <v>2.4657534246575623E-2</v>
      </c>
      <c r="M1130" s="5">
        <f t="shared" si="438"/>
        <v>-0.40703938613562574</v>
      </c>
      <c r="N1130" s="5">
        <f t="shared" si="439"/>
        <v>15.935439915918861</v>
      </c>
      <c r="O1130" s="1">
        <f t="shared" si="440"/>
        <v>0</v>
      </c>
      <c r="P1130" s="1">
        <f t="shared" si="441"/>
        <v>2072.7800000000002</v>
      </c>
      <c r="Q1130" s="5">
        <f t="shared" si="442"/>
        <v>2.4657534246575623E-2</v>
      </c>
      <c r="R1130" s="5">
        <f t="shared" si="443"/>
        <v>-0.40703938613562574</v>
      </c>
      <c r="S1130" s="5">
        <f t="shared" si="426"/>
        <v>15.935439915918861</v>
      </c>
      <c r="T1130" s="5">
        <f t="shared" si="427"/>
        <v>-727.77178948724622</v>
      </c>
      <c r="U1130" s="4">
        <f t="shared" si="428"/>
        <v>1553882.259793059</v>
      </c>
      <c r="V1130" s="4">
        <f t="shared" si="444"/>
        <v>25.074976740222237</v>
      </c>
      <c r="W1130" s="4">
        <f t="shared" si="429"/>
        <v>1542284.8961691842</v>
      </c>
      <c r="X1130" s="4">
        <f t="shared" si="433"/>
        <v>-1035.5991130163893</v>
      </c>
      <c r="Y1130" s="9">
        <f>SUM($X$6:X1130)</f>
        <v>542284.89616918424</v>
      </c>
      <c r="Z1130" s="16">
        <f t="shared" si="434"/>
        <v>0.54228489616918429</v>
      </c>
      <c r="AA1130" s="16">
        <f t="shared" si="430"/>
        <v>0.63300862919518264</v>
      </c>
      <c r="AB1130" s="16">
        <f t="shared" si="431"/>
        <v>-6.7102012587931515E-4</v>
      </c>
      <c r="AC1130" s="16">
        <f t="shared" si="432"/>
        <v>-1.6515869596439622E-3</v>
      </c>
    </row>
    <row r="1131" spans="1:29" x14ac:dyDescent="0.15">
      <c r="A1131" s="8">
        <v>42544</v>
      </c>
      <c r="B1131" s="4">
        <v>2113.3200000000002</v>
      </c>
      <c r="C1131" s="1">
        <v>14.191700000000001</v>
      </c>
      <c r="D1131" s="1">
        <v>2.19</v>
      </c>
      <c r="E1131" s="1">
        <v>0.65429999999999999</v>
      </c>
      <c r="F1131" s="4">
        <f t="shared" si="422"/>
        <v>0.14191700000000002</v>
      </c>
      <c r="G1131" s="4">
        <f t="shared" si="423"/>
        <v>2.1899999999999999E-2</v>
      </c>
      <c r="H1131" s="4">
        <f t="shared" si="424"/>
        <v>6.5430000000000002E-3</v>
      </c>
      <c r="I1131" s="3">
        <f t="shared" si="425"/>
        <v>63.636964180954251</v>
      </c>
      <c r="J1131" s="4">
        <f t="shared" si="435"/>
        <v>1553882.259793059</v>
      </c>
      <c r="K1131" s="1">
        <f t="shared" si="436"/>
        <v>2072.7800000000002</v>
      </c>
      <c r="L1131" s="5">
        <f t="shared" si="437"/>
        <v>2.1917808219178363E-2</v>
      </c>
      <c r="M1131" s="5">
        <f t="shared" si="438"/>
        <v>-0.17964577042168231</v>
      </c>
      <c r="N1131" s="5">
        <f t="shared" si="439"/>
        <v>4.3674081021071292</v>
      </c>
      <c r="O1131" s="1">
        <f t="shared" si="440"/>
        <v>0</v>
      </c>
      <c r="P1131" s="1">
        <f t="shared" si="441"/>
        <v>2072.7800000000002</v>
      </c>
      <c r="Q1131" s="5">
        <f t="shared" si="442"/>
        <v>2.1917808219178363E-2</v>
      </c>
      <c r="R1131" s="5">
        <f t="shared" si="443"/>
        <v>-0.17964577042168231</v>
      </c>
      <c r="S1131" s="5">
        <f t="shared" si="426"/>
        <v>4.3674081021071292</v>
      </c>
      <c r="T1131" s="5">
        <f t="shared" si="427"/>
        <v>-727.77178948724622</v>
      </c>
      <c r="U1131" s="4">
        <f t="shared" si="428"/>
        <v>1553907.3347697991</v>
      </c>
      <c r="V1131" s="4">
        <f t="shared" si="444"/>
        <v>25.075381374778399</v>
      </c>
      <c r="W1131" s="4">
        <f t="shared" si="429"/>
        <v>1550728.8583599075</v>
      </c>
      <c r="X1131" s="4">
        <f t="shared" si="433"/>
        <v>8443.9621907232795</v>
      </c>
      <c r="Y1131" s="9">
        <f>SUM($X$6:X1131)</f>
        <v>550728.85835990752</v>
      </c>
      <c r="Z1131" s="16">
        <f t="shared" si="434"/>
        <v>0.55072885835990748</v>
      </c>
      <c r="AA1131" s="16">
        <f t="shared" si="430"/>
        <v>0.65483219269259096</v>
      </c>
      <c r="AB1131" s="16">
        <f t="shared" si="431"/>
        <v>5.4749691264544429E-3</v>
      </c>
      <c r="AC1131" s="16">
        <f t="shared" si="432"/>
        <v>1.3364022153492219E-2</v>
      </c>
    </row>
    <row r="1132" spans="1:29" x14ac:dyDescent="0.15">
      <c r="A1132" s="8">
        <v>42545</v>
      </c>
      <c r="B1132" s="4">
        <v>2037.41</v>
      </c>
      <c r="C1132" s="1">
        <v>18.6205</v>
      </c>
      <c r="D1132" s="1">
        <v>2.27</v>
      </c>
      <c r="E1132" s="1">
        <v>0.63749999999999996</v>
      </c>
      <c r="F1132" s="4">
        <f t="shared" si="422"/>
        <v>0.18620500000000001</v>
      </c>
      <c r="G1132" s="4">
        <f t="shared" si="423"/>
        <v>2.2700000000000001E-2</v>
      </c>
      <c r="H1132" s="4">
        <f t="shared" si="424"/>
        <v>6.3749999999999996E-3</v>
      </c>
      <c r="I1132" s="3">
        <f t="shared" si="425"/>
        <v>79.473713715838997</v>
      </c>
      <c r="J1132" s="4">
        <f t="shared" si="435"/>
        <v>1553907.3347697991</v>
      </c>
      <c r="K1132" s="1">
        <f t="shared" si="436"/>
        <v>2072.7800000000002</v>
      </c>
      <c r="L1132" s="5">
        <f t="shared" si="437"/>
        <v>1.9178082191781104E-2</v>
      </c>
      <c r="M1132" s="5">
        <f t="shared" si="438"/>
        <v>-0.74719270706364438</v>
      </c>
      <c r="N1132" s="5">
        <f t="shared" si="439"/>
        <v>43.837400821800195</v>
      </c>
      <c r="O1132" s="1">
        <f t="shared" si="440"/>
        <v>0</v>
      </c>
      <c r="P1132" s="1">
        <f t="shared" si="441"/>
        <v>2072.7800000000002</v>
      </c>
      <c r="Q1132" s="5">
        <f t="shared" si="442"/>
        <v>1.9178082191781104E-2</v>
      </c>
      <c r="R1132" s="5">
        <f t="shared" si="443"/>
        <v>-0.74719270706364438</v>
      </c>
      <c r="S1132" s="5">
        <f t="shared" si="426"/>
        <v>43.837400821800195</v>
      </c>
      <c r="T1132" s="5">
        <f t="shared" si="427"/>
        <v>-727.77178948724622</v>
      </c>
      <c r="U1132" s="4">
        <f t="shared" si="428"/>
        <v>1553932.4101511738</v>
      </c>
      <c r="V1132" s="4">
        <f t="shared" si="444"/>
        <v>25.075786015864143</v>
      </c>
      <c r="W1132" s="4">
        <f t="shared" si="429"/>
        <v>1522028.7865086226</v>
      </c>
      <c r="X1132" s="4">
        <f t="shared" si="433"/>
        <v>-28700.071851284942</v>
      </c>
      <c r="Y1132" s="9">
        <f>SUM($X$6:X1132)</f>
        <v>522028.78650862258</v>
      </c>
      <c r="Z1132" s="16">
        <f t="shared" si="434"/>
        <v>0.52202878650862261</v>
      </c>
      <c r="AA1132" s="16">
        <f t="shared" si="430"/>
        <v>0.5953909761483408</v>
      </c>
      <c r="AB1132" s="16">
        <f t="shared" si="431"/>
        <v>-1.8507472596878675E-2</v>
      </c>
      <c r="AC1132" s="16">
        <f t="shared" si="432"/>
        <v>-3.5919784982870594E-2</v>
      </c>
    </row>
    <row r="1133" spans="1:29" x14ac:dyDescent="0.15">
      <c r="A1133" s="8">
        <v>42548</v>
      </c>
      <c r="B1133" s="4">
        <v>2000.54</v>
      </c>
      <c r="C1133" s="1">
        <v>18.968</v>
      </c>
      <c r="D1133" s="1">
        <v>2.31</v>
      </c>
      <c r="E1133" s="1">
        <v>0.64100000000000001</v>
      </c>
      <c r="F1133" s="4">
        <f t="shared" si="422"/>
        <v>0.18967999999999999</v>
      </c>
      <c r="G1133" s="4">
        <f t="shared" si="423"/>
        <v>2.3099999999999999E-2</v>
      </c>
      <c r="H1133" s="4">
        <f t="shared" si="424"/>
        <v>6.4099999999999999E-3</v>
      </c>
      <c r="I1133" s="3">
        <f t="shared" si="425"/>
        <v>79.50202256057436</v>
      </c>
      <c r="J1133" s="4">
        <f t="shared" si="435"/>
        <v>1553932.4101511738</v>
      </c>
      <c r="K1133" s="1">
        <f t="shared" si="436"/>
        <v>2072.7800000000002</v>
      </c>
      <c r="L1133" s="5">
        <f t="shared" si="437"/>
        <v>1.0958904109589324E-2</v>
      </c>
      <c r="M1133" s="5">
        <f t="shared" si="438"/>
        <v>-0.96268793205850212</v>
      </c>
      <c r="N1133" s="5">
        <f t="shared" si="439"/>
        <v>73.184168225210556</v>
      </c>
      <c r="O1133" s="1">
        <f t="shared" si="440"/>
        <v>0</v>
      </c>
      <c r="P1133" s="1">
        <f t="shared" si="441"/>
        <v>2072.7800000000002</v>
      </c>
      <c r="Q1133" s="5">
        <f t="shared" si="442"/>
        <v>1.0958904109589324E-2</v>
      </c>
      <c r="R1133" s="5">
        <f t="shared" si="443"/>
        <v>-0.96268793205850212</v>
      </c>
      <c r="S1133" s="5">
        <f t="shared" si="426"/>
        <v>73.184168225210556</v>
      </c>
      <c r="T1133" s="5">
        <f t="shared" si="427"/>
        <v>-727.77178948724622</v>
      </c>
      <c r="U1133" s="4">
        <f t="shared" si="428"/>
        <v>1553957.4859371898</v>
      </c>
      <c r="V1133" s="4">
        <f t="shared" si="444"/>
        <v>75.228571990438738</v>
      </c>
      <c r="W1133" s="4">
        <f t="shared" si="429"/>
        <v>1500696.1128657926</v>
      </c>
      <c r="X1133" s="4">
        <f t="shared" si="433"/>
        <v>-21332.673642829992</v>
      </c>
      <c r="Y1133" s="9">
        <f>SUM($X$6:X1133)</f>
        <v>500696.11286579259</v>
      </c>
      <c r="Z1133" s="16">
        <f t="shared" si="434"/>
        <v>0.50069611286579263</v>
      </c>
      <c r="AA1133" s="16">
        <f t="shared" si="430"/>
        <v>0.56651997556888478</v>
      </c>
      <c r="AB1133" s="16">
        <f t="shared" si="431"/>
        <v>-1.4015946236972922E-2</v>
      </c>
      <c r="AC1133" s="16">
        <f t="shared" si="432"/>
        <v>-1.8096504876289072E-2</v>
      </c>
    </row>
    <row r="1134" spans="1:29" x14ac:dyDescent="0.15">
      <c r="A1134" s="8">
        <v>42549</v>
      </c>
      <c r="B1134" s="4">
        <v>2036.09</v>
      </c>
      <c r="C1134" s="1">
        <v>16.316500000000001</v>
      </c>
      <c r="D1134" s="1">
        <v>2.27</v>
      </c>
      <c r="E1134" s="1">
        <v>0.64510000000000001</v>
      </c>
      <c r="F1134" s="4">
        <f t="shared" si="422"/>
        <v>0.163165</v>
      </c>
      <c r="G1134" s="4">
        <f t="shared" si="423"/>
        <v>2.2700000000000001E-2</v>
      </c>
      <c r="H1134" s="4">
        <f t="shared" si="424"/>
        <v>6.4510000000000001E-3</v>
      </c>
      <c r="I1134" s="3">
        <f t="shared" si="425"/>
        <v>70.109745936792237</v>
      </c>
      <c r="J1134" s="4">
        <f t="shared" si="435"/>
        <v>1553957.4859371898</v>
      </c>
      <c r="K1134" s="1">
        <f t="shared" si="436"/>
        <v>2072.7800000000002</v>
      </c>
      <c r="L1134" s="5">
        <f t="shared" si="437"/>
        <v>8.2191780821920628E-3</v>
      </c>
      <c r="M1134" s="5">
        <f t="shared" si="438"/>
        <v>-0.88649572304542024</v>
      </c>
      <c r="N1134" s="5">
        <f t="shared" si="439"/>
        <v>38.608202360772161</v>
      </c>
      <c r="O1134" s="1">
        <f t="shared" si="440"/>
        <v>0</v>
      </c>
      <c r="P1134" s="1">
        <f t="shared" si="441"/>
        <v>2072.7800000000002</v>
      </c>
      <c r="Q1134" s="5">
        <f t="shared" si="442"/>
        <v>8.2191780821920628E-3</v>
      </c>
      <c r="R1134" s="5">
        <f t="shared" si="443"/>
        <v>-0.88649572304542024</v>
      </c>
      <c r="S1134" s="5">
        <f t="shared" si="426"/>
        <v>38.608202360772161</v>
      </c>
      <c r="T1134" s="5">
        <f t="shared" si="427"/>
        <v>-727.77178948724622</v>
      </c>
      <c r="U1134" s="4">
        <f t="shared" si="428"/>
        <v>1554032.7145091803</v>
      </c>
      <c r="V1134" s="4">
        <f t="shared" si="444"/>
        <v>25.077404625915264</v>
      </c>
      <c r="W1134" s="4">
        <f t="shared" si="429"/>
        <v>1525934.7539881954</v>
      </c>
      <c r="X1134" s="4">
        <f t="shared" si="433"/>
        <v>25238.641122402856</v>
      </c>
      <c r="Y1134" s="9">
        <f>SUM($X$6:X1134)</f>
        <v>525934.75398819544</v>
      </c>
      <c r="Z1134" s="16">
        <f t="shared" si="434"/>
        <v>0.52593475398819545</v>
      </c>
      <c r="AA1134" s="16">
        <f t="shared" si="430"/>
        <v>0.59435735204297369</v>
      </c>
      <c r="AB1134" s="16">
        <f t="shared" si="431"/>
        <v>1.6817955951259234E-2</v>
      </c>
      <c r="AC1134" s="16">
        <f t="shared" si="432"/>
        <v>1.7770202045447707E-2</v>
      </c>
    </row>
    <row r="1135" spans="1:29" x14ac:dyDescent="0.15">
      <c r="A1135" s="8">
        <v>42550</v>
      </c>
      <c r="B1135" s="4">
        <v>2070.77</v>
      </c>
      <c r="C1135" s="1">
        <v>15.1236</v>
      </c>
      <c r="D1135" s="1">
        <v>2.23</v>
      </c>
      <c r="E1135" s="1">
        <v>0.66010000000000002</v>
      </c>
      <c r="F1135" s="4">
        <f t="shared" si="422"/>
        <v>0.15123600000000001</v>
      </c>
      <c r="G1135" s="4">
        <f t="shared" si="423"/>
        <v>2.23E-2</v>
      </c>
      <c r="H1135" s="4">
        <f t="shared" si="424"/>
        <v>6.6010000000000001E-3</v>
      </c>
      <c r="I1135" s="3">
        <f t="shared" si="425"/>
        <v>66.266080769783585</v>
      </c>
      <c r="J1135" s="4">
        <f t="shared" si="435"/>
        <v>1554032.7145091803</v>
      </c>
      <c r="K1135" s="1">
        <f t="shared" si="436"/>
        <v>2072.7800000000002</v>
      </c>
      <c r="L1135" s="5">
        <f t="shared" si="437"/>
        <v>5.4794520547948025E-3</v>
      </c>
      <c r="M1135" s="5">
        <f t="shared" si="438"/>
        <v>-0.53529376487015878</v>
      </c>
      <c r="N1135" s="5">
        <f t="shared" si="439"/>
        <v>10.387256813033215</v>
      </c>
      <c r="O1135" s="1">
        <f t="shared" si="440"/>
        <v>0</v>
      </c>
      <c r="P1135" s="1">
        <f t="shared" si="441"/>
        <v>2072.7800000000002</v>
      </c>
      <c r="Q1135" s="5">
        <f t="shared" si="442"/>
        <v>5.4794520547948025E-3</v>
      </c>
      <c r="R1135" s="5">
        <f t="shared" si="443"/>
        <v>-0.53529376487015878</v>
      </c>
      <c r="S1135" s="5">
        <f t="shared" si="426"/>
        <v>10.387256813033215</v>
      </c>
      <c r="T1135" s="5">
        <f t="shared" si="427"/>
        <v>-727.77178948724622</v>
      </c>
      <c r="U1135" s="4">
        <f t="shared" si="428"/>
        <v>1554057.7919138062</v>
      </c>
      <c r="V1135" s="4">
        <f t="shared" si="444"/>
        <v>25.077809299650188</v>
      </c>
      <c r="W1135" s="4">
        <f t="shared" si="429"/>
        <v>1546498.2394351214</v>
      </c>
      <c r="X1135" s="4">
        <f t="shared" si="433"/>
        <v>20563.485446925974</v>
      </c>
      <c r="Y1135" s="9">
        <f>SUM($X$6:X1135)</f>
        <v>546498.23943512142</v>
      </c>
      <c r="Z1135" s="16">
        <f t="shared" si="434"/>
        <v>0.54649823943512144</v>
      </c>
      <c r="AA1135" s="16">
        <f t="shared" si="430"/>
        <v>0.62151347626579811</v>
      </c>
      <c r="AB1135" s="16">
        <f t="shared" si="431"/>
        <v>1.3475992596132358E-2</v>
      </c>
      <c r="AC1135" s="16">
        <f t="shared" si="432"/>
        <v>1.7032645904650614E-2</v>
      </c>
    </row>
    <row r="1136" spans="1:29" x14ac:dyDescent="0.15">
      <c r="A1136" s="8">
        <v>42551</v>
      </c>
      <c r="B1136" s="4">
        <v>2098.86</v>
      </c>
      <c r="C1136" s="1">
        <v>14.244899999999999</v>
      </c>
      <c r="D1136" s="1">
        <v>2.2000000000000002</v>
      </c>
      <c r="E1136" s="1">
        <v>0.66859999999999997</v>
      </c>
      <c r="F1136" s="4">
        <f t="shared" si="422"/>
        <v>0.14244899999999999</v>
      </c>
      <c r="G1136" s="4">
        <f t="shared" si="423"/>
        <v>2.2000000000000002E-2</v>
      </c>
      <c r="H1136" s="4">
        <f t="shared" si="424"/>
        <v>6.6860000000000001E-3</v>
      </c>
      <c r="I1136" s="3">
        <f t="shared" si="425"/>
        <v>63.409101863372882</v>
      </c>
      <c r="J1136" s="4">
        <f t="shared" si="435"/>
        <v>1554057.7919138062</v>
      </c>
      <c r="K1136" s="1">
        <f t="shared" si="436"/>
        <v>2072.7800000000002</v>
      </c>
      <c r="L1136" s="5">
        <f t="shared" si="437"/>
        <v>2.7397260273975422E-3</v>
      </c>
      <c r="M1136" s="5">
        <f t="shared" si="438"/>
        <v>-4.6958022160250044E-2</v>
      </c>
      <c r="N1136" s="5">
        <f t="shared" si="439"/>
        <v>0.30487206735183886</v>
      </c>
      <c r="O1136" s="1">
        <f t="shared" si="440"/>
        <v>1</v>
      </c>
      <c r="P1136" s="1">
        <f t="shared" si="441"/>
        <v>2098.86</v>
      </c>
      <c r="Q1136" s="5">
        <f t="shared" si="442"/>
        <v>0.24931506849315069</v>
      </c>
      <c r="R1136" s="5">
        <f t="shared" si="443"/>
        <v>-0.50445213797943078</v>
      </c>
      <c r="S1136" s="5">
        <f t="shared" si="426"/>
        <v>63.409101863372882</v>
      </c>
      <c r="T1136" s="5">
        <f t="shared" si="427"/>
        <v>-740.32375414452838</v>
      </c>
      <c r="U1136" s="4">
        <f t="shared" si="428"/>
        <v>1600804.2567715095</v>
      </c>
      <c r="V1136" s="4">
        <f t="shared" si="444"/>
        <v>25.832156362696413</v>
      </c>
      <c r="W1136" s="4">
        <f t="shared" si="429"/>
        <v>1553860.9924330844</v>
      </c>
      <c r="X1136" s="4">
        <f t="shared" si="433"/>
        <v>7362.7529979629908</v>
      </c>
      <c r="Y1136" s="9">
        <f>SUM($X$6:X1136)</f>
        <v>553860.99243308441</v>
      </c>
      <c r="Z1136" s="16">
        <f t="shared" si="434"/>
        <v>0.5538609924330844</v>
      </c>
      <c r="AA1136" s="16">
        <f t="shared" si="430"/>
        <v>0.64350931044743409</v>
      </c>
      <c r="AB1136" s="16">
        <f t="shared" si="431"/>
        <v>4.7609190946459349E-3</v>
      </c>
      <c r="AC1136" s="16">
        <f t="shared" si="432"/>
        <v>1.3565002390415229E-2</v>
      </c>
    </row>
    <row r="1137" spans="1:29" x14ac:dyDescent="0.15">
      <c r="A1137" s="8">
        <v>42552</v>
      </c>
      <c r="B1137" s="4">
        <v>2102.9499999999998</v>
      </c>
      <c r="C1137" s="1">
        <v>14.0106</v>
      </c>
      <c r="D1137" s="1">
        <v>2.21</v>
      </c>
      <c r="E1137" s="1">
        <v>0.66790000000000005</v>
      </c>
      <c r="F1137" s="4">
        <f t="shared" si="422"/>
        <v>0.14010600000000001</v>
      </c>
      <c r="G1137" s="4">
        <f t="shared" si="423"/>
        <v>2.2099999999999998E-2</v>
      </c>
      <c r="H1137" s="4">
        <f t="shared" si="424"/>
        <v>6.6790000000000009E-3</v>
      </c>
      <c r="I1137" s="3">
        <f t="shared" si="425"/>
        <v>62.585164404503026</v>
      </c>
      <c r="J1137" s="4">
        <f t="shared" si="435"/>
        <v>1600804.2567715095</v>
      </c>
      <c r="K1137" s="1">
        <f t="shared" si="436"/>
        <v>2098.86</v>
      </c>
      <c r="L1137" s="5">
        <f t="shared" si="437"/>
        <v>0.24657534246575344</v>
      </c>
      <c r="M1137" s="5">
        <f t="shared" si="438"/>
        <v>-0.49406371636174889</v>
      </c>
      <c r="N1137" s="5">
        <f t="shared" si="439"/>
        <v>60.055457382840395</v>
      </c>
      <c r="O1137" s="1">
        <f t="shared" si="440"/>
        <v>0</v>
      </c>
      <c r="P1137" s="1">
        <f t="shared" si="441"/>
        <v>2098.86</v>
      </c>
      <c r="Q1137" s="5">
        <f t="shared" si="442"/>
        <v>0.24657534246575344</v>
      </c>
      <c r="R1137" s="5">
        <f t="shared" si="443"/>
        <v>-0.49406371636174889</v>
      </c>
      <c r="S1137" s="5">
        <f t="shared" si="426"/>
        <v>60.055457382840395</v>
      </c>
      <c r="T1137" s="5">
        <f t="shared" si="427"/>
        <v>-740.32375414452838</v>
      </c>
      <c r="U1137" s="4">
        <f t="shared" si="428"/>
        <v>1600830.0889278722</v>
      </c>
      <c r="V1137" s="4">
        <f t="shared" si="444"/>
        <v>25.832573215849774</v>
      </c>
      <c r="W1137" s="4">
        <f t="shared" si="429"/>
        <v>1556369.6072613411</v>
      </c>
      <c r="X1137" s="4">
        <f t="shared" si="433"/>
        <v>2508.6148282566573</v>
      </c>
      <c r="Y1137" s="9">
        <f>SUM($X$6:X1137)</f>
        <v>556369.60726134107</v>
      </c>
      <c r="Z1137" s="16">
        <f t="shared" si="434"/>
        <v>0.5563696072613411</v>
      </c>
      <c r="AA1137" s="16">
        <f t="shared" si="430"/>
        <v>0.64671197907694233</v>
      </c>
      <c r="AB1137" s="16">
        <f t="shared" si="431"/>
        <v>1.6144396702620029E-3</v>
      </c>
      <c r="AC1137" s="16">
        <f t="shared" si="432"/>
        <v>1.9486769007936169E-3</v>
      </c>
    </row>
    <row r="1138" spans="1:29" x14ac:dyDescent="0.15">
      <c r="A1138" s="8">
        <v>42556</v>
      </c>
      <c r="B1138" s="4">
        <v>2088.5500000000002</v>
      </c>
      <c r="C1138" s="1">
        <v>14.650600000000001</v>
      </c>
      <c r="D1138" s="1">
        <v>2.2200000000000002</v>
      </c>
      <c r="E1138" s="1">
        <v>0.67169999999999996</v>
      </c>
      <c r="F1138" s="4">
        <f t="shared" si="422"/>
        <v>0.146506</v>
      </c>
      <c r="G1138" s="4">
        <f t="shared" si="423"/>
        <v>2.2200000000000001E-2</v>
      </c>
      <c r="H1138" s="4">
        <f t="shared" si="424"/>
        <v>6.7169999999999999E-3</v>
      </c>
      <c r="I1138" s="3">
        <f t="shared" si="425"/>
        <v>64.819816744501495</v>
      </c>
      <c r="J1138" s="4">
        <f t="shared" si="435"/>
        <v>1600830.0889278722</v>
      </c>
      <c r="K1138" s="1">
        <f t="shared" si="436"/>
        <v>2098.86</v>
      </c>
      <c r="L1138" s="5">
        <f t="shared" si="437"/>
        <v>0.23561643835616439</v>
      </c>
      <c r="M1138" s="5">
        <f t="shared" si="438"/>
        <v>-0.53107839108220911</v>
      </c>
      <c r="N1138" s="5">
        <f t="shared" si="439"/>
        <v>68.558271822145912</v>
      </c>
      <c r="O1138" s="1">
        <f t="shared" si="440"/>
        <v>0</v>
      </c>
      <c r="P1138" s="1">
        <f t="shared" si="441"/>
        <v>2098.86</v>
      </c>
      <c r="Q1138" s="5">
        <f t="shared" si="442"/>
        <v>0.23561643835616439</v>
      </c>
      <c r="R1138" s="5">
        <f t="shared" si="443"/>
        <v>-0.53107839108220911</v>
      </c>
      <c r="S1138" s="5">
        <f t="shared" si="426"/>
        <v>68.558271822145912</v>
      </c>
      <c r="T1138" s="5">
        <f t="shared" si="427"/>
        <v>-740.32375414452838</v>
      </c>
      <c r="U1138" s="4">
        <f t="shared" si="428"/>
        <v>1600855.9215010882</v>
      </c>
      <c r="V1138" s="4">
        <f t="shared" si="444"/>
        <v>103.33196030291954</v>
      </c>
      <c r="W1138" s="4">
        <f t="shared" si="429"/>
        <v>1550100.6043280561</v>
      </c>
      <c r="X1138" s="4">
        <f t="shared" si="433"/>
        <v>-6269.0029332849663</v>
      </c>
      <c r="Y1138" s="9">
        <f>SUM($X$6:X1138)</f>
        <v>550100.6043280561</v>
      </c>
      <c r="Z1138" s="16">
        <f t="shared" si="434"/>
        <v>0.55010060432805608</v>
      </c>
      <c r="AA1138" s="16">
        <f t="shared" si="430"/>
        <v>0.63543607974566607</v>
      </c>
      <c r="AB1138" s="16">
        <f t="shared" si="431"/>
        <v>-4.0279654036139848E-3</v>
      </c>
      <c r="AC1138" s="16">
        <f t="shared" si="432"/>
        <v>-6.847523716683534E-3</v>
      </c>
    </row>
    <row r="1139" spans="1:29" x14ac:dyDescent="0.15">
      <c r="A1139" s="8">
        <v>42557</v>
      </c>
      <c r="B1139" s="4">
        <v>2099.73</v>
      </c>
      <c r="C1139" s="1">
        <v>14.407299999999999</v>
      </c>
      <c r="D1139" s="1">
        <v>2.21</v>
      </c>
      <c r="E1139" s="1">
        <v>0.67530000000000001</v>
      </c>
      <c r="F1139" s="4">
        <f t="shared" si="422"/>
        <v>0.14407300000000001</v>
      </c>
      <c r="G1139" s="4">
        <f t="shared" si="423"/>
        <v>2.2099999999999998E-2</v>
      </c>
      <c r="H1139" s="4">
        <f t="shared" si="424"/>
        <v>6.7530000000000003E-3</v>
      </c>
      <c r="I1139" s="3">
        <f t="shared" si="425"/>
        <v>64.118458840578327</v>
      </c>
      <c r="J1139" s="4">
        <f t="shared" si="435"/>
        <v>1600855.9215010882</v>
      </c>
      <c r="K1139" s="1">
        <f t="shared" si="436"/>
        <v>2098.86</v>
      </c>
      <c r="L1139" s="5">
        <f t="shared" si="437"/>
        <v>0.23287671232876714</v>
      </c>
      <c r="M1139" s="5">
        <f t="shared" si="438"/>
        <v>-0.50167255790511278</v>
      </c>
      <c r="N1139" s="5">
        <f t="shared" si="439"/>
        <v>61.385881075429658</v>
      </c>
      <c r="O1139" s="1">
        <f t="shared" si="440"/>
        <v>0</v>
      </c>
      <c r="P1139" s="1">
        <f t="shared" si="441"/>
        <v>2098.86</v>
      </c>
      <c r="Q1139" s="5">
        <f t="shared" si="442"/>
        <v>0.23287671232876714</v>
      </c>
      <c r="R1139" s="5">
        <f t="shared" si="443"/>
        <v>-0.50167255790511278</v>
      </c>
      <c r="S1139" s="5">
        <f t="shared" si="426"/>
        <v>61.385881075429658</v>
      </c>
      <c r="T1139" s="5">
        <f t="shared" si="427"/>
        <v>-740.32375414452838</v>
      </c>
      <c r="U1139" s="4">
        <f t="shared" si="428"/>
        <v>1600959.2534613912</v>
      </c>
      <c r="V1139" s="4">
        <f t="shared" si="444"/>
        <v>25.834657542157789</v>
      </c>
      <c r="W1139" s="4">
        <f t="shared" si="429"/>
        <v>1555513.8275321596</v>
      </c>
      <c r="X1139" s="4">
        <f t="shared" si="433"/>
        <v>5413.2232041035313</v>
      </c>
      <c r="Y1139" s="9">
        <f>SUM($X$6:X1139)</f>
        <v>555513.82753215963</v>
      </c>
      <c r="Z1139" s="16">
        <f t="shared" si="434"/>
        <v>0.55551382753215961</v>
      </c>
      <c r="AA1139" s="16">
        <f t="shared" si="430"/>
        <v>0.64419056269869868</v>
      </c>
      <c r="AB1139" s="16">
        <f t="shared" si="431"/>
        <v>3.492175403963588E-3</v>
      </c>
      <c r="AC1139" s="16">
        <f t="shared" si="432"/>
        <v>5.3529960977711025E-3</v>
      </c>
    </row>
    <row r="1140" spans="1:29" x14ac:dyDescent="0.15">
      <c r="A1140" s="8">
        <v>42558</v>
      </c>
      <c r="B1140" s="4">
        <v>2097.9</v>
      </c>
      <c r="C1140" s="1">
        <v>14.121</v>
      </c>
      <c r="D1140" s="1">
        <v>2.21</v>
      </c>
      <c r="E1140" s="1">
        <v>0.6794</v>
      </c>
      <c r="F1140" s="4">
        <f t="shared" si="422"/>
        <v>0.14121</v>
      </c>
      <c r="G1140" s="4">
        <f t="shared" si="423"/>
        <v>2.2099999999999998E-2</v>
      </c>
      <c r="H1140" s="4">
        <f t="shared" si="424"/>
        <v>6.7939999999999997E-3</v>
      </c>
      <c r="I1140" s="3">
        <f t="shared" si="425"/>
        <v>62.861440552588491</v>
      </c>
      <c r="J1140" s="4">
        <f t="shared" si="435"/>
        <v>1600959.2534613912</v>
      </c>
      <c r="K1140" s="1">
        <f t="shared" si="436"/>
        <v>2098.86</v>
      </c>
      <c r="L1140" s="5">
        <f t="shared" si="437"/>
        <v>0.23013698630136989</v>
      </c>
      <c r="M1140" s="5">
        <f t="shared" si="438"/>
        <v>-0.50733806307302032</v>
      </c>
      <c r="N1140" s="5">
        <f t="shared" si="439"/>
        <v>60.769541412320308</v>
      </c>
      <c r="O1140" s="1">
        <f t="shared" si="440"/>
        <v>0</v>
      </c>
      <c r="P1140" s="1">
        <f t="shared" si="441"/>
        <v>2098.86</v>
      </c>
      <c r="Q1140" s="5">
        <f t="shared" si="442"/>
        <v>0.23013698630136989</v>
      </c>
      <c r="R1140" s="5">
        <f t="shared" si="443"/>
        <v>-0.50733806307302032</v>
      </c>
      <c r="S1140" s="5">
        <f t="shared" si="426"/>
        <v>60.769541412320308</v>
      </c>
      <c r="T1140" s="5">
        <f t="shared" si="427"/>
        <v>-740.32375414452838</v>
      </c>
      <c r="U1140" s="4">
        <f t="shared" si="428"/>
        <v>1600985.0881189334</v>
      </c>
      <c r="V1140" s="4">
        <f t="shared" si="444"/>
        <v>25.835074435672649</v>
      </c>
      <c r="W1140" s="4">
        <f t="shared" si="429"/>
        <v>1555995.9530829231</v>
      </c>
      <c r="X1140" s="4">
        <f t="shared" si="433"/>
        <v>482.1255507634487</v>
      </c>
      <c r="Y1140" s="9">
        <f>SUM($X$6:X1140)</f>
        <v>555995.95308292308</v>
      </c>
      <c r="Z1140" s="16">
        <f t="shared" si="434"/>
        <v>0.55599595308292304</v>
      </c>
      <c r="AA1140" s="16">
        <f t="shared" si="430"/>
        <v>0.64275758382534898</v>
      </c>
      <c r="AB1140" s="16">
        <f t="shared" si="431"/>
        <v>3.099461684171245E-4</v>
      </c>
      <c r="AC1140" s="16">
        <f t="shared" si="432"/>
        <v>-8.7154062665196347E-4</v>
      </c>
    </row>
    <row r="1141" spans="1:29" x14ac:dyDescent="0.15">
      <c r="A1141" s="8">
        <v>42559</v>
      </c>
      <c r="B1141" s="4">
        <v>2129.9</v>
      </c>
      <c r="C1141" s="1">
        <v>12.8886</v>
      </c>
      <c r="D1141" s="1">
        <v>2.1800000000000002</v>
      </c>
      <c r="E1141" s="1">
        <v>0.68189999999999995</v>
      </c>
      <c r="F1141" s="4">
        <f t="shared" si="422"/>
        <v>0.128886</v>
      </c>
      <c r="G1141" s="4">
        <f t="shared" si="423"/>
        <v>2.18E-2</v>
      </c>
      <c r="H1141" s="4">
        <f t="shared" si="424"/>
        <v>6.8189999999999995E-3</v>
      </c>
      <c r="I1141" s="3">
        <f t="shared" si="425"/>
        <v>58.533681967869491</v>
      </c>
      <c r="J1141" s="4">
        <f t="shared" si="435"/>
        <v>1600985.0881189334</v>
      </c>
      <c r="K1141" s="1">
        <f t="shared" si="436"/>
        <v>2098.86</v>
      </c>
      <c r="L1141" s="5">
        <f t="shared" si="437"/>
        <v>0.22739726027397264</v>
      </c>
      <c r="M1141" s="5">
        <f t="shared" si="438"/>
        <v>-0.41315591697560061</v>
      </c>
      <c r="N1141" s="5">
        <f t="shared" si="439"/>
        <v>40.652723268159875</v>
      </c>
      <c r="O1141" s="1">
        <f t="shared" si="440"/>
        <v>0</v>
      </c>
      <c r="P1141" s="1">
        <f t="shared" si="441"/>
        <v>2098.86</v>
      </c>
      <c r="Q1141" s="5">
        <f t="shared" si="442"/>
        <v>0.22739726027397264</v>
      </c>
      <c r="R1141" s="5">
        <f t="shared" si="443"/>
        <v>-0.41315591697560061</v>
      </c>
      <c r="S1141" s="5">
        <f t="shared" si="426"/>
        <v>40.652723268159875</v>
      </c>
      <c r="T1141" s="5">
        <f t="shared" si="427"/>
        <v>-740.32375414452838</v>
      </c>
      <c r="U1141" s="4">
        <f t="shared" si="428"/>
        <v>1601010.9231933691</v>
      </c>
      <c r="V1141" s="4">
        <f t="shared" si="444"/>
        <v>25.835491335914909</v>
      </c>
      <c r="W1141" s="4">
        <f t="shared" si="429"/>
        <v>1570914.7464872864</v>
      </c>
      <c r="X1141" s="4">
        <f t="shared" si="433"/>
        <v>14918.793404363329</v>
      </c>
      <c r="Y1141" s="9">
        <f>SUM($X$6:X1141)</f>
        <v>570914.74648728641</v>
      </c>
      <c r="Z1141" s="16">
        <f t="shared" si="434"/>
        <v>0.57091474648728646</v>
      </c>
      <c r="AA1141" s="16">
        <f t="shared" si="430"/>
        <v>0.66781513789485236</v>
      </c>
      <c r="AB1141" s="16">
        <f t="shared" si="431"/>
        <v>9.5879384357038019E-3</v>
      </c>
      <c r="AC1141" s="16">
        <f t="shared" si="432"/>
        <v>1.525334858668192E-2</v>
      </c>
    </row>
    <row r="1142" spans="1:29" x14ac:dyDescent="0.15">
      <c r="A1142" s="8">
        <v>42562</v>
      </c>
      <c r="B1142" s="4">
        <v>2137.16</v>
      </c>
      <c r="C1142" s="1">
        <v>12.948700000000001</v>
      </c>
      <c r="D1142" s="1">
        <v>2.17</v>
      </c>
      <c r="E1142" s="1">
        <v>0.68400000000000005</v>
      </c>
      <c r="F1142" s="4">
        <f t="shared" si="422"/>
        <v>0.12948700000000002</v>
      </c>
      <c r="G1142" s="4">
        <f t="shared" si="423"/>
        <v>2.1700000000000001E-2</v>
      </c>
      <c r="H1142" s="4">
        <f t="shared" si="424"/>
        <v>6.8400000000000006E-3</v>
      </c>
      <c r="I1142" s="3">
        <f t="shared" si="425"/>
        <v>58.954570934370395</v>
      </c>
      <c r="J1142" s="4">
        <f t="shared" si="435"/>
        <v>1601010.9231933691</v>
      </c>
      <c r="K1142" s="1">
        <f t="shared" si="436"/>
        <v>2098.86</v>
      </c>
      <c r="L1142" s="5">
        <f t="shared" si="437"/>
        <v>0.21917808219178087</v>
      </c>
      <c r="M1142" s="5">
        <f t="shared" si="438"/>
        <v>-0.38984296991255907</v>
      </c>
      <c r="N1142" s="5">
        <f t="shared" si="439"/>
        <v>36.921357068765381</v>
      </c>
      <c r="O1142" s="1">
        <f t="shared" si="440"/>
        <v>0</v>
      </c>
      <c r="P1142" s="1">
        <f t="shared" si="441"/>
        <v>2098.86</v>
      </c>
      <c r="Q1142" s="5">
        <f t="shared" si="442"/>
        <v>0.21917808219178087</v>
      </c>
      <c r="R1142" s="5">
        <f t="shared" si="443"/>
        <v>-0.38984296991255907</v>
      </c>
      <c r="S1142" s="5">
        <f t="shared" si="426"/>
        <v>36.921357068765381</v>
      </c>
      <c r="T1142" s="5">
        <f t="shared" si="427"/>
        <v>-740.32375414452838</v>
      </c>
      <c r="U1142" s="4">
        <f t="shared" si="428"/>
        <v>1601036.758684705</v>
      </c>
      <c r="V1142" s="4">
        <f t="shared" si="444"/>
        <v>77.507724728654068</v>
      </c>
      <c r="W1142" s="4">
        <f t="shared" si="429"/>
        <v>1573703.0010114461</v>
      </c>
      <c r="X1142" s="4">
        <f t="shared" si="433"/>
        <v>2788.2545241597109</v>
      </c>
      <c r="Y1142" s="9">
        <f>SUM($X$6:X1142)</f>
        <v>573703.00101144612</v>
      </c>
      <c r="Z1142" s="16">
        <f t="shared" si="434"/>
        <v>0.57370300101144611</v>
      </c>
      <c r="AA1142" s="16">
        <f t="shared" si="430"/>
        <v>0.67350007047437077</v>
      </c>
      <c r="AB1142" s="16">
        <f t="shared" si="431"/>
        <v>1.7749241519277295E-3</v>
      </c>
      <c r="AC1142" s="16">
        <f t="shared" si="432"/>
        <v>3.408610732898147E-3</v>
      </c>
    </row>
    <row r="1143" spans="1:29" x14ac:dyDescent="0.15">
      <c r="A1143" s="8">
        <v>42563</v>
      </c>
      <c r="B1143" s="4">
        <v>2152.14</v>
      </c>
      <c r="C1143" s="1">
        <v>12.518000000000001</v>
      </c>
      <c r="D1143" s="1">
        <v>2.16</v>
      </c>
      <c r="E1143" s="1">
        <v>0.68830000000000002</v>
      </c>
      <c r="F1143" s="4">
        <f t="shared" si="422"/>
        <v>0.12518000000000001</v>
      </c>
      <c r="G1143" s="4">
        <f t="shared" si="423"/>
        <v>2.1600000000000001E-2</v>
      </c>
      <c r="H1143" s="4">
        <f t="shared" si="424"/>
        <v>6.8830000000000002E-3</v>
      </c>
      <c r="I1143" s="3">
        <f t="shared" si="425"/>
        <v>57.492373315044055</v>
      </c>
      <c r="J1143" s="4">
        <f t="shared" si="435"/>
        <v>1601036.758684705</v>
      </c>
      <c r="K1143" s="1">
        <f t="shared" si="436"/>
        <v>2098.86</v>
      </c>
      <c r="L1143" s="5">
        <f t="shared" si="437"/>
        <v>0.21643835616438362</v>
      </c>
      <c r="M1143" s="5">
        <f t="shared" si="438"/>
        <v>-0.3411861556898349</v>
      </c>
      <c r="N1143" s="5">
        <f t="shared" si="439"/>
        <v>29.472871609993444</v>
      </c>
      <c r="O1143" s="1">
        <f t="shared" si="440"/>
        <v>0</v>
      </c>
      <c r="P1143" s="1">
        <f t="shared" si="441"/>
        <v>2098.86</v>
      </c>
      <c r="Q1143" s="5">
        <f t="shared" si="442"/>
        <v>0.21643835616438362</v>
      </c>
      <c r="R1143" s="5">
        <f t="shared" si="443"/>
        <v>-0.3411861556898349</v>
      </c>
      <c r="S1143" s="5">
        <f t="shared" si="426"/>
        <v>29.472871609993444</v>
      </c>
      <c r="T1143" s="5">
        <f t="shared" si="427"/>
        <v>-740.32375414452838</v>
      </c>
      <c r="U1143" s="4">
        <f t="shared" si="428"/>
        <v>1601114.2664094337</v>
      </c>
      <c r="V1143" s="4">
        <f t="shared" si="444"/>
        <v>25.837158983976884</v>
      </c>
      <c r="W1143" s="4">
        <f t="shared" si="429"/>
        <v>1579294.7994537037</v>
      </c>
      <c r="X1143" s="4">
        <f t="shared" si="433"/>
        <v>5591.7984422575682</v>
      </c>
      <c r="Y1143" s="9">
        <f>SUM($X$6:X1143)</f>
        <v>579294.79945370369</v>
      </c>
      <c r="Z1143" s="16">
        <f t="shared" si="434"/>
        <v>0.57929479945370366</v>
      </c>
      <c r="AA1143" s="16">
        <f t="shared" si="430"/>
        <v>0.68523013797315702</v>
      </c>
      <c r="AB1143" s="16">
        <f t="shared" si="431"/>
        <v>3.5532743082167489E-3</v>
      </c>
      <c r="AC1143" s="16">
        <f t="shared" si="432"/>
        <v>7.0093020644219524E-3</v>
      </c>
    </row>
    <row r="1144" spans="1:29" x14ac:dyDescent="0.15">
      <c r="A1144" s="8">
        <v>42564</v>
      </c>
      <c r="B1144" s="4">
        <v>2152.4299999999998</v>
      </c>
      <c r="C1144" s="1">
        <v>12.2864</v>
      </c>
      <c r="D1144" s="1">
        <v>2.16</v>
      </c>
      <c r="E1144" s="1">
        <v>0.69489999999999996</v>
      </c>
      <c r="F1144" s="4">
        <f t="shared" si="422"/>
        <v>0.122864</v>
      </c>
      <c r="G1144" s="4">
        <f t="shared" si="423"/>
        <v>2.1600000000000001E-2</v>
      </c>
      <c r="H1144" s="4">
        <f t="shared" si="424"/>
        <v>6.9489999999999994E-3</v>
      </c>
      <c r="I1144" s="3">
        <f t="shared" si="425"/>
        <v>56.493891643762538</v>
      </c>
      <c r="J1144" s="4">
        <f t="shared" si="435"/>
        <v>1601114.2664094337</v>
      </c>
      <c r="K1144" s="1">
        <f t="shared" si="436"/>
        <v>2098.86</v>
      </c>
      <c r="L1144" s="5">
        <f t="shared" si="437"/>
        <v>0.21369863013698637</v>
      </c>
      <c r="M1144" s="5">
        <f t="shared" si="438"/>
        <v>-0.33677598662493274</v>
      </c>
      <c r="N1144" s="5">
        <f t="shared" si="439"/>
        <v>28.203604251349983</v>
      </c>
      <c r="O1144" s="1">
        <f t="shared" si="440"/>
        <v>0</v>
      </c>
      <c r="P1144" s="1">
        <f t="shared" si="441"/>
        <v>2098.86</v>
      </c>
      <c r="Q1144" s="5">
        <f t="shared" si="442"/>
        <v>0.21369863013698637</v>
      </c>
      <c r="R1144" s="5">
        <f t="shared" si="443"/>
        <v>-0.33677598662493274</v>
      </c>
      <c r="S1144" s="5">
        <f t="shared" si="426"/>
        <v>28.203604251349983</v>
      </c>
      <c r="T1144" s="5">
        <f t="shared" si="427"/>
        <v>-740.32375414452838</v>
      </c>
      <c r="U1144" s="4">
        <f t="shared" si="428"/>
        <v>1601140.1035684177</v>
      </c>
      <c r="V1144" s="4">
        <f t="shared" si="444"/>
        <v>25.837575917857478</v>
      </c>
      <c r="W1144" s="4">
        <f t="shared" si="429"/>
        <v>1580260.3053886518</v>
      </c>
      <c r="X1144" s="4">
        <f t="shared" si="433"/>
        <v>965.50593494810164</v>
      </c>
      <c r="Y1144" s="9">
        <f>SUM($X$6:X1144)</f>
        <v>580260.30538865179</v>
      </c>
      <c r="Z1144" s="16">
        <f t="shared" si="434"/>
        <v>0.58026030538865181</v>
      </c>
      <c r="AA1144" s="16">
        <f t="shared" si="430"/>
        <v>0.68545722205691195</v>
      </c>
      <c r="AB1144" s="16">
        <f t="shared" si="431"/>
        <v>6.1135257032574367E-4</v>
      </c>
      <c r="AC1144" s="16">
        <f t="shared" si="432"/>
        <v>1.347495980744578E-4</v>
      </c>
    </row>
    <row r="1145" spans="1:29" x14ac:dyDescent="0.15">
      <c r="A1145" s="8">
        <v>42565</v>
      </c>
      <c r="B1145" s="4">
        <v>2163.75</v>
      </c>
      <c r="C1145" s="1">
        <v>12.238899999999999</v>
      </c>
      <c r="D1145" s="1">
        <v>2.15</v>
      </c>
      <c r="E1145" s="1">
        <v>0.69420000000000004</v>
      </c>
      <c r="F1145" s="4">
        <f t="shared" si="422"/>
        <v>0.122389</v>
      </c>
      <c r="G1145" s="4">
        <f t="shared" si="423"/>
        <v>2.1499999999999998E-2</v>
      </c>
      <c r="H1145" s="4">
        <f t="shared" si="424"/>
        <v>6.9420000000000003E-3</v>
      </c>
      <c r="I1145" s="3">
        <f t="shared" si="425"/>
        <v>56.562027189839078</v>
      </c>
      <c r="J1145" s="4">
        <f t="shared" si="435"/>
        <v>1601140.1035684177</v>
      </c>
      <c r="K1145" s="1">
        <f t="shared" si="436"/>
        <v>2098.86</v>
      </c>
      <c r="L1145" s="5">
        <f t="shared" si="437"/>
        <v>0.21095890410958912</v>
      </c>
      <c r="M1145" s="5">
        <f t="shared" si="438"/>
        <v>-0.30185870900957795</v>
      </c>
      <c r="N1145" s="5">
        <f t="shared" si="439"/>
        <v>24.100857052457986</v>
      </c>
      <c r="O1145" s="1">
        <f t="shared" si="440"/>
        <v>0</v>
      </c>
      <c r="P1145" s="1">
        <f t="shared" si="441"/>
        <v>2098.86</v>
      </c>
      <c r="Q1145" s="5">
        <f t="shared" si="442"/>
        <v>0.21095890410958912</v>
      </c>
      <c r="R1145" s="5">
        <f t="shared" si="443"/>
        <v>-0.30185870900957795</v>
      </c>
      <c r="S1145" s="5">
        <f t="shared" si="426"/>
        <v>24.100857052457986</v>
      </c>
      <c r="T1145" s="5">
        <f t="shared" si="427"/>
        <v>-740.32375414452838</v>
      </c>
      <c r="U1145" s="4">
        <f t="shared" si="428"/>
        <v>1601165.9411443355</v>
      </c>
      <c r="V1145" s="4">
        <f t="shared" si="444"/>
        <v>25.837992858466123</v>
      </c>
      <c r="W1145" s="4">
        <f t="shared" si="429"/>
        <v>1583323.5041731591</v>
      </c>
      <c r="X1145" s="4">
        <f t="shared" si="433"/>
        <v>3063.1987845073454</v>
      </c>
      <c r="Y1145" s="9">
        <f>SUM($X$6:X1145)</f>
        <v>583323.50417315913</v>
      </c>
      <c r="Z1145" s="16">
        <f t="shared" si="434"/>
        <v>0.58332350417315915</v>
      </c>
      <c r="AA1145" s="16">
        <f t="shared" si="430"/>
        <v>0.69432133180899891</v>
      </c>
      <c r="AB1145" s="16">
        <f t="shared" si="431"/>
        <v>1.9384140537238752E-3</v>
      </c>
      <c r="AC1145" s="16">
        <f t="shared" si="432"/>
        <v>5.2591721914302279E-3</v>
      </c>
    </row>
    <row r="1146" spans="1:29" x14ac:dyDescent="0.15">
      <c r="A1146" s="8">
        <v>42566</v>
      </c>
      <c r="B1146" s="4">
        <v>2161.7399999999998</v>
      </c>
      <c r="C1146" s="1">
        <v>12.273199999999999</v>
      </c>
      <c r="D1146" s="1">
        <v>2.15</v>
      </c>
      <c r="E1146" s="1">
        <v>0.70309999999999995</v>
      </c>
      <c r="F1146" s="4">
        <f t="shared" si="422"/>
        <v>0.12273199999999999</v>
      </c>
      <c r="G1146" s="4">
        <f t="shared" si="423"/>
        <v>2.1499999999999998E-2</v>
      </c>
      <c r="H1146" s="4">
        <f t="shared" si="424"/>
        <v>7.0309999999999991E-3</v>
      </c>
      <c r="I1146" s="3">
        <f t="shared" si="425"/>
        <v>56.630681946998521</v>
      </c>
      <c r="J1146" s="4">
        <f t="shared" si="435"/>
        <v>1601165.9411443355</v>
      </c>
      <c r="K1146" s="1">
        <f t="shared" si="436"/>
        <v>2098.86</v>
      </c>
      <c r="L1146" s="5">
        <f t="shared" si="437"/>
        <v>0.20821917808219187</v>
      </c>
      <c r="M1146" s="5">
        <f t="shared" si="438"/>
        <v>-0.30670478552081287</v>
      </c>
      <c r="N1146" s="5">
        <f t="shared" si="439"/>
        <v>24.515724319091078</v>
      </c>
      <c r="O1146" s="1">
        <f t="shared" si="440"/>
        <v>0</v>
      </c>
      <c r="P1146" s="1">
        <f t="shared" si="441"/>
        <v>2098.86</v>
      </c>
      <c r="Q1146" s="5">
        <f t="shared" si="442"/>
        <v>0.20821917808219187</v>
      </c>
      <c r="R1146" s="5">
        <f t="shared" si="443"/>
        <v>-0.30670478552081287</v>
      </c>
      <c r="S1146" s="5">
        <f t="shared" si="426"/>
        <v>24.515724319091078</v>
      </c>
      <c r="T1146" s="5">
        <f t="shared" si="427"/>
        <v>-740.32375414452838</v>
      </c>
      <c r="U1146" s="4">
        <f t="shared" si="428"/>
        <v>1601191.7791371939</v>
      </c>
      <c r="V1146" s="4">
        <f t="shared" si="444"/>
        <v>25.838409805802932</v>
      </c>
      <c r="W1146" s="4">
        <f t="shared" si="429"/>
        <v>1583042.2060737121</v>
      </c>
      <c r="X1146" s="4">
        <f t="shared" si="433"/>
        <v>-281.29809944704175</v>
      </c>
      <c r="Y1146" s="9">
        <f>SUM($X$6:X1146)</f>
        <v>583042.20607371209</v>
      </c>
      <c r="Z1146" s="16">
        <f t="shared" si="434"/>
        <v>0.58304220607371204</v>
      </c>
      <c r="AA1146" s="16">
        <f t="shared" si="430"/>
        <v>0.69274740419400804</v>
      </c>
      <c r="AB1146" s="16">
        <f t="shared" si="431"/>
        <v>-1.776630604583495E-4</v>
      </c>
      <c r="AC1146" s="16">
        <f t="shared" si="432"/>
        <v>-9.2894280762575077E-4</v>
      </c>
    </row>
    <row r="1147" spans="1:29" x14ac:dyDescent="0.15">
      <c r="A1147" s="8">
        <v>42569</v>
      </c>
      <c r="B1147" s="4">
        <v>2166.89</v>
      </c>
      <c r="C1147" s="1">
        <v>12.099</v>
      </c>
      <c r="D1147" s="1">
        <v>2.14</v>
      </c>
      <c r="E1147" s="1">
        <v>0.71109999999999995</v>
      </c>
      <c r="F1147" s="4">
        <f t="shared" si="422"/>
        <v>0.12099</v>
      </c>
      <c r="G1147" s="4">
        <f t="shared" si="423"/>
        <v>2.1400000000000002E-2</v>
      </c>
      <c r="H1147" s="4">
        <f t="shared" si="424"/>
        <v>7.1109999999999993E-3</v>
      </c>
      <c r="I1147" s="3">
        <f t="shared" si="425"/>
        <v>55.967407677824333</v>
      </c>
      <c r="J1147" s="4">
        <f t="shared" si="435"/>
        <v>1601191.7791371939</v>
      </c>
      <c r="K1147" s="1">
        <f t="shared" si="436"/>
        <v>2098.86</v>
      </c>
      <c r="L1147" s="5">
        <f t="shared" si="437"/>
        <v>0.20000000000000009</v>
      </c>
      <c r="M1147" s="5">
        <f t="shared" si="438"/>
        <v>-0.2852319249937208</v>
      </c>
      <c r="N1147" s="5">
        <f t="shared" si="439"/>
        <v>21.478685965726598</v>
      </c>
      <c r="O1147" s="1">
        <f t="shared" si="440"/>
        <v>0</v>
      </c>
      <c r="P1147" s="1">
        <f t="shared" si="441"/>
        <v>2098.86</v>
      </c>
      <c r="Q1147" s="5">
        <f t="shared" si="442"/>
        <v>0.20000000000000009</v>
      </c>
      <c r="R1147" s="5">
        <f t="shared" si="443"/>
        <v>-0.2852319249937208</v>
      </c>
      <c r="S1147" s="5">
        <f t="shared" si="426"/>
        <v>21.478685965726598</v>
      </c>
      <c r="T1147" s="5">
        <f t="shared" si="427"/>
        <v>-740.32375414452838</v>
      </c>
      <c r="U1147" s="4">
        <f t="shared" si="428"/>
        <v>1601217.6175469998</v>
      </c>
      <c r="V1147" s="4">
        <f t="shared" si="444"/>
        <v>77.516480279604068</v>
      </c>
      <c r="W1147" s="4">
        <f t="shared" si="429"/>
        <v>1585316.4361187618</v>
      </c>
      <c r="X1147" s="4">
        <f t="shared" si="433"/>
        <v>2274.2300450496841</v>
      </c>
      <c r="Y1147" s="9">
        <f>SUM($X$6:X1147)</f>
        <v>585316.43611876178</v>
      </c>
      <c r="Z1147" s="16">
        <f t="shared" si="434"/>
        <v>0.58531643611876183</v>
      </c>
      <c r="AA1147" s="16">
        <f t="shared" si="430"/>
        <v>0.69678010430206883</v>
      </c>
      <c r="AB1147" s="16">
        <f t="shared" si="431"/>
        <v>1.4366199690217154E-3</v>
      </c>
      <c r="AC1147" s="16">
        <f t="shared" si="432"/>
        <v>2.3823401519147036E-3</v>
      </c>
    </row>
    <row r="1148" spans="1:29" x14ac:dyDescent="0.15">
      <c r="A1148" s="8">
        <v>42570</v>
      </c>
      <c r="B1148" s="4">
        <v>2163.7800000000002</v>
      </c>
      <c r="C1148" s="1">
        <v>12.0078</v>
      </c>
      <c r="D1148" s="1">
        <v>2.15</v>
      </c>
      <c r="E1148" s="1">
        <v>0.71260000000000001</v>
      </c>
      <c r="F1148" s="4">
        <f t="shared" si="422"/>
        <v>0.12007799999999999</v>
      </c>
      <c r="G1148" s="4">
        <f t="shared" si="423"/>
        <v>2.1499999999999998E-2</v>
      </c>
      <c r="H1148" s="4">
        <f t="shared" si="424"/>
        <v>7.1260000000000004E-3</v>
      </c>
      <c r="I1148" s="3">
        <f t="shared" si="425"/>
        <v>55.519384275511314</v>
      </c>
      <c r="J1148" s="4">
        <f t="shared" si="435"/>
        <v>1601217.6175469998</v>
      </c>
      <c r="K1148" s="1">
        <f t="shared" si="436"/>
        <v>2098.86</v>
      </c>
      <c r="L1148" s="5">
        <f t="shared" si="437"/>
        <v>0.19726027397260285</v>
      </c>
      <c r="M1148" s="5">
        <f t="shared" si="438"/>
        <v>-0.2917437215630867</v>
      </c>
      <c r="N1148" s="5">
        <f t="shared" si="439"/>
        <v>21.789061080380872</v>
      </c>
      <c r="O1148" s="1">
        <f t="shared" si="440"/>
        <v>0</v>
      </c>
      <c r="P1148" s="1">
        <f t="shared" si="441"/>
        <v>2098.86</v>
      </c>
      <c r="Q1148" s="5">
        <f t="shared" si="442"/>
        <v>0.19726027397260285</v>
      </c>
      <c r="R1148" s="5">
        <f t="shared" si="443"/>
        <v>-0.2917437215630867</v>
      </c>
      <c r="S1148" s="5">
        <f t="shared" si="426"/>
        <v>21.789061080380872</v>
      </c>
      <c r="T1148" s="5">
        <f t="shared" si="427"/>
        <v>-740.32375414452838</v>
      </c>
      <c r="U1148" s="4">
        <f t="shared" si="428"/>
        <v>1601295.1340272794</v>
      </c>
      <c r="V1148" s="4">
        <f t="shared" si="444"/>
        <v>25.840077642248424</v>
      </c>
      <c r="W1148" s="4">
        <f t="shared" si="429"/>
        <v>1585164.1745289674</v>
      </c>
      <c r="X1148" s="4">
        <f t="shared" si="433"/>
        <v>-152.26158979441971</v>
      </c>
      <c r="Y1148" s="9">
        <f>SUM($X$6:X1148)</f>
        <v>585164.17452896736</v>
      </c>
      <c r="Z1148" s="16">
        <f t="shared" si="434"/>
        <v>0.58516417452896741</v>
      </c>
      <c r="AA1148" s="16">
        <f t="shared" si="430"/>
        <v>0.69434482326593916</v>
      </c>
      <c r="AB1148" s="16">
        <f t="shared" si="431"/>
        <v>-9.6044919692621692E-5</v>
      </c>
      <c r="AC1148" s="16">
        <f t="shared" si="432"/>
        <v>-1.4352366756040559E-3</v>
      </c>
    </row>
    <row r="1149" spans="1:29" x14ac:dyDescent="0.15">
      <c r="A1149" s="8">
        <v>42571</v>
      </c>
      <c r="B1149" s="4">
        <v>2173.02</v>
      </c>
      <c r="C1149" s="1">
        <v>11.9665</v>
      </c>
      <c r="D1149" s="1">
        <v>2.14</v>
      </c>
      <c r="E1149" s="1">
        <v>0.71689999999999998</v>
      </c>
      <c r="F1149" s="4">
        <f t="shared" si="422"/>
        <v>0.11966499999999999</v>
      </c>
      <c r="G1149" s="4">
        <f t="shared" si="423"/>
        <v>2.1400000000000002E-2</v>
      </c>
      <c r="H1149" s="4">
        <f t="shared" si="424"/>
        <v>7.169E-3</v>
      </c>
      <c r="I1149" s="3">
        <f t="shared" si="425"/>
        <v>55.538691535301105</v>
      </c>
      <c r="J1149" s="4">
        <f t="shared" si="435"/>
        <v>1601295.1340272794</v>
      </c>
      <c r="K1149" s="1">
        <f t="shared" si="436"/>
        <v>2098.86</v>
      </c>
      <c r="L1149" s="5">
        <f t="shared" si="437"/>
        <v>0.1945205479452056</v>
      </c>
      <c r="M1149" s="5">
        <f t="shared" si="438"/>
        <v>-0.26264353284452785</v>
      </c>
      <c r="N1149" s="5">
        <f t="shared" si="439"/>
        <v>18.787200863769307</v>
      </c>
      <c r="O1149" s="1">
        <f t="shared" si="440"/>
        <v>0</v>
      </c>
      <c r="P1149" s="1">
        <f t="shared" si="441"/>
        <v>2098.86</v>
      </c>
      <c r="Q1149" s="5">
        <f t="shared" si="442"/>
        <v>0.1945205479452056</v>
      </c>
      <c r="R1149" s="5">
        <f t="shared" si="443"/>
        <v>-0.26264353284452785</v>
      </c>
      <c r="S1149" s="5">
        <f t="shared" si="426"/>
        <v>18.787200863769307</v>
      </c>
      <c r="T1149" s="5">
        <f t="shared" si="427"/>
        <v>-740.32375414452838</v>
      </c>
      <c r="U1149" s="4">
        <f t="shared" si="428"/>
        <v>1601320.9741049218</v>
      </c>
      <c r="V1149" s="4">
        <f t="shared" si="444"/>
        <v>25.840494623227368</v>
      </c>
      <c r="W1149" s="4">
        <f t="shared" si="429"/>
        <v>1587412.3630315887</v>
      </c>
      <c r="X1149" s="4">
        <f t="shared" si="433"/>
        <v>2248.1885026213713</v>
      </c>
      <c r="Y1149" s="9">
        <f>SUM($X$6:X1149)</f>
        <v>587412.36303158873</v>
      </c>
      <c r="Z1149" s="16">
        <f t="shared" si="434"/>
        <v>0.58741236303158872</v>
      </c>
      <c r="AA1149" s="16">
        <f t="shared" si="430"/>
        <v>0.70158019200350807</v>
      </c>
      <c r="AB1149" s="16">
        <f t="shared" si="431"/>
        <v>1.4182685546053437E-3</v>
      </c>
      <c r="AC1149" s="16">
        <f t="shared" si="432"/>
        <v>4.2703047444748454E-3</v>
      </c>
    </row>
    <row r="1150" spans="1:29" x14ac:dyDescent="0.15">
      <c r="A1150" s="8">
        <v>42572</v>
      </c>
      <c r="B1150" s="4">
        <v>2165.17</v>
      </c>
      <c r="C1150" s="1">
        <v>12.521599999999999</v>
      </c>
      <c r="D1150" s="1">
        <v>2.14</v>
      </c>
      <c r="E1150" s="1">
        <v>0.73040000000000005</v>
      </c>
      <c r="F1150" s="4">
        <f t="shared" si="422"/>
        <v>0.12521599999999999</v>
      </c>
      <c r="G1150" s="4">
        <f t="shared" si="423"/>
        <v>2.1400000000000002E-2</v>
      </c>
      <c r="H1150" s="4">
        <f t="shared" si="424"/>
        <v>7.3040000000000006E-3</v>
      </c>
      <c r="I1150" s="3">
        <f t="shared" si="425"/>
        <v>57.679633721400066</v>
      </c>
      <c r="J1150" s="4">
        <f t="shared" si="435"/>
        <v>1601320.9741049218</v>
      </c>
      <c r="K1150" s="1">
        <f t="shared" si="436"/>
        <v>2098.86</v>
      </c>
      <c r="L1150" s="5">
        <f t="shared" si="437"/>
        <v>0.19178082191780835</v>
      </c>
      <c r="M1150" s="5">
        <f t="shared" si="438"/>
        <v>-0.29155683030782792</v>
      </c>
      <c r="N1150" s="5">
        <f t="shared" si="439"/>
        <v>22.415301153157738</v>
      </c>
      <c r="O1150" s="1">
        <f t="shared" si="440"/>
        <v>0</v>
      </c>
      <c r="P1150" s="1">
        <f t="shared" si="441"/>
        <v>2098.86</v>
      </c>
      <c r="Q1150" s="5">
        <f t="shared" si="442"/>
        <v>0.19178082191780835</v>
      </c>
      <c r="R1150" s="5">
        <f t="shared" si="443"/>
        <v>-0.29155683030782792</v>
      </c>
      <c r="S1150" s="5">
        <f t="shared" si="426"/>
        <v>22.415301153157738</v>
      </c>
      <c r="T1150" s="5">
        <f t="shared" si="427"/>
        <v>-740.32375414452838</v>
      </c>
      <c r="U1150" s="4">
        <f t="shared" si="428"/>
        <v>1601346.814599545</v>
      </c>
      <c r="V1150" s="4">
        <f t="shared" si="444"/>
        <v>25.840911610935123</v>
      </c>
      <c r="W1150" s="4">
        <f t="shared" si="429"/>
        <v>1584752.2346995592</v>
      </c>
      <c r="X1150" s="4">
        <f t="shared" si="433"/>
        <v>-2660.1283320295624</v>
      </c>
      <c r="Y1150" s="9">
        <f>SUM($X$6:X1150)</f>
        <v>584752.23469955917</v>
      </c>
      <c r="Z1150" s="16">
        <f t="shared" si="434"/>
        <v>0.58475223469955917</v>
      </c>
      <c r="AA1150" s="16">
        <f t="shared" si="430"/>
        <v>0.69543326077083312</v>
      </c>
      <c r="AB1150" s="16">
        <f t="shared" si="431"/>
        <v>-1.6757638997779603E-3</v>
      </c>
      <c r="AC1150" s="16">
        <f t="shared" si="432"/>
        <v>-3.6124840084306217E-3</v>
      </c>
    </row>
    <row r="1151" spans="1:29" x14ac:dyDescent="0.15">
      <c r="A1151" s="8">
        <v>42573</v>
      </c>
      <c r="B1151" s="4">
        <v>2175.0300000000002</v>
      </c>
      <c r="C1151" s="1">
        <v>12.2654</v>
      </c>
      <c r="D1151" s="1">
        <v>2.13</v>
      </c>
      <c r="E1151" s="1">
        <v>0.73699999999999999</v>
      </c>
      <c r="F1151" s="4">
        <f t="shared" si="422"/>
        <v>0.122654</v>
      </c>
      <c r="G1151" s="4">
        <f t="shared" si="423"/>
        <v>2.1299999999999999E-2</v>
      </c>
      <c r="H1151" s="4">
        <f t="shared" si="424"/>
        <v>7.3699999999999998E-3</v>
      </c>
      <c r="I1151" s="3">
        <f t="shared" si="425"/>
        <v>56.791914830196404</v>
      </c>
      <c r="J1151" s="4">
        <f t="shared" si="435"/>
        <v>1601346.814599545</v>
      </c>
      <c r="K1151" s="1">
        <f t="shared" si="436"/>
        <v>2098.86</v>
      </c>
      <c r="L1151" s="5">
        <f t="shared" si="437"/>
        <v>0.1890410958904111</v>
      </c>
      <c r="M1151" s="5">
        <f t="shared" si="438"/>
        <v>-0.25818001078333014</v>
      </c>
      <c r="N1151" s="5">
        <f t="shared" si="439"/>
        <v>18.575495913554416</v>
      </c>
      <c r="O1151" s="1">
        <f t="shared" si="440"/>
        <v>0</v>
      </c>
      <c r="P1151" s="1">
        <f t="shared" si="441"/>
        <v>2098.86</v>
      </c>
      <c r="Q1151" s="5">
        <f t="shared" si="442"/>
        <v>0.1890410958904111</v>
      </c>
      <c r="R1151" s="5">
        <f t="shared" si="443"/>
        <v>-0.25818001078333014</v>
      </c>
      <c r="S1151" s="5">
        <f t="shared" si="426"/>
        <v>18.575495913554416</v>
      </c>
      <c r="T1151" s="5">
        <f t="shared" si="427"/>
        <v>-740.32375414452838</v>
      </c>
      <c r="U1151" s="4">
        <f t="shared" si="428"/>
        <v>1601372.655511156</v>
      </c>
      <c r="V1151" s="4">
        <f t="shared" si="444"/>
        <v>25.8413286053718</v>
      </c>
      <c r="W1151" s="4">
        <f t="shared" si="429"/>
        <v>1587620.7746413371</v>
      </c>
      <c r="X1151" s="4">
        <f t="shared" si="433"/>
        <v>2868.5399417779408</v>
      </c>
      <c r="Y1151" s="9">
        <f>SUM($X$6:X1151)</f>
        <v>587620.77464133711</v>
      </c>
      <c r="Z1151" s="16">
        <f t="shared" si="434"/>
        <v>0.58762077464133711</v>
      </c>
      <c r="AA1151" s="16">
        <f t="shared" si="430"/>
        <v>0.70315411961849894</v>
      </c>
      <c r="AB1151" s="16">
        <f t="shared" si="431"/>
        <v>1.8100873303527885E-3</v>
      </c>
      <c r="AC1151" s="16">
        <f t="shared" si="432"/>
        <v>4.553914935085987E-3</v>
      </c>
    </row>
    <row r="1152" spans="1:29" x14ac:dyDescent="0.15">
      <c r="A1152" s="8">
        <v>42576</v>
      </c>
      <c r="B1152" s="4">
        <v>2168.48</v>
      </c>
      <c r="C1152" s="1">
        <v>12.681799999999999</v>
      </c>
      <c r="D1152" s="1">
        <v>2.14</v>
      </c>
      <c r="E1152" s="1">
        <v>0.74980000000000002</v>
      </c>
      <c r="F1152" s="4">
        <f t="shared" si="422"/>
        <v>0.12681799999999999</v>
      </c>
      <c r="G1152" s="4">
        <f t="shared" si="423"/>
        <v>2.1400000000000002E-2</v>
      </c>
      <c r="H1152" s="4">
        <f t="shared" si="424"/>
        <v>7.4980000000000003E-3</v>
      </c>
      <c r="I1152" s="3">
        <f t="shared" si="425"/>
        <v>58.399953621780391</v>
      </c>
      <c r="J1152" s="4">
        <f t="shared" si="435"/>
        <v>1601372.655511156</v>
      </c>
      <c r="K1152" s="1">
        <f t="shared" si="436"/>
        <v>2098.86</v>
      </c>
      <c r="L1152" s="5">
        <f t="shared" si="437"/>
        <v>0.18082191780821932</v>
      </c>
      <c r="M1152" s="5">
        <f t="shared" si="438"/>
        <v>-0.27803948375722204</v>
      </c>
      <c r="N1152" s="5">
        <f t="shared" si="439"/>
        <v>20.689853094420616</v>
      </c>
      <c r="O1152" s="1">
        <f t="shared" si="440"/>
        <v>0</v>
      </c>
      <c r="P1152" s="1">
        <f t="shared" si="441"/>
        <v>2098.86</v>
      </c>
      <c r="Q1152" s="5">
        <f t="shared" si="442"/>
        <v>0.18082191780821932</v>
      </c>
      <c r="R1152" s="5">
        <f t="shared" si="443"/>
        <v>-0.27803948375722204</v>
      </c>
      <c r="S1152" s="5">
        <f t="shared" si="426"/>
        <v>20.689853094420616</v>
      </c>
      <c r="T1152" s="5">
        <f t="shared" si="427"/>
        <v>-740.32375414452838</v>
      </c>
      <c r="U1152" s="4">
        <f t="shared" si="428"/>
        <v>1601398.4968397613</v>
      </c>
      <c r="V1152" s="4">
        <f t="shared" si="444"/>
        <v>77.525236819612545</v>
      </c>
      <c r="W1152" s="4">
        <f t="shared" si="429"/>
        <v>1586081.307124201</v>
      </c>
      <c r="X1152" s="4">
        <f t="shared" si="433"/>
        <v>-1539.4675171361305</v>
      </c>
      <c r="Y1152" s="9">
        <f>SUM($X$6:X1152)</f>
        <v>586081.30712420098</v>
      </c>
      <c r="Z1152" s="16">
        <f t="shared" si="434"/>
        <v>0.58608130712420092</v>
      </c>
      <c r="AA1152" s="16">
        <f t="shared" si="430"/>
        <v>0.6980251515198973</v>
      </c>
      <c r="AB1152" s="16">
        <f t="shared" si="431"/>
        <v>-9.6966954686260949E-4</v>
      </c>
      <c r="AC1152" s="16">
        <f t="shared" si="432"/>
        <v>-3.0114527155948108E-3</v>
      </c>
    </row>
    <row r="1153" spans="1:29" x14ac:dyDescent="0.15">
      <c r="A1153" s="8">
        <v>42577</v>
      </c>
      <c r="B1153" s="4">
        <v>2169.1799999999998</v>
      </c>
      <c r="C1153" s="1">
        <v>12.6151</v>
      </c>
      <c r="D1153" s="1">
        <v>2.14</v>
      </c>
      <c r="E1153" s="1">
        <v>0.75949999999999995</v>
      </c>
      <c r="F1153" s="4">
        <f t="shared" si="422"/>
        <v>0.12615100000000001</v>
      </c>
      <c r="G1153" s="4">
        <f t="shared" si="423"/>
        <v>2.1400000000000002E-2</v>
      </c>
      <c r="H1153" s="4">
        <f t="shared" si="424"/>
        <v>7.5949999999999993E-3</v>
      </c>
      <c r="I1153" s="3">
        <f t="shared" si="425"/>
        <v>58.104228150919084</v>
      </c>
      <c r="J1153" s="4">
        <f t="shared" si="435"/>
        <v>1601398.4968397613</v>
      </c>
      <c r="K1153" s="1">
        <f t="shared" si="436"/>
        <v>2098.86</v>
      </c>
      <c r="L1153" s="5">
        <f t="shared" si="437"/>
        <v>0.17808219178082207</v>
      </c>
      <c r="M1153" s="5">
        <f t="shared" si="438"/>
        <v>-0.27338340010693812</v>
      </c>
      <c r="N1153" s="5">
        <f t="shared" si="439"/>
        <v>19.963677711331925</v>
      </c>
      <c r="O1153" s="1">
        <f t="shared" si="440"/>
        <v>0</v>
      </c>
      <c r="P1153" s="1">
        <f t="shared" si="441"/>
        <v>2098.86</v>
      </c>
      <c r="Q1153" s="5">
        <f t="shared" si="442"/>
        <v>0.17808219178082207</v>
      </c>
      <c r="R1153" s="5">
        <f t="shared" si="443"/>
        <v>-0.27338340010693812</v>
      </c>
      <c r="S1153" s="5">
        <f t="shared" si="426"/>
        <v>19.963677711331925</v>
      </c>
      <c r="T1153" s="5">
        <f t="shared" si="427"/>
        <v>-740.32375414452838</v>
      </c>
      <c r="U1153" s="4">
        <f t="shared" si="428"/>
        <v>1601476.0220765809</v>
      </c>
      <c r="V1153" s="4">
        <f t="shared" si="444"/>
        <v>25.842996630222085</v>
      </c>
      <c r="W1153" s="4">
        <f t="shared" si="429"/>
        <v>1586696.4372467962</v>
      </c>
      <c r="X1153" s="4">
        <f t="shared" si="433"/>
        <v>615.13012259523384</v>
      </c>
      <c r="Y1153" s="9">
        <f>SUM($X$6:X1153)</f>
        <v>586696.43724679621</v>
      </c>
      <c r="Z1153" s="16">
        <f t="shared" si="434"/>
        <v>0.58669643724679621</v>
      </c>
      <c r="AA1153" s="16">
        <f t="shared" si="430"/>
        <v>0.69857328551516762</v>
      </c>
      <c r="AB1153" s="16">
        <f t="shared" si="431"/>
        <v>3.8783013193097605E-4</v>
      </c>
      <c r="AC1153" s="16">
        <f t="shared" si="432"/>
        <v>3.2280675865113727E-4</v>
      </c>
    </row>
    <row r="1154" spans="1:29" x14ac:dyDescent="0.15">
      <c r="A1154" s="8">
        <v>42578</v>
      </c>
      <c r="B1154" s="4">
        <v>2166.58</v>
      </c>
      <c r="C1154" s="1">
        <v>12.535299999999999</v>
      </c>
      <c r="D1154" s="1">
        <v>2.14</v>
      </c>
      <c r="E1154" s="1">
        <v>0.76780000000000004</v>
      </c>
      <c r="F1154" s="4">
        <f t="shared" si="422"/>
        <v>0.12535299999999999</v>
      </c>
      <c r="G1154" s="4">
        <f t="shared" si="423"/>
        <v>2.1400000000000002E-2</v>
      </c>
      <c r="H1154" s="4">
        <f t="shared" si="424"/>
        <v>7.6780000000000008E-3</v>
      </c>
      <c r="I1154" s="3">
        <f t="shared" si="425"/>
        <v>57.668201806845452</v>
      </c>
      <c r="J1154" s="4">
        <f t="shared" si="435"/>
        <v>1601476.0220765809</v>
      </c>
      <c r="K1154" s="1">
        <f t="shared" si="436"/>
        <v>2098.86</v>
      </c>
      <c r="L1154" s="5">
        <f t="shared" si="437"/>
        <v>0.17534246575342483</v>
      </c>
      <c r="M1154" s="5">
        <f t="shared" si="438"/>
        <v>-0.27809813471944933</v>
      </c>
      <c r="N1154" s="5">
        <f t="shared" si="439"/>
        <v>20.110646825256996</v>
      </c>
      <c r="O1154" s="1">
        <f t="shared" si="440"/>
        <v>0</v>
      </c>
      <c r="P1154" s="1">
        <f t="shared" si="441"/>
        <v>2098.86</v>
      </c>
      <c r="Q1154" s="5">
        <f t="shared" si="442"/>
        <v>0.17534246575342483</v>
      </c>
      <c r="R1154" s="5">
        <f t="shared" si="443"/>
        <v>-0.27809813471944933</v>
      </c>
      <c r="S1154" s="5">
        <f t="shared" si="426"/>
        <v>20.110646825256996</v>
      </c>
      <c r="T1154" s="5">
        <f t="shared" si="427"/>
        <v>-740.32375414452838</v>
      </c>
      <c r="U1154" s="4">
        <f t="shared" si="428"/>
        <v>1601501.865073211</v>
      </c>
      <c r="V1154" s="4">
        <f t="shared" si="444"/>
        <v>25.843413658304691</v>
      </c>
      <c r="W1154" s="4">
        <f t="shared" si="429"/>
        <v>1586613.475517262</v>
      </c>
      <c r="X1154" s="4">
        <f t="shared" si="433"/>
        <v>-82.961729534203187</v>
      </c>
      <c r="Y1154" s="9">
        <f>SUM($X$6:X1154)</f>
        <v>586613.47551726201</v>
      </c>
      <c r="Z1154" s="16">
        <f t="shared" si="434"/>
        <v>0.58661347551726195</v>
      </c>
      <c r="AA1154" s="16">
        <f t="shared" si="430"/>
        <v>0.69653735924702054</v>
      </c>
      <c r="AB1154" s="16">
        <f t="shared" si="431"/>
        <v>-5.228582329091046E-5</v>
      </c>
      <c r="AC1154" s="16">
        <f t="shared" si="432"/>
        <v>-1.1986096128490532E-3</v>
      </c>
    </row>
    <row r="1155" spans="1:29" x14ac:dyDescent="0.15">
      <c r="A1155" s="8">
        <v>42579</v>
      </c>
      <c r="B1155" s="4">
        <v>2170.06</v>
      </c>
      <c r="C1155" s="1">
        <v>12.5511</v>
      </c>
      <c r="D1155" s="1">
        <v>2.14</v>
      </c>
      <c r="E1155" s="1">
        <v>0.77329999999999999</v>
      </c>
      <c r="F1155" s="4">
        <f t="shared" si="422"/>
        <v>0.12551100000000001</v>
      </c>
      <c r="G1155" s="4">
        <f t="shared" si="423"/>
        <v>2.1400000000000002E-2</v>
      </c>
      <c r="H1155" s="4">
        <f t="shared" si="424"/>
        <v>7.7330000000000003E-3</v>
      </c>
      <c r="I1155" s="3">
        <f t="shared" si="425"/>
        <v>57.812881196245954</v>
      </c>
      <c r="J1155" s="4">
        <f t="shared" si="435"/>
        <v>1601501.865073211</v>
      </c>
      <c r="K1155" s="1">
        <f t="shared" si="436"/>
        <v>2098.86</v>
      </c>
      <c r="L1155" s="5">
        <f t="shared" si="437"/>
        <v>0.17260273972602758</v>
      </c>
      <c r="M1155" s="5">
        <f t="shared" si="438"/>
        <v>-0.26644317315525917</v>
      </c>
      <c r="N1155" s="5">
        <f t="shared" si="439"/>
        <v>18.886948776533</v>
      </c>
      <c r="O1155" s="1">
        <f t="shared" si="440"/>
        <v>0</v>
      </c>
      <c r="P1155" s="1">
        <f t="shared" si="441"/>
        <v>2098.86</v>
      </c>
      <c r="Q1155" s="5">
        <f t="shared" si="442"/>
        <v>0.17260273972602758</v>
      </c>
      <c r="R1155" s="5">
        <f t="shared" si="443"/>
        <v>-0.26644317315525917</v>
      </c>
      <c r="S1155" s="5">
        <f t="shared" si="426"/>
        <v>18.886948776533</v>
      </c>
      <c r="T1155" s="5">
        <f t="shared" si="427"/>
        <v>-740.32375414452838</v>
      </c>
      <c r="U1155" s="4">
        <f t="shared" si="428"/>
        <v>1601527.7084868692</v>
      </c>
      <c r="V1155" s="4">
        <f t="shared" si="444"/>
        <v>25.843830693116875</v>
      </c>
      <c r="W1155" s="4">
        <f t="shared" si="429"/>
        <v>1587545.2516642909</v>
      </c>
      <c r="X1155" s="4">
        <f t="shared" si="433"/>
        <v>931.77614702889696</v>
      </c>
      <c r="Y1155" s="9">
        <f>SUM($X$6:X1155)</f>
        <v>587545.2516642909</v>
      </c>
      <c r="Z1155" s="16">
        <f t="shared" si="434"/>
        <v>0.58754525166429095</v>
      </c>
      <c r="AA1155" s="16">
        <f t="shared" si="430"/>
        <v>0.69926236825207899</v>
      </c>
      <c r="AB1155" s="16">
        <f t="shared" si="431"/>
        <v>5.8727356183907529E-4</v>
      </c>
      <c r="AC1155" s="16">
        <f t="shared" si="432"/>
        <v>1.6062180948776498E-3</v>
      </c>
    </row>
    <row r="1156" spans="1:29" x14ac:dyDescent="0.15">
      <c r="A1156" s="8">
        <v>42580</v>
      </c>
      <c r="B1156" s="4">
        <v>2173.6</v>
      </c>
      <c r="C1156" s="1">
        <v>12.0166</v>
      </c>
      <c r="D1156" s="1">
        <v>2.13</v>
      </c>
      <c r="E1156" s="1">
        <v>0.77600000000000002</v>
      </c>
      <c r="F1156" s="4">
        <f t="shared" si="422"/>
        <v>0.12016600000000001</v>
      </c>
      <c r="G1156" s="4">
        <f t="shared" si="423"/>
        <v>2.1299999999999999E-2</v>
      </c>
      <c r="H1156" s="4">
        <f t="shared" si="424"/>
        <v>7.7600000000000004E-3</v>
      </c>
      <c r="I1156" s="3">
        <f t="shared" si="425"/>
        <v>55.570635261616111</v>
      </c>
      <c r="J1156" s="4">
        <f t="shared" si="435"/>
        <v>1601527.7084868692</v>
      </c>
      <c r="K1156" s="1">
        <f t="shared" si="436"/>
        <v>2098.86</v>
      </c>
      <c r="L1156" s="5">
        <f t="shared" si="437"/>
        <v>0.16986301369863033</v>
      </c>
      <c r="M1156" s="5">
        <f t="shared" si="438"/>
        <v>-0.24583341375516285</v>
      </c>
      <c r="N1156" s="5">
        <f t="shared" si="439"/>
        <v>16.120092610416119</v>
      </c>
      <c r="O1156" s="1">
        <f t="shared" si="440"/>
        <v>0</v>
      </c>
      <c r="P1156" s="1">
        <f t="shared" si="441"/>
        <v>2098.86</v>
      </c>
      <c r="Q1156" s="5">
        <f t="shared" si="442"/>
        <v>0.16986301369863033</v>
      </c>
      <c r="R1156" s="5">
        <f t="shared" si="443"/>
        <v>-0.24583341375516285</v>
      </c>
      <c r="S1156" s="5">
        <f t="shared" si="426"/>
        <v>16.120092610416119</v>
      </c>
      <c r="T1156" s="5">
        <f t="shared" si="427"/>
        <v>-740.32375414452838</v>
      </c>
      <c r="U1156" s="4">
        <f t="shared" si="428"/>
        <v>1601553.5523175623</v>
      </c>
      <c r="V1156" s="4">
        <f t="shared" si="444"/>
        <v>25.84424773465874</v>
      </c>
      <c r="W1156" s="4">
        <f t="shared" si="429"/>
        <v>1589619.4648390615</v>
      </c>
      <c r="X1156" s="4">
        <f t="shared" si="433"/>
        <v>2074.2131747705862</v>
      </c>
      <c r="Y1156" s="9">
        <f>SUM($X$6:X1156)</f>
        <v>589619.46483906149</v>
      </c>
      <c r="Z1156" s="16">
        <f t="shared" si="434"/>
        <v>0.58961946483906147</v>
      </c>
      <c r="AA1156" s="16">
        <f t="shared" si="430"/>
        <v>0.70203436017101783</v>
      </c>
      <c r="AB1156" s="16">
        <f t="shared" si="431"/>
        <v>1.3065537329383845E-3</v>
      </c>
      <c r="AC1156" s="16">
        <f t="shared" si="432"/>
        <v>1.6312913007013464E-3</v>
      </c>
    </row>
    <row r="1157" spans="1:29" x14ac:dyDescent="0.15">
      <c r="A1157" s="8">
        <v>42583</v>
      </c>
      <c r="B1157" s="4">
        <v>2170.84</v>
      </c>
      <c r="C1157" s="1">
        <v>12.2157</v>
      </c>
      <c r="D1157" s="1">
        <v>2.14</v>
      </c>
      <c r="E1157" s="1">
        <v>0.77600000000000002</v>
      </c>
      <c r="F1157" s="4">
        <f t="shared" si="422"/>
        <v>0.122157</v>
      </c>
      <c r="G1157" s="4">
        <f t="shared" si="423"/>
        <v>2.1400000000000002E-2</v>
      </c>
      <c r="H1157" s="4">
        <f t="shared" si="424"/>
        <v>7.7600000000000004E-3</v>
      </c>
      <c r="I1157" s="3">
        <f t="shared" si="425"/>
        <v>56.383649417474366</v>
      </c>
      <c r="J1157" s="4">
        <f t="shared" si="435"/>
        <v>1601553.5523175623</v>
      </c>
      <c r="K1157" s="1">
        <f t="shared" si="436"/>
        <v>2098.86</v>
      </c>
      <c r="L1157" s="5">
        <f t="shared" si="437"/>
        <v>0.16164383561643855</v>
      </c>
      <c r="M1157" s="5">
        <f t="shared" si="438"/>
        <v>-0.25175697505887007</v>
      </c>
      <c r="N1157" s="5">
        <f t="shared" si="439"/>
        <v>16.472778653541699</v>
      </c>
      <c r="O1157" s="1">
        <f t="shared" si="440"/>
        <v>0</v>
      </c>
      <c r="P1157" s="1">
        <f t="shared" si="441"/>
        <v>2098.86</v>
      </c>
      <c r="Q1157" s="5">
        <f t="shared" si="442"/>
        <v>0.16164383561643855</v>
      </c>
      <c r="R1157" s="5">
        <f t="shared" si="443"/>
        <v>-0.25175697505887007</v>
      </c>
      <c r="S1157" s="5">
        <f t="shared" si="426"/>
        <v>16.472778653541699</v>
      </c>
      <c r="T1157" s="5">
        <f t="shared" si="427"/>
        <v>-740.32375414452838</v>
      </c>
      <c r="U1157" s="4">
        <f t="shared" si="428"/>
        <v>1601579.3965652969</v>
      </c>
      <c r="V1157" s="4">
        <f t="shared" si="444"/>
        <v>77.533994348791225</v>
      </c>
      <c r="W1157" s="4">
        <f t="shared" si="429"/>
        <v>1589384.2072313151</v>
      </c>
      <c r="X1157" s="4">
        <f t="shared" si="433"/>
        <v>-235.25760774640366</v>
      </c>
      <c r="Y1157" s="9">
        <f>SUM($X$6:X1157)</f>
        <v>589384.20723131509</v>
      </c>
      <c r="Z1157" s="16">
        <f t="shared" si="434"/>
        <v>0.58938420723131513</v>
      </c>
      <c r="AA1157" s="16">
        <f t="shared" si="430"/>
        <v>0.69987314613252327</v>
      </c>
      <c r="AB1157" s="16">
        <f t="shared" si="431"/>
        <v>-1.4799617955749047E-4</v>
      </c>
      <c r="AC1157" s="16">
        <f t="shared" si="432"/>
        <v>-1.2697828487301084E-3</v>
      </c>
    </row>
    <row r="1158" spans="1:29" x14ac:dyDescent="0.15">
      <c r="A1158" s="8">
        <v>42584</v>
      </c>
      <c r="B1158" s="4">
        <v>2157.0300000000002</v>
      </c>
      <c r="C1158" s="1">
        <v>12.930400000000001</v>
      </c>
      <c r="D1158" s="1">
        <v>2.15</v>
      </c>
      <c r="E1158" s="1">
        <v>0.78469999999999995</v>
      </c>
      <c r="F1158" s="4">
        <f t="shared" si="422"/>
        <v>0.129304</v>
      </c>
      <c r="G1158" s="4">
        <f t="shared" si="423"/>
        <v>2.1499999999999998E-2</v>
      </c>
      <c r="H1158" s="4">
        <f t="shared" si="424"/>
        <v>7.8469999999999998E-3</v>
      </c>
      <c r="I1158" s="3">
        <f t="shared" si="425"/>
        <v>59.080964927483677</v>
      </c>
      <c r="J1158" s="4">
        <f t="shared" si="435"/>
        <v>1601579.3965652969</v>
      </c>
      <c r="K1158" s="1">
        <f t="shared" si="436"/>
        <v>2098.86</v>
      </c>
      <c r="L1158" s="5">
        <f t="shared" si="437"/>
        <v>0.1589041095890413</v>
      </c>
      <c r="M1158" s="5">
        <f t="shared" si="438"/>
        <v>-0.30256938321194932</v>
      </c>
      <c r="N1158" s="5">
        <f t="shared" si="439"/>
        <v>22.036718718124209</v>
      </c>
      <c r="O1158" s="1">
        <f t="shared" si="440"/>
        <v>0</v>
      </c>
      <c r="P1158" s="1">
        <f t="shared" si="441"/>
        <v>2098.86</v>
      </c>
      <c r="Q1158" s="5">
        <f t="shared" si="442"/>
        <v>0.1589041095890413</v>
      </c>
      <c r="R1158" s="5">
        <f t="shared" si="443"/>
        <v>-0.30256938321194932</v>
      </c>
      <c r="S1158" s="5">
        <f t="shared" si="426"/>
        <v>22.036718718124209</v>
      </c>
      <c r="T1158" s="5">
        <f t="shared" si="427"/>
        <v>-740.32375414452838</v>
      </c>
      <c r="U1158" s="4">
        <f t="shared" si="428"/>
        <v>1601656.9305596456</v>
      </c>
      <c r="V1158" s="4">
        <f t="shared" si="444"/>
        <v>25.845915947935104</v>
      </c>
      <c r="W1158" s="4">
        <f t="shared" si="429"/>
        <v>1585342.6242292169</v>
      </c>
      <c r="X1158" s="4">
        <f t="shared" si="433"/>
        <v>-4041.5830020981375</v>
      </c>
      <c r="Y1158" s="9">
        <f>SUM($X$6:X1158)</f>
        <v>585342.62422921695</v>
      </c>
      <c r="Z1158" s="16">
        <f t="shared" si="434"/>
        <v>0.5853426242292169</v>
      </c>
      <c r="AA1158" s="16">
        <f t="shared" si="430"/>
        <v>0.68905924545440334</v>
      </c>
      <c r="AB1158" s="16">
        <f t="shared" si="431"/>
        <v>-2.5428609292264949E-3</v>
      </c>
      <c r="AC1158" s="16">
        <f t="shared" si="432"/>
        <v>-6.3615927475078517E-3</v>
      </c>
    </row>
    <row r="1159" spans="1:29" x14ac:dyDescent="0.15">
      <c r="A1159" s="8">
        <v>42585</v>
      </c>
      <c r="B1159" s="4">
        <v>2163.79</v>
      </c>
      <c r="C1159" s="1">
        <v>12.550699999999999</v>
      </c>
      <c r="D1159" s="1">
        <v>2.14</v>
      </c>
      <c r="E1159" s="1">
        <v>0.79449999999999998</v>
      </c>
      <c r="F1159" s="4">
        <f t="shared" ref="F1159:F1222" si="445">C1159/100</f>
        <v>0.12550699999999998</v>
      </c>
      <c r="G1159" s="4">
        <f t="shared" ref="G1159:G1222" si="446">D1159/100</f>
        <v>2.1400000000000002E-2</v>
      </c>
      <c r="H1159" s="4">
        <f t="shared" ref="H1159:H1222" si="447">E1159/100</f>
        <v>7.9450000000000007E-3</v>
      </c>
      <c r="I1159" s="3">
        <f t="shared" ref="I1159:I1222" si="448">BSM_Put(B1159,B1159,F1159,H1159,G1159,$B$3,$F$3)</f>
        <v>57.583176206966527</v>
      </c>
      <c r="J1159" s="4">
        <f t="shared" si="435"/>
        <v>1601656.9305596456</v>
      </c>
      <c r="K1159" s="1">
        <f t="shared" si="436"/>
        <v>2098.86</v>
      </c>
      <c r="L1159" s="5">
        <f t="shared" si="437"/>
        <v>0.15616438356164405</v>
      </c>
      <c r="M1159" s="5">
        <f t="shared" si="438"/>
        <v>-0.27442871694746584</v>
      </c>
      <c r="N1159" s="5">
        <f t="shared" si="439"/>
        <v>18.610194287647818</v>
      </c>
      <c r="O1159" s="1">
        <f t="shared" si="440"/>
        <v>0</v>
      </c>
      <c r="P1159" s="1">
        <f t="shared" si="441"/>
        <v>2098.86</v>
      </c>
      <c r="Q1159" s="5">
        <f t="shared" si="442"/>
        <v>0.15616438356164405</v>
      </c>
      <c r="R1159" s="5">
        <f t="shared" si="443"/>
        <v>-0.27442871694746584</v>
      </c>
      <c r="S1159" s="5">
        <f t="shared" ref="S1159:S1222" si="449">BSM_Put(B1159,P1159,F1159,H1159,G1159,Q1159,$F$3)</f>
        <v>18.610194287647818</v>
      </c>
      <c r="T1159" s="5">
        <f t="shared" si="427"/>
        <v>-740.32375414452838</v>
      </c>
      <c r="U1159" s="4">
        <f t="shared" si="428"/>
        <v>1601682.7764755937</v>
      </c>
      <c r="V1159" s="4">
        <f t="shared" si="444"/>
        <v>25.846333023126704</v>
      </c>
      <c r="W1159" s="4">
        <f t="shared" si="429"/>
        <v>1587905.2075752032</v>
      </c>
      <c r="X1159" s="4">
        <f t="shared" si="433"/>
        <v>2562.5833459862042</v>
      </c>
      <c r="Y1159" s="9">
        <f>SUM($X$6:X1159)</f>
        <v>587905.20757520315</v>
      </c>
      <c r="Z1159" s="16">
        <f t="shared" si="434"/>
        <v>0.58790520757520315</v>
      </c>
      <c r="AA1159" s="16">
        <f t="shared" si="430"/>
        <v>0.69435265375158572</v>
      </c>
      <c r="AB1159" s="16">
        <f t="shared" si="431"/>
        <v>1.6164224104124592E-3</v>
      </c>
      <c r="AC1159" s="16">
        <f t="shared" si="432"/>
        <v>3.1339387954732955E-3</v>
      </c>
    </row>
    <row r="1160" spans="1:29" x14ac:dyDescent="0.15">
      <c r="A1160" s="8">
        <v>42586</v>
      </c>
      <c r="B1160" s="4">
        <v>2164.25</v>
      </c>
      <c r="C1160" s="1">
        <v>12.362</v>
      </c>
      <c r="D1160" s="1">
        <v>2.14</v>
      </c>
      <c r="E1160" s="1">
        <v>0.80510000000000004</v>
      </c>
      <c r="F1160" s="4">
        <f t="shared" si="445"/>
        <v>0.12362000000000001</v>
      </c>
      <c r="G1160" s="4">
        <f t="shared" si="446"/>
        <v>2.1400000000000002E-2</v>
      </c>
      <c r="H1160" s="4">
        <f t="shared" si="447"/>
        <v>8.0510000000000009E-3</v>
      </c>
      <c r="I1160" s="3">
        <f t="shared" si="448"/>
        <v>56.755972259427544</v>
      </c>
      <c r="J1160" s="4">
        <f t="shared" si="435"/>
        <v>1601682.7764755937</v>
      </c>
      <c r="K1160" s="1">
        <f t="shared" si="436"/>
        <v>2098.86</v>
      </c>
      <c r="L1160" s="5">
        <f t="shared" si="437"/>
        <v>0.15342465753424681</v>
      </c>
      <c r="M1160" s="5">
        <f t="shared" si="438"/>
        <v>-0.26822687150712243</v>
      </c>
      <c r="N1160" s="5">
        <f t="shared" si="439"/>
        <v>17.612058985733952</v>
      </c>
      <c r="O1160" s="1">
        <f t="shared" si="440"/>
        <v>0</v>
      </c>
      <c r="P1160" s="1">
        <f t="shared" si="441"/>
        <v>2098.86</v>
      </c>
      <c r="Q1160" s="5">
        <f t="shared" si="442"/>
        <v>0.15342465753424681</v>
      </c>
      <c r="R1160" s="5">
        <f t="shared" si="443"/>
        <v>-0.26822687150712243</v>
      </c>
      <c r="S1160" s="5">
        <f t="shared" si="449"/>
        <v>17.612058985733952</v>
      </c>
      <c r="T1160" s="5">
        <f t="shared" ref="T1160:T1223" si="450">IF(O1160,-(J1160+IF(L1160&lt;=0.00001, MAX(K1160-B1160,0),N1160)*T1159)/P1160,T1159)</f>
        <v>-740.32375414452838</v>
      </c>
      <c r="U1160" s="4">
        <f t="shared" ref="U1160:U1223" si="451">IF(O1160,(J1160+IF(L1160&lt;=0.00001, MAX(K1160-B1160,0),N1160)*T1159)-(S1160*T1160),U1159)+V1159</f>
        <v>1601708.6228086168</v>
      </c>
      <c r="V1160" s="4">
        <f t="shared" si="444"/>
        <v>25.846750105048635</v>
      </c>
      <c r="W1160" s="4">
        <f t="shared" ref="W1160:W1223" si="452">S1160*T1160+U1160</f>
        <v>1588669.9971820833</v>
      </c>
      <c r="X1160" s="4">
        <f t="shared" si="433"/>
        <v>764.78960688016377</v>
      </c>
      <c r="Y1160" s="9">
        <f>SUM($X$6:X1160)</f>
        <v>588669.99718208332</v>
      </c>
      <c r="Z1160" s="16">
        <f t="shared" si="434"/>
        <v>0.58866999718208335</v>
      </c>
      <c r="AA1160" s="16">
        <f t="shared" ref="AA1160:AA1223" si="453">(B1160-$B$6)/$B$6</f>
        <v>0.69471285609133482</v>
      </c>
      <c r="AB1160" s="16">
        <f t="shared" ref="AB1160:AB1223" si="454">X1160/W1159</f>
        <v>4.8163429607238903E-4</v>
      </c>
      <c r="AC1160" s="16">
        <f t="shared" ref="AC1160:AC1223" si="455">(B1160-B1159)/B1159</f>
        <v>2.1258994634416298E-4</v>
      </c>
    </row>
    <row r="1161" spans="1:29" x14ac:dyDescent="0.15">
      <c r="A1161" s="8">
        <v>42587</v>
      </c>
      <c r="B1161" s="4">
        <v>2182.87</v>
      </c>
      <c r="C1161" s="1">
        <v>11.7271</v>
      </c>
      <c r="D1161" s="1">
        <v>2.12</v>
      </c>
      <c r="E1161" s="1">
        <v>0.81</v>
      </c>
      <c r="F1161" s="4">
        <f t="shared" si="445"/>
        <v>0.117271</v>
      </c>
      <c r="G1161" s="4">
        <f t="shared" si="446"/>
        <v>2.12E-2</v>
      </c>
      <c r="H1161" s="4">
        <f t="shared" si="447"/>
        <v>8.1000000000000013E-3</v>
      </c>
      <c r="I1161" s="3">
        <f t="shared" si="448"/>
        <v>54.429633950227732</v>
      </c>
      <c r="J1161" s="4">
        <f t="shared" si="435"/>
        <v>1601708.6228086168</v>
      </c>
      <c r="K1161" s="1">
        <f t="shared" si="436"/>
        <v>2098.86</v>
      </c>
      <c r="L1161" s="5">
        <f t="shared" si="437"/>
        <v>0.15068493150684956</v>
      </c>
      <c r="M1161" s="5">
        <f t="shared" si="438"/>
        <v>-0.1993884440794948</v>
      </c>
      <c r="N1161" s="5">
        <f t="shared" si="439"/>
        <v>11.303671269580031</v>
      </c>
      <c r="O1161" s="1">
        <f t="shared" si="440"/>
        <v>0</v>
      </c>
      <c r="P1161" s="1">
        <f t="shared" si="441"/>
        <v>2098.86</v>
      </c>
      <c r="Q1161" s="5">
        <f t="shared" si="442"/>
        <v>0.15068493150684956</v>
      </c>
      <c r="R1161" s="5">
        <f t="shared" si="443"/>
        <v>-0.1993884440794948</v>
      </c>
      <c r="S1161" s="5">
        <f t="shared" si="449"/>
        <v>11.303671269580031</v>
      </c>
      <c r="T1161" s="5">
        <f t="shared" si="450"/>
        <v>-740.32375414452838</v>
      </c>
      <c r="U1161" s="4">
        <f t="shared" si="451"/>
        <v>1601734.4695587219</v>
      </c>
      <c r="V1161" s="4">
        <f t="shared" si="444"/>
        <v>25.847167193701015</v>
      </c>
      <c r="W1161" s="4">
        <f t="shared" si="452"/>
        <v>1593366.0932088108</v>
      </c>
      <c r="X1161" s="4">
        <f t="shared" ref="X1161:X1224" si="456">W1161-W1160</f>
        <v>4696.0960267274641</v>
      </c>
      <c r="Y1161" s="9">
        <f>SUM($X$6:X1161)</f>
        <v>593366.09320881078</v>
      </c>
      <c r="Z1161" s="16">
        <f t="shared" si="434"/>
        <v>0.59336609320881073</v>
      </c>
      <c r="AA1161" s="16">
        <f t="shared" si="453"/>
        <v>0.70929322036552711</v>
      </c>
      <c r="AB1161" s="16">
        <f t="shared" si="454"/>
        <v>2.9559921412610573E-3</v>
      </c>
      <c r="AC1161" s="16">
        <f t="shared" si="455"/>
        <v>8.6034423010280196E-3</v>
      </c>
    </row>
    <row r="1162" spans="1:29" x14ac:dyDescent="0.15">
      <c r="A1162" s="8">
        <v>42590</v>
      </c>
      <c r="B1162" s="4">
        <v>2180.89</v>
      </c>
      <c r="C1162" s="1">
        <v>11.785</v>
      </c>
      <c r="D1162" s="1">
        <v>2.12</v>
      </c>
      <c r="E1162" s="1">
        <v>0.82440000000000002</v>
      </c>
      <c r="F1162" s="4">
        <f t="shared" si="445"/>
        <v>0.11785</v>
      </c>
      <c r="G1162" s="4">
        <f t="shared" si="446"/>
        <v>2.12E-2</v>
      </c>
      <c r="H1162" s="4">
        <f t="shared" si="447"/>
        <v>8.2439999999999996E-3</v>
      </c>
      <c r="I1162" s="3">
        <f t="shared" si="448"/>
        <v>54.588680958142291</v>
      </c>
      <c r="J1162" s="4">
        <f t="shared" si="435"/>
        <v>1601734.4695587219</v>
      </c>
      <c r="K1162" s="1">
        <f t="shared" si="436"/>
        <v>2098.86</v>
      </c>
      <c r="L1162" s="5">
        <f t="shared" si="437"/>
        <v>0.14246575342465778</v>
      </c>
      <c r="M1162" s="5">
        <f t="shared" si="438"/>
        <v>-0.19911329359658236</v>
      </c>
      <c r="N1162" s="5">
        <f t="shared" si="439"/>
        <v>11.009677382559468</v>
      </c>
      <c r="O1162" s="1">
        <f t="shared" si="440"/>
        <v>0</v>
      </c>
      <c r="P1162" s="1">
        <f t="shared" si="441"/>
        <v>2098.86</v>
      </c>
      <c r="Q1162" s="5">
        <f t="shared" si="442"/>
        <v>0.14246575342465778</v>
      </c>
      <c r="R1162" s="5">
        <f t="shared" si="443"/>
        <v>-0.19911329359658236</v>
      </c>
      <c r="S1162" s="5">
        <f t="shared" si="449"/>
        <v>11.009677382559468</v>
      </c>
      <c r="T1162" s="5">
        <f t="shared" si="450"/>
        <v>-740.32375414452838</v>
      </c>
      <c r="U1162" s="4">
        <f t="shared" si="451"/>
        <v>1601760.3167259155</v>
      </c>
      <c r="V1162" s="4">
        <f t="shared" si="444"/>
        <v>77.542752867251849</v>
      </c>
      <c r="W1162" s="4">
        <f t="shared" si="452"/>
        <v>1593609.591034139</v>
      </c>
      <c r="X1162" s="4">
        <f t="shared" si="456"/>
        <v>243.49782532826066</v>
      </c>
      <c r="Y1162" s="9">
        <f>SUM($X$6:X1162)</f>
        <v>593609.59103413904</v>
      </c>
      <c r="Z1162" s="16">
        <f t="shared" si="434"/>
        <v>0.59360959103413902</v>
      </c>
      <c r="AA1162" s="16">
        <f t="shared" si="453"/>
        <v>0.70774278420747649</v>
      </c>
      <c r="AB1162" s="16">
        <f t="shared" si="454"/>
        <v>1.5281976086104041E-4</v>
      </c>
      <c r="AC1162" s="16">
        <f t="shared" si="455"/>
        <v>-9.0706272018032145E-4</v>
      </c>
    </row>
    <row r="1163" spans="1:29" x14ac:dyDescent="0.15">
      <c r="A1163" s="8">
        <v>42591</v>
      </c>
      <c r="B1163" s="4">
        <v>2181.7399999999998</v>
      </c>
      <c r="C1163" s="1">
        <v>11.729100000000001</v>
      </c>
      <c r="D1163" s="1">
        <v>2.12</v>
      </c>
      <c r="E1163" s="1">
        <v>0.83350000000000002</v>
      </c>
      <c r="F1163" s="4">
        <f t="shared" si="445"/>
        <v>0.11729100000000001</v>
      </c>
      <c r="G1163" s="4">
        <f t="shared" si="446"/>
        <v>2.12E-2</v>
      </c>
      <c r="H1163" s="4">
        <f t="shared" si="447"/>
        <v>8.3350000000000004E-3</v>
      </c>
      <c r="I1163" s="3">
        <f t="shared" si="448"/>
        <v>54.342020707242412</v>
      </c>
      <c r="J1163" s="4">
        <f t="shared" si="435"/>
        <v>1601760.3167259155</v>
      </c>
      <c r="K1163" s="1">
        <f t="shared" si="436"/>
        <v>2098.86</v>
      </c>
      <c r="L1163" s="5">
        <f t="shared" si="437"/>
        <v>0.13972602739726053</v>
      </c>
      <c r="M1163" s="5">
        <f t="shared" si="438"/>
        <v>-0.19315013208698648</v>
      </c>
      <c r="N1163" s="5">
        <f t="shared" si="439"/>
        <v>10.437398596383652</v>
      </c>
      <c r="O1163" s="1">
        <f t="shared" si="440"/>
        <v>0</v>
      </c>
      <c r="P1163" s="1">
        <f t="shared" si="441"/>
        <v>2098.86</v>
      </c>
      <c r="Q1163" s="5">
        <f t="shared" si="442"/>
        <v>0.13972602739726053</v>
      </c>
      <c r="R1163" s="5">
        <f t="shared" si="443"/>
        <v>-0.19315013208698648</v>
      </c>
      <c r="S1163" s="5">
        <f t="shared" si="449"/>
        <v>10.437398596383652</v>
      </c>
      <c r="T1163" s="5">
        <f t="shared" si="450"/>
        <v>-740.32375414452838</v>
      </c>
      <c r="U1163" s="4">
        <f t="shared" si="451"/>
        <v>1601837.8594787829</v>
      </c>
      <c r="V1163" s="4">
        <f t="shared" si="444"/>
        <v>25.848835595424738</v>
      </c>
      <c r="W1163" s="4">
        <f t="shared" si="452"/>
        <v>1594110.8053664053</v>
      </c>
      <c r="X1163" s="4">
        <f t="shared" si="456"/>
        <v>501.21433226624504</v>
      </c>
      <c r="Y1163" s="9">
        <f>SUM($X$6:X1163)</f>
        <v>594110.80536640529</v>
      </c>
      <c r="Z1163" s="16">
        <f t="shared" si="434"/>
        <v>0.59411080536640526</v>
      </c>
      <c r="AA1163" s="16">
        <f t="shared" si="453"/>
        <v>0.70840837548744762</v>
      </c>
      <c r="AB1163" s="16">
        <f t="shared" si="454"/>
        <v>3.1451513286952085E-4</v>
      </c>
      <c r="AC1163" s="16">
        <f t="shared" si="455"/>
        <v>3.8974913911288928E-4</v>
      </c>
    </row>
    <row r="1164" spans="1:29" x14ac:dyDescent="0.15">
      <c r="A1164" s="8">
        <v>42592</v>
      </c>
      <c r="B1164" s="4">
        <v>2175.4899999999998</v>
      </c>
      <c r="C1164" s="1">
        <v>12.1143</v>
      </c>
      <c r="D1164" s="1">
        <v>2.13</v>
      </c>
      <c r="E1164" s="1">
        <v>0.83540000000000003</v>
      </c>
      <c r="F1164" s="4">
        <f t="shared" si="445"/>
        <v>0.121143</v>
      </c>
      <c r="G1164" s="4">
        <f t="shared" si="446"/>
        <v>2.1299999999999999E-2</v>
      </c>
      <c r="H1164" s="4">
        <f t="shared" si="447"/>
        <v>8.3540000000000003E-3</v>
      </c>
      <c r="I1164" s="3">
        <f t="shared" si="448"/>
        <v>55.868324797839222</v>
      </c>
      <c r="J1164" s="4">
        <f t="shared" si="435"/>
        <v>1601837.8594787829</v>
      </c>
      <c r="K1164" s="1">
        <f t="shared" si="436"/>
        <v>2098.86</v>
      </c>
      <c r="L1164" s="5">
        <f t="shared" si="437"/>
        <v>0.13698630136986328</v>
      </c>
      <c r="M1164" s="5">
        <f t="shared" si="438"/>
        <v>-0.21628671892846663</v>
      </c>
      <c r="N1164" s="5">
        <f t="shared" si="439"/>
        <v>12.319672607972135</v>
      </c>
      <c r="O1164" s="1">
        <f t="shared" si="440"/>
        <v>0</v>
      </c>
      <c r="P1164" s="1">
        <f t="shared" si="441"/>
        <v>2098.86</v>
      </c>
      <c r="Q1164" s="5">
        <f t="shared" si="442"/>
        <v>0.13698630136986328</v>
      </c>
      <c r="R1164" s="5">
        <f t="shared" si="443"/>
        <v>-0.21628671892846663</v>
      </c>
      <c r="S1164" s="5">
        <f t="shared" si="449"/>
        <v>12.319672607972135</v>
      </c>
      <c r="T1164" s="5">
        <f t="shared" si="450"/>
        <v>-740.32375414452838</v>
      </c>
      <c r="U1164" s="4">
        <f t="shared" si="451"/>
        <v>1601863.7083143783</v>
      </c>
      <c r="V1164" s="4">
        <f t="shared" si="444"/>
        <v>25.849252717730646</v>
      </c>
      <c r="W1164" s="4">
        <f t="shared" si="452"/>
        <v>1592743.1620394129</v>
      </c>
      <c r="X1164" s="4">
        <f t="shared" si="456"/>
        <v>-1367.6433269924019</v>
      </c>
      <c r="Y1164" s="9">
        <f>SUM($X$6:X1164)</f>
        <v>592743.16203941288</v>
      </c>
      <c r="Z1164" s="16">
        <f t="shared" si="434"/>
        <v>0.59274316203941291</v>
      </c>
      <c r="AA1164" s="16">
        <f t="shared" si="453"/>
        <v>0.7035143219582477</v>
      </c>
      <c r="AB1164" s="16">
        <f t="shared" si="454"/>
        <v>-8.579349204511853E-4</v>
      </c>
      <c r="AC1164" s="16">
        <f t="shared" si="455"/>
        <v>-2.8646859845811146E-3</v>
      </c>
    </row>
    <row r="1165" spans="1:29" x14ac:dyDescent="0.15">
      <c r="A1165" s="8">
        <v>42593</v>
      </c>
      <c r="B1165" s="4">
        <v>2185.79</v>
      </c>
      <c r="C1165" s="1">
        <v>12.0327</v>
      </c>
      <c r="D1165" s="1">
        <v>2.12</v>
      </c>
      <c r="E1165" s="1">
        <v>0.83520000000000005</v>
      </c>
      <c r="F1165" s="4">
        <f t="shared" si="445"/>
        <v>0.120327</v>
      </c>
      <c r="G1165" s="4">
        <f t="shared" si="446"/>
        <v>2.12E-2</v>
      </c>
      <c r="H1165" s="4">
        <f t="shared" si="447"/>
        <v>8.352E-3</v>
      </c>
      <c r="I1165" s="3">
        <f t="shared" si="448"/>
        <v>55.752494376064128</v>
      </c>
      <c r="J1165" s="4">
        <f t="shared" si="435"/>
        <v>1601863.7083143783</v>
      </c>
      <c r="K1165" s="1">
        <f t="shared" si="436"/>
        <v>2098.86</v>
      </c>
      <c r="L1165" s="5">
        <f t="shared" si="437"/>
        <v>0.13424657534246603</v>
      </c>
      <c r="M1165" s="5">
        <f t="shared" si="438"/>
        <v>-0.1826275735685807</v>
      </c>
      <c r="N1165" s="5">
        <f t="shared" si="439"/>
        <v>9.7906806871733156</v>
      </c>
      <c r="O1165" s="1">
        <f t="shared" si="440"/>
        <v>0</v>
      </c>
      <c r="P1165" s="1">
        <f t="shared" si="441"/>
        <v>2098.86</v>
      </c>
      <c r="Q1165" s="5">
        <f t="shared" si="442"/>
        <v>0.13424657534246603</v>
      </c>
      <c r="R1165" s="5">
        <f t="shared" si="443"/>
        <v>-0.1826275735685807</v>
      </c>
      <c r="S1165" s="5">
        <f t="shared" si="449"/>
        <v>9.7906806871733156</v>
      </c>
      <c r="T1165" s="5">
        <f t="shared" si="450"/>
        <v>-740.32375414452838</v>
      </c>
      <c r="U1165" s="4">
        <f t="shared" si="451"/>
        <v>1601889.5575670961</v>
      </c>
      <c r="V1165" s="4">
        <f t="shared" si="444"/>
        <v>25.849669846767657</v>
      </c>
      <c r="W1165" s="4">
        <f t="shared" si="452"/>
        <v>1594641.2840851375</v>
      </c>
      <c r="X1165" s="4">
        <f t="shared" si="456"/>
        <v>1898.1220457246527</v>
      </c>
      <c r="Y1165" s="9">
        <f>SUM($X$6:X1165)</f>
        <v>594641.28408513754</v>
      </c>
      <c r="Z1165" s="16">
        <f t="shared" si="434"/>
        <v>0.5946412840851375</v>
      </c>
      <c r="AA1165" s="16">
        <f t="shared" si="453"/>
        <v>0.71157972217436927</v>
      </c>
      <c r="AB1165" s="16">
        <f t="shared" si="454"/>
        <v>1.1917314046379082E-3</v>
      </c>
      <c r="AC1165" s="16">
        <f t="shared" si="455"/>
        <v>4.7345655461529046E-3</v>
      </c>
    </row>
    <row r="1166" spans="1:29" x14ac:dyDescent="0.15">
      <c r="A1166" s="8">
        <v>42594</v>
      </c>
      <c r="B1166" s="4">
        <v>2184.0500000000002</v>
      </c>
      <c r="C1166" s="1">
        <v>11.9857</v>
      </c>
      <c r="D1166" s="1">
        <v>2.12</v>
      </c>
      <c r="E1166" s="1">
        <v>0.83640000000000003</v>
      </c>
      <c r="F1166" s="4">
        <f t="shared" si="445"/>
        <v>0.11985699999999999</v>
      </c>
      <c r="G1166" s="4">
        <f t="shared" si="446"/>
        <v>2.12E-2</v>
      </c>
      <c r="H1166" s="4">
        <f t="shared" si="447"/>
        <v>8.3639999999999999E-3</v>
      </c>
      <c r="I1166" s="3">
        <f t="shared" si="448"/>
        <v>55.501292123817848</v>
      </c>
      <c r="J1166" s="4">
        <f t="shared" si="435"/>
        <v>1601889.5575670961</v>
      </c>
      <c r="K1166" s="1">
        <f t="shared" si="436"/>
        <v>2098.86</v>
      </c>
      <c r="L1166" s="5">
        <f t="shared" si="437"/>
        <v>0.13150684931506879</v>
      </c>
      <c r="M1166" s="5">
        <f t="shared" si="438"/>
        <v>-0.18400669000295092</v>
      </c>
      <c r="N1166" s="5">
        <f t="shared" si="439"/>
        <v>9.7344406152689622</v>
      </c>
      <c r="O1166" s="1">
        <f t="shared" si="440"/>
        <v>0</v>
      </c>
      <c r="P1166" s="1">
        <f t="shared" si="441"/>
        <v>2098.86</v>
      </c>
      <c r="Q1166" s="5">
        <f t="shared" si="442"/>
        <v>0.13150684931506879</v>
      </c>
      <c r="R1166" s="5">
        <f t="shared" si="443"/>
        <v>-0.18400669000295092</v>
      </c>
      <c r="S1166" s="5">
        <f t="shared" si="449"/>
        <v>9.7344406152689622</v>
      </c>
      <c r="T1166" s="5">
        <f t="shared" si="450"/>
        <v>-740.32375414452838</v>
      </c>
      <c r="U1166" s="4">
        <f t="shared" si="451"/>
        <v>1601915.4072369428</v>
      </c>
      <c r="V1166" s="4">
        <f t="shared" si="444"/>
        <v>25.850086982535867</v>
      </c>
      <c r="W1166" s="4">
        <f t="shared" si="452"/>
        <v>1594708.7696161498</v>
      </c>
      <c r="X1166" s="4">
        <f t="shared" si="456"/>
        <v>67.485531012294814</v>
      </c>
      <c r="Y1166" s="9">
        <f>SUM($X$6:X1166)</f>
        <v>594708.76961614983</v>
      </c>
      <c r="Z1166" s="16">
        <f t="shared" si="434"/>
        <v>0.59470876961614982</v>
      </c>
      <c r="AA1166" s="16">
        <f t="shared" si="453"/>
        <v>0.71021721767184021</v>
      </c>
      <c r="AB1166" s="16">
        <f t="shared" si="454"/>
        <v>4.2320195573647129E-5</v>
      </c>
      <c r="AC1166" s="16">
        <f t="shared" si="455"/>
        <v>-7.9605085575457004E-4</v>
      </c>
    </row>
    <row r="1167" spans="1:29" x14ac:dyDescent="0.15">
      <c r="A1167" s="8">
        <v>42597</v>
      </c>
      <c r="B1167" s="4">
        <v>2190.15</v>
      </c>
      <c r="C1167" s="1">
        <v>12.111800000000001</v>
      </c>
      <c r="D1167" s="1">
        <v>2.12</v>
      </c>
      <c r="E1167" s="1">
        <v>0.82199999999999995</v>
      </c>
      <c r="F1167" s="4">
        <f t="shared" si="445"/>
        <v>0.121118</v>
      </c>
      <c r="G1167" s="4">
        <f t="shared" si="446"/>
        <v>2.12E-2</v>
      </c>
      <c r="H1167" s="4">
        <f t="shared" si="447"/>
        <v>8.2199999999999999E-3</v>
      </c>
      <c r="I1167" s="3">
        <f t="shared" si="448"/>
        <v>56.245242556688375</v>
      </c>
      <c r="J1167" s="4">
        <f t="shared" si="435"/>
        <v>1601915.4072369428</v>
      </c>
      <c r="K1167" s="1">
        <f t="shared" si="436"/>
        <v>2098.86</v>
      </c>
      <c r="L1167" s="5">
        <f t="shared" si="437"/>
        <v>0.12328767123287701</v>
      </c>
      <c r="M1167" s="5">
        <f t="shared" si="438"/>
        <v>-0.1619445180256523</v>
      </c>
      <c r="N1167" s="5">
        <f t="shared" si="439"/>
        <v>8.1235430818014507</v>
      </c>
      <c r="O1167" s="1">
        <f t="shared" si="440"/>
        <v>0</v>
      </c>
      <c r="P1167" s="1">
        <f t="shared" si="441"/>
        <v>2098.86</v>
      </c>
      <c r="Q1167" s="5">
        <f t="shared" si="442"/>
        <v>0.12328767123287701</v>
      </c>
      <c r="R1167" s="5">
        <f t="shared" si="443"/>
        <v>-0.1619445180256523</v>
      </c>
      <c r="S1167" s="5">
        <f t="shared" si="449"/>
        <v>8.1235430818014507</v>
      </c>
      <c r="T1167" s="5">
        <f t="shared" si="450"/>
        <v>-740.32375414452838</v>
      </c>
      <c r="U1167" s="4">
        <f t="shared" si="451"/>
        <v>1601941.2573239254</v>
      </c>
      <c r="V1167" s="4">
        <f t="shared" si="444"/>
        <v>77.551512375106185</v>
      </c>
      <c r="W1167" s="4">
        <f t="shared" si="452"/>
        <v>1595927.2054126514</v>
      </c>
      <c r="X1167" s="4">
        <f t="shared" si="456"/>
        <v>1218.4357965015806</v>
      </c>
      <c r="Y1167" s="9">
        <f>SUM($X$6:X1167)</f>
        <v>595927.20541265141</v>
      </c>
      <c r="Z1167" s="16">
        <f t="shared" si="434"/>
        <v>0.59592720541265143</v>
      </c>
      <c r="AA1167" s="16">
        <f t="shared" si="453"/>
        <v>0.7149938139163392</v>
      </c>
      <c r="AB1167" s="16">
        <f t="shared" si="454"/>
        <v>7.6404909768876543E-4</v>
      </c>
      <c r="AC1167" s="16">
        <f t="shared" si="455"/>
        <v>2.7929763512739673E-3</v>
      </c>
    </row>
    <row r="1168" spans="1:29" x14ac:dyDescent="0.15">
      <c r="A1168" s="8">
        <v>42598</v>
      </c>
      <c r="B1168" s="4">
        <v>2178.15</v>
      </c>
      <c r="C1168" s="1">
        <v>12.574999999999999</v>
      </c>
      <c r="D1168" s="1">
        <v>2.13</v>
      </c>
      <c r="E1168" s="1">
        <v>0.81910000000000005</v>
      </c>
      <c r="F1168" s="4">
        <f t="shared" si="445"/>
        <v>0.12575</v>
      </c>
      <c r="G1168" s="4">
        <f t="shared" si="446"/>
        <v>2.1299999999999999E-2</v>
      </c>
      <c r="H1168" s="4">
        <f t="shared" si="447"/>
        <v>8.1910000000000004E-3</v>
      </c>
      <c r="I1168" s="3">
        <f t="shared" si="448"/>
        <v>57.971575948981325</v>
      </c>
      <c r="J1168" s="4">
        <f t="shared" si="435"/>
        <v>1601941.2573239254</v>
      </c>
      <c r="K1168" s="1">
        <f t="shared" si="436"/>
        <v>2098.86</v>
      </c>
      <c r="L1168" s="5">
        <f t="shared" si="437"/>
        <v>0.12054794520547975</v>
      </c>
      <c r="M1168" s="5">
        <f t="shared" si="438"/>
        <v>-0.20135436018851402</v>
      </c>
      <c r="N1168" s="5">
        <f t="shared" si="439"/>
        <v>10.94335010798557</v>
      </c>
      <c r="O1168" s="1">
        <f t="shared" si="440"/>
        <v>0</v>
      </c>
      <c r="P1168" s="1">
        <f t="shared" si="441"/>
        <v>2098.86</v>
      </c>
      <c r="Q1168" s="5">
        <f t="shared" si="442"/>
        <v>0.12054794520547975</v>
      </c>
      <c r="R1168" s="5">
        <f t="shared" si="443"/>
        <v>-0.20135436018851402</v>
      </c>
      <c r="S1168" s="5">
        <f t="shared" si="449"/>
        <v>10.94335010798557</v>
      </c>
      <c r="T1168" s="5">
        <f t="shared" si="450"/>
        <v>-740.32375414452838</v>
      </c>
      <c r="U1168" s="4">
        <f t="shared" si="451"/>
        <v>1602018.8088363004</v>
      </c>
      <c r="V1168" s="4">
        <f t="shared" si="444"/>
        <v>25.851755572728244</v>
      </c>
      <c r="W1168" s="4">
        <f t="shared" si="452"/>
        <v>1593917.1868014387</v>
      </c>
      <c r="X1168" s="4">
        <f t="shared" si="456"/>
        <v>-2010.0186112127267</v>
      </c>
      <c r="Y1168" s="9">
        <f>SUM($X$6:X1168)</f>
        <v>593917.18680143869</v>
      </c>
      <c r="Z1168" s="16">
        <f t="shared" si="434"/>
        <v>0.59391718680143868</v>
      </c>
      <c r="AA1168" s="16">
        <f t="shared" si="453"/>
        <v>0.7055972311402755</v>
      </c>
      <c r="AB1168" s="16">
        <f t="shared" si="454"/>
        <v>-1.2594676025295313E-3</v>
      </c>
      <c r="AC1168" s="16">
        <f t="shared" si="455"/>
        <v>-5.479076775563317E-3</v>
      </c>
    </row>
    <row r="1169" spans="1:29" x14ac:dyDescent="0.15">
      <c r="A1169" s="8">
        <v>42599</v>
      </c>
      <c r="B1169" s="4">
        <v>2182.2199999999998</v>
      </c>
      <c r="C1169" s="1">
        <v>12.372299999999999</v>
      </c>
      <c r="D1169" s="1">
        <v>2.12</v>
      </c>
      <c r="E1169" s="1">
        <v>0.82889999999999997</v>
      </c>
      <c r="F1169" s="4">
        <f t="shared" si="445"/>
        <v>0.12372299999999999</v>
      </c>
      <c r="G1169" s="4">
        <f t="shared" si="446"/>
        <v>2.12E-2</v>
      </c>
      <c r="H1169" s="4">
        <f t="shared" si="447"/>
        <v>8.2889999999999995E-3</v>
      </c>
      <c r="I1169" s="3">
        <f t="shared" si="448"/>
        <v>57.147743950984754</v>
      </c>
      <c r="J1169" s="4">
        <f t="shared" si="435"/>
        <v>1602018.8088363004</v>
      </c>
      <c r="K1169" s="1">
        <f t="shared" si="436"/>
        <v>2098.86</v>
      </c>
      <c r="L1169" s="5">
        <f t="shared" si="437"/>
        <v>0.11780821917808249</v>
      </c>
      <c r="M1169" s="5">
        <f t="shared" si="438"/>
        <v>-0.18291497935244583</v>
      </c>
      <c r="N1169" s="5">
        <f t="shared" si="439"/>
        <v>9.4258477471576736</v>
      </c>
      <c r="O1169" s="1">
        <f t="shared" si="440"/>
        <v>0</v>
      </c>
      <c r="P1169" s="1">
        <f t="shared" si="441"/>
        <v>2098.86</v>
      </c>
      <c r="Q1169" s="5">
        <f t="shared" si="442"/>
        <v>0.11780821917808249</v>
      </c>
      <c r="R1169" s="5">
        <f t="shared" si="443"/>
        <v>-0.18291497935244583</v>
      </c>
      <c r="S1169" s="5">
        <f t="shared" si="449"/>
        <v>9.4258477471576736</v>
      </c>
      <c r="T1169" s="5">
        <f t="shared" si="450"/>
        <v>-740.32375414452838</v>
      </c>
      <c r="U1169" s="4">
        <f t="shared" si="451"/>
        <v>1602044.6605918731</v>
      </c>
      <c r="V1169" s="4">
        <f t="shared" si="444"/>
        <v>25.852172742153787</v>
      </c>
      <c r="W1169" s="4">
        <f t="shared" si="452"/>
        <v>1595066.4816017025</v>
      </c>
      <c r="X1169" s="4">
        <f t="shared" si="456"/>
        <v>1149.2948002638295</v>
      </c>
      <c r="Y1169" s="9">
        <f>SUM($X$6:X1169)</f>
        <v>595066.48160170252</v>
      </c>
      <c r="Z1169" s="16">
        <f t="shared" si="434"/>
        <v>0.5950664816017025</v>
      </c>
      <c r="AA1169" s="16">
        <f t="shared" si="453"/>
        <v>0.70878423879849017</v>
      </c>
      <c r="AB1169" s="16">
        <f t="shared" si="454"/>
        <v>7.2105050988888187E-4</v>
      </c>
      <c r="AC1169" s="16">
        <f t="shared" si="455"/>
        <v>1.8685581801068378E-3</v>
      </c>
    </row>
    <row r="1170" spans="1:29" x14ac:dyDescent="0.15">
      <c r="A1170" s="8">
        <v>42600</v>
      </c>
      <c r="B1170" s="4">
        <v>2187.02</v>
      </c>
      <c r="C1170" s="1">
        <v>12.0715</v>
      </c>
      <c r="D1170" s="1">
        <v>2.12</v>
      </c>
      <c r="E1170" s="1">
        <v>0.82899999999999996</v>
      </c>
      <c r="F1170" s="4">
        <f t="shared" si="445"/>
        <v>0.120715</v>
      </c>
      <c r="G1170" s="4">
        <f t="shared" si="446"/>
        <v>2.12E-2</v>
      </c>
      <c r="H1170" s="4">
        <f t="shared" si="447"/>
        <v>8.2899999999999988E-3</v>
      </c>
      <c r="I1170" s="3">
        <f t="shared" si="448"/>
        <v>55.969952827925816</v>
      </c>
      <c r="J1170" s="4">
        <f t="shared" si="435"/>
        <v>1602044.6605918731</v>
      </c>
      <c r="K1170" s="1">
        <f t="shared" si="436"/>
        <v>2098.86</v>
      </c>
      <c r="L1170" s="5">
        <f t="shared" si="437"/>
        <v>0.11506849315068522</v>
      </c>
      <c r="M1170" s="5">
        <f t="shared" si="438"/>
        <v>-0.16093726508941714</v>
      </c>
      <c r="N1170" s="5">
        <f t="shared" si="439"/>
        <v>7.7439005806721699</v>
      </c>
      <c r="O1170" s="1">
        <f t="shared" si="440"/>
        <v>0</v>
      </c>
      <c r="P1170" s="1">
        <f t="shared" si="441"/>
        <v>2098.86</v>
      </c>
      <c r="Q1170" s="5">
        <f t="shared" si="442"/>
        <v>0.11506849315068522</v>
      </c>
      <c r="R1170" s="5">
        <f t="shared" si="443"/>
        <v>-0.16093726508941714</v>
      </c>
      <c r="S1170" s="5">
        <f t="shared" si="449"/>
        <v>7.7439005806721699</v>
      </c>
      <c r="T1170" s="5">
        <f t="shared" si="450"/>
        <v>-740.32375414452838</v>
      </c>
      <c r="U1170" s="4">
        <f t="shared" si="451"/>
        <v>1602070.5127646152</v>
      </c>
      <c r="V1170" s="4">
        <f t="shared" si="444"/>
        <v>25.852589918311185</v>
      </c>
      <c r="W1170" s="4">
        <f t="shared" si="452"/>
        <v>1596337.5192150101</v>
      </c>
      <c r="X1170" s="4">
        <f t="shared" si="456"/>
        <v>1271.0376133075915</v>
      </c>
      <c r="Y1170" s="9">
        <f>SUM($X$6:X1170)</f>
        <v>596337.51921501011</v>
      </c>
      <c r="Z1170" s="16">
        <f t="shared" ref="Z1170:Z1233" si="457">Y1170/$H$3</f>
        <v>0.5963375192150101</v>
      </c>
      <c r="AA1170" s="16">
        <f t="shared" si="453"/>
        <v>0.71254287190891585</v>
      </c>
      <c r="AB1170" s="16">
        <f t="shared" si="454"/>
        <v>7.9685557183250817E-4</v>
      </c>
      <c r="AC1170" s="16">
        <f t="shared" si="455"/>
        <v>2.1995949079378716E-3</v>
      </c>
    </row>
    <row r="1171" spans="1:29" x14ac:dyDescent="0.15">
      <c r="A1171" s="8">
        <v>42601</v>
      </c>
      <c r="B1171" s="4">
        <v>2183.87</v>
      </c>
      <c r="C1171" s="1">
        <v>11.958500000000001</v>
      </c>
      <c r="D1171" s="1">
        <v>2.12</v>
      </c>
      <c r="E1171" s="1">
        <v>0.83530000000000004</v>
      </c>
      <c r="F1171" s="4">
        <f t="shared" si="445"/>
        <v>0.11958500000000001</v>
      </c>
      <c r="G1171" s="4">
        <f t="shared" si="446"/>
        <v>2.12E-2</v>
      </c>
      <c r="H1171" s="4">
        <f t="shared" si="447"/>
        <v>8.353000000000001E-3</v>
      </c>
      <c r="I1171" s="3">
        <f t="shared" si="448"/>
        <v>55.382235811696717</v>
      </c>
      <c r="J1171" s="4">
        <f t="shared" si="435"/>
        <v>1602070.5127646152</v>
      </c>
      <c r="K1171" s="1">
        <f t="shared" si="436"/>
        <v>2098.86</v>
      </c>
      <c r="L1171" s="5">
        <f t="shared" si="437"/>
        <v>0.11232876712328796</v>
      </c>
      <c r="M1171" s="5">
        <f t="shared" si="438"/>
        <v>-0.16446980231165678</v>
      </c>
      <c r="N1171" s="5">
        <f t="shared" si="439"/>
        <v>7.7745810498681927</v>
      </c>
      <c r="O1171" s="1">
        <f t="shared" si="440"/>
        <v>0</v>
      </c>
      <c r="P1171" s="1">
        <f t="shared" si="441"/>
        <v>2098.86</v>
      </c>
      <c r="Q1171" s="5">
        <f t="shared" si="442"/>
        <v>0.11232876712328796</v>
      </c>
      <c r="R1171" s="5">
        <f t="shared" si="443"/>
        <v>-0.16446980231165678</v>
      </c>
      <c r="S1171" s="5">
        <f t="shared" si="449"/>
        <v>7.7745810498681927</v>
      </c>
      <c r="T1171" s="5">
        <f t="shared" si="450"/>
        <v>-740.32375414452838</v>
      </c>
      <c r="U1171" s="4">
        <f t="shared" si="451"/>
        <v>1602096.3653545335</v>
      </c>
      <c r="V1171" s="4">
        <f t="shared" si="444"/>
        <v>25.853007101200554</v>
      </c>
      <c r="W1171" s="4">
        <f t="shared" si="452"/>
        <v>1596340.6583247941</v>
      </c>
      <c r="X1171" s="4">
        <f t="shared" si="456"/>
        <v>3.1391097840387374</v>
      </c>
      <c r="Y1171" s="9">
        <f>SUM($X$6:X1171)</f>
        <v>596340.65832479415</v>
      </c>
      <c r="Z1171" s="16">
        <f t="shared" si="457"/>
        <v>0.5963406583247941</v>
      </c>
      <c r="AA1171" s="16">
        <f t="shared" si="453"/>
        <v>0.71007626893019904</v>
      </c>
      <c r="AB1171" s="16">
        <f t="shared" si="454"/>
        <v>1.9664449067026731E-6</v>
      </c>
      <c r="AC1171" s="16">
        <f t="shared" si="455"/>
        <v>-1.4403160464925291E-3</v>
      </c>
    </row>
    <row r="1172" spans="1:29" x14ac:dyDescent="0.15">
      <c r="A1172" s="8">
        <v>42604</v>
      </c>
      <c r="B1172" s="4">
        <v>2182.64</v>
      </c>
      <c r="C1172" s="1">
        <v>12.190099999999999</v>
      </c>
      <c r="D1172" s="1">
        <v>2.12</v>
      </c>
      <c r="E1172" s="1">
        <v>0.84360000000000002</v>
      </c>
      <c r="F1172" s="4">
        <f t="shared" si="445"/>
        <v>0.121901</v>
      </c>
      <c r="G1172" s="4">
        <f t="shared" si="446"/>
        <v>2.12E-2</v>
      </c>
      <c r="H1172" s="4">
        <f t="shared" si="447"/>
        <v>8.4360000000000008E-3</v>
      </c>
      <c r="I1172" s="3">
        <f t="shared" si="448"/>
        <v>56.328389600274718</v>
      </c>
      <c r="J1172" s="4">
        <f t="shared" si="435"/>
        <v>1602096.3653545335</v>
      </c>
      <c r="K1172" s="1">
        <f t="shared" si="436"/>
        <v>2098.86</v>
      </c>
      <c r="L1172" s="5">
        <f t="shared" si="437"/>
        <v>0.10410958904109618</v>
      </c>
      <c r="M1172" s="5">
        <f t="shared" si="438"/>
        <v>-0.16293506307205666</v>
      </c>
      <c r="N1172" s="5">
        <f t="shared" si="439"/>
        <v>7.5331725101107851</v>
      </c>
      <c r="O1172" s="1">
        <f t="shared" si="440"/>
        <v>0</v>
      </c>
      <c r="P1172" s="1">
        <f t="shared" si="441"/>
        <v>2098.86</v>
      </c>
      <c r="Q1172" s="5">
        <f t="shared" si="442"/>
        <v>0.10410958904109618</v>
      </c>
      <c r="R1172" s="5">
        <f t="shared" si="443"/>
        <v>-0.16293506307205666</v>
      </c>
      <c r="S1172" s="5">
        <f t="shared" si="449"/>
        <v>7.5331725101107851</v>
      </c>
      <c r="T1172" s="5">
        <f t="shared" si="450"/>
        <v>-740.32375414452838</v>
      </c>
      <c r="U1172" s="4">
        <f t="shared" si="451"/>
        <v>1602122.2183616348</v>
      </c>
      <c r="V1172" s="4">
        <f t="shared" si="444"/>
        <v>77.560272872465987</v>
      </c>
      <c r="W1172" s="4">
        <f t="shared" si="452"/>
        <v>1596545.2318083311</v>
      </c>
      <c r="X1172" s="4">
        <f t="shared" si="456"/>
        <v>204.57348353695124</v>
      </c>
      <c r="Y1172" s="9">
        <f>SUM($X$6:X1172)</f>
        <v>596545.2318083311</v>
      </c>
      <c r="Z1172" s="16">
        <f t="shared" si="457"/>
        <v>0.59654523180833108</v>
      </c>
      <c r="AA1172" s="16">
        <f t="shared" si="453"/>
        <v>0.70911311919565245</v>
      </c>
      <c r="AB1172" s="16">
        <f t="shared" si="454"/>
        <v>1.2815152108675313E-4</v>
      </c>
      <c r="AC1172" s="16">
        <f t="shared" si="455"/>
        <v>-5.6322033820695291E-4</v>
      </c>
    </row>
    <row r="1173" spans="1:29" x14ac:dyDescent="0.15">
      <c r="A1173" s="8">
        <v>42605</v>
      </c>
      <c r="B1173" s="4">
        <v>2186.9</v>
      </c>
      <c r="C1173" s="1">
        <v>12.0916</v>
      </c>
      <c r="D1173" s="1">
        <v>2.12</v>
      </c>
      <c r="E1173" s="1">
        <v>0.84379999999999999</v>
      </c>
      <c r="F1173" s="4">
        <f t="shared" si="445"/>
        <v>0.120916</v>
      </c>
      <c r="G1173" s="4">
        <f t="shared" si="446"/>
        <v>2.12E-2</v>
      </c>
      <c r="H1173" s="4">
        <f t="shared" si="447"/>
        <v>8.4379999999999993E-3</v>
      </c>
      <c r="I1173" s="3">
        <f t="shared" si="448"/>
        <v>56.011025259488555</v>
      </c>
      <c r="J1173" s="4">
        <f t="shared" si="435"/>
        <v>1602122.2183616348</v>
      </c>
      <c r="K1173" s="1">
        <f t="shared" si="436"/>
        <v>2098.86</v>
      </c>
      <c r="L1173" s="5">
        <f t="shared" si="437"/>
        <v>0.10136986301369892</v>
      </c>
      <c r="M1173" s="5">
        <f t="shared" si="438"/>
        <v>-0.14585881839387316</v>
      </c>
      <c r="N1173" s="5">
        <f t="shared" si="439"/>
        <v>6.4310555738038717</v>
      </c>
      <c r="O1173" s="1">
        <f t="shared" si="440"/>
        <v>0</v>
      </c>
      <c r="P1173" s="1">
        <f t="shared" si="441"/>
        <v>2098.86</v>
      </c>
      <c r="Q1173" s="5">
        <f t="shared" si="442"/>
        <v>0.10136986301369892</v>
      </c>
      <c r="R1173" s="5">
        <f t="shared" si="443"/>
        <v>-0.14585881839387316</v>
      </c>
      <c r="S1173" s="5">
        <f t="shared" si="449"/>
        <v>6.4310555738038717</v>
      </c>
      <c r="T1173" s="5">
        <f t="shared" si="450"/>
        <v>-740.32375414452838</v>
      </c>
      <c r="U1173" s="4">
        <f t="shared" si="451"/>
        <v>1602199.7786345072</v>
      </c>
      <c r="V1173" s="4">
        <f t="shared" si="444"/>
        <v>25.854675879882869</v>
      </c>
      <c r="W1173" s="4">
        <f t="shared" si="452"/>
        <v>1597438.7154289966</v>
      </c>
      <c r="X1173" s="4">
        <f t="shared" si="456"/>
        <v>893.4836206655018</v>
      </c>
      <c r="Y1173" s="9">
        <f>SUM($X$6:X1173)</f>
        <v>597438.7154289966</v>
      </c>
      <c r="Z1173" s="16">
        <f t="shared" si="457"/>
        <v>0.59743871542899663</v>
      </c>
      <c r="AA1173" s="16">
        <f t="shared" si="453"/>
        <v>0.7124489060811553</v>
      </c>
      <c r="AB1173" s="16">
        <f t="shared" si="454"/>
        <v>5.5963564505685521E-4</v>
      </c>
      <c r="AC1173" s="16">
        <f t="shared" si="455"/>
        <v>1.951764835245491E-3</v>
      </c>
    </row>
    <row r="1174" spans="1:29" x14ac:dyDescent="0.15">
      <c r="A1174" s="8">
        <v>42606</v>
      </c>
      <c r="B1174" s="4">
        <v>2175.44</v>
      </c>
      <c r="C1174" s="1">
        <v>12.6531</v>
      </c>
      <c r="D1174" s="1">
        <v>2.13</v>
      </c>
      <c r="E1174" s="1">
        <v>0.84340000000000004</v>
      </c>
      <c r="F1174" s="4">
        <f t="shared" si="445"/>
        <v>0.126531</v>
      </c>
      <c r="G1174" s="4">
        <f t="shared" si="446"/>
        <v>2.1299999999999999E-2</v>
      </c>
      <c r="H1174" s="4">
        <f t="shared" si="447"/>
        <v>8.4340000000000005E-3</v>
      </c>
      <c r="I1174" s="3">
        <f t="shared" si="448"/>
        <v>58.165924031800849</v>
      </c>
      <c r="J1174" s="4">
        <f t="shared" si="435"/>
        <v>1602199.7786345072</v>
      </c>
      <c r="K1174" s="1">
        <f t="shared" si="436"/>
        <v>2098.86</v>
      </c>
      <c r="L1174" s="5">
        <f t="shared" si="437"/>
        <v>9.8630136986301659E-2</v>
      </c>
      <c r="M1174" s="5">
        <f t="shared" si="438"/>
        <v>-0.18640382306895029</v>
      </c>
      <c r="N1174" s="5">
        <f t="shared" si="439"/>
        <v>8.9942976391277831</v>
      </c>
      <c r="O1174" s="1">
        <f t="shared" si="440"/>
        <v>0</v>
      </c>
      <c r="P1174" s="1">
        <f t="shared" si="441"/>
        <v>2098.86</v>
      </c>
      <c r="Q1174" s="5">
        <f t="shared" si="442"/>
        <v>9.8630136986301659E-2</v>
      </c>
      <c r="R1174" s="5">
        <f t="shared" si="443"/>
        <v>-0.18640382306895029</v>
      </c>
      <c r="S1174" s="5">
        <f t="shared" si="449"/>
        <v>8.9942976391277831</v>
      </c>
      <c r="T1174" s="5">
        <f t="shared" si="450"/>
        <v>-740.32375414452838</v>
      </c>
      <c r="U1174" s="4">
        <f t="shared" si="451"/>
        <v>1602225.6333103871</v>
      </c>
      <c r="V1174" s="4">
        <f t="shared" si="444"/>
        <v>25.855093096433368</v>
      </c>
      <c r="W1174" s="4">
        <f t="shared" si="452"/>
        <v>1595566.9411162948</v>
      </c>
      <c r="X1174" s="4">
        <f t="shared" si="456"/>
        <v>-1871.7743127017748</v>
      </c>
      <c r="Y1174" s="9">
        <f>SUM($X$6:X1174)</f>
        <v>595566.94111629482</v>
      </c>
      <c r="Z1174" s="16">
        <f t="shared" si="457"/>
        <v>0.59556694111629482</v>
      </c>
      <c r="AA1174" s="16">
        <f t="shared" si="453"/>
        <v>0.70347516953001432</v>
      </c>
      <c r="AB1174" s="16">
        <f t="shared" si="454"/>
        <v>-1.1717346616324524E-3</v>
      </c>
      <c r="AC1174" s="16">
        <f t="shared" si="455"/>
        <v>-5.2402944807718854E-3</v>
      </c>
    </row>
    <row r="1175" spans="1:29" x14ac:dyDescent="0.15">
      <c r="A1175" s="8">
        <v>42607</v>
      </c>
      <c r="B1175" s="4">
        <v>2172.4699999999998</v>
      </c>
      <c r="C1175" s="1">
        <v>12.6638</v>
      </c>
      <c r="D1175" s="1">
        <v>2.13</v>
      </c>
      <c r="E1175" s="1">
        <v>0.8478</v>
      </c>
      <c r="F1175" s="4">
        <f t="shared" si="445"/>
        <v>0.126638</v>
      </c>
      <c r="G1175" s="4">
        <f t="shared" si="446"/>
        <v>2.1299999999999999E-2</v>
      </c>
      <c r="H1175" s="4">
        <f t="shared" si="447"/>
        <v>8.4779999999999994E-3</v>
      </c>
      <c r="I1175" s="3">
        <f t="shared" si="448"/>
        <v>58.119893904972031</v>
      </c>
      <c r="J1175" s="4">
        <f t="shared" si="435"/>
        <v>1602225.6333103871</v>
      </c>
      <c r="K1175" s="1">
        <f t="shared" si="436"/>
        <v>2098.86</v>
      </c>
      <c r="L1175" s="5">
        <f t="shared" si="437"/>
        <v>9.5890410958904396E-2</v>
      </c>
      <c r="M1175" s="5">
        <f t="shared" si="438"/>
        <v>-0.1925042912840737</v>
      </c>
      <c r="N1175" s="5">
        <f t="shared" si="439"/>
        <v>9.2333058349349741</v>
      </c>
      <c r="O1175" s="1">
        <f t="shared" si="440"/>
        <v>0</v>
      </c>
      <c r="P1175" s="1">
        <f t="shared" si="441"/>
        <v>2098.86</v>
      </c>
      <c r="Q1175" s="5">
        <f t="shared" si="442"/>
        <v>9.5890410958904396E-2</v>
      </c>
      <c r="R1175" s="5">
        <f t="shared" si="443"/>
        <v>-0.1925042912840737</v>
      </c>
      <c r="S1175" s="5">
        <f t="shared" si="449"/>
        <v>9.2333058349349741</v>
      </c>
      <c r="T1175" s="5">
        <f t="shared" si="450"/>
        <v>-740.32375414452838</v>
      </c>
      <c r="U1175" s="4">
        <f t="shared" si="451"/>
        <v>1602251.4884034835</v>
      </c>
      <c r="V1175" s="4">
        <f t="shared" si="444"/>
        <v>25.855510319716487</v>
      </c>
      <c r="W1175" s="4">
        <f t="shared" si="452"/>
        <v>1595415.8527646</v>
      </c>
      <c r="X1175" s="4">
        <f t="shared" si="456"/>
        <v>-151.08835169486701</v>
      </c>
      <c r="Y1175" s="9">
        <f>SUM($X$6:X1175)</f>
        <v>595415.85276459996</v>
      </c>
      <c r="Z1175" s="16">
        <f t="shared" si="457"/>
        <v>0.59541585276459996</v>
      </c>
      <c r="AA1175" s="16">
        <f t="shared" si="453"/>
        <v>0.70114951529293834</v>
      </c>
      <c r="AB1175" s="16">
        <f t="shared" si="454"/>
        <v>-9.4692580926226876E-5</v>
      </c>
      <c r="AC1175" s="16">
        <f t="shared" si="455"/>
        <v>-1.3652410546833075E-3</v>
      </c>
    </row>
    <row r="1176" spans="1:29" x14ac:dyDescent="0.15">
      <c r="A1176" s="8">
        <v>42608</v>
      </c>
      <c r="B1176" s="4">
        <v>2169.04</v>
      </c>
      <c r="C1176" s="1">
        <v>12.850199999999999</v>
      </c>
      <c r="D1176" s="1">
        <v>2.14</v>
      </c>
      <c r="E1176" s="1">
        <v>0.8427</v>
      </c>
      <c r="F1176" s="4">
        <f t="shared" si="445"/>
        <v>0.12850200000000001</v>
      </c>
      <c r="G1176" s="4">
        <f t="shared" si="446"/>
        <v>2.1400000000000002E-2</v>
      </c>
      <c r="H1176" s="4">
        <f t="shared" si="447"/>
        <v>8.4270000000000005E-3</v>
      </c>
      <c r="I1176" s="3">
        <f t="shared" si="448"/>
        <v>58.871049839636697</v>
      </c>
      <c r="J1176" s="4">
        <f t="shared" si="435"/>
        <v>1602251.4884034835</v>
      </c>
      <c r="K1176" s="1">
        <f t="shared" si="436"/>
        <v>2098.86</v>
      </c>
      <c r="L1176" s="5">
        <f t="shared" si="437"/>
        <v>9.3150684931507133E-2</v>
      </c>
      <c r="M1176" s="5">
        <f t="shared" si="438"/>
        <v>-0.20359389184355825</v>
      </c>
      <c r="N1176" s="5">
        <f t="shared" si="439"/>
        <v>9.9065114600973718</v>
      </c>
      <c r="O1176" s="1">
        <f t="shared" si="440"/>
        <v>0</v>
      </c>
      <c r="P1176" s="1">
        <f t="shared" si="441"/>
        <v>2098.86</v>
      </c>
      <c r="Q1176" s="5">
        <f t="shared" si="442"/>
        <v>9.3150684931507133E-2</v>
      </c>
      <c r="R1176" s="5">
        <f t="shared" si="443"/>
        <v>-0.20359389184355825</v>
      </c>
      <c r="S1176" s="5">
        <f t="shared" si="449"/>
        <v>9.9065114600973718</v>
      </c>
      <c r="T1176" s="5">
        <f t="shared" si="450"/>
        <v>-740.32375414452838</v>
      </c>
      <c r="U1176" s="4">
        <f t="shared" si="451"/>
        <v>1602277.3439138033</v>
      </c>
      <c r="V1176" s="4">
        <f t="shared" si="444"/>
        <v>25.855927549732332</v>
      </c>
      <c r="W1176" s="4">
        <f t="shared" si="452"/>
        <v>1594943.3181591884</v>
      </c>
      <c r="X1176" s="4">
        <f t="shared" si="456"/>
        <v>-472.53460541157983</v>
      </c>
      <c r="Y1176" s="9">
        <f>SUM($X$6:X1176)</f>
        <v>594943.31815918838</v>
      </c>
      <c r="Z1176" s="16">
        <f t="shared" si="457"/>
        <v>0.59494331815918833</v>
      </c>
      <c r="AA1176" s="16">
        <f t="shared" si="453"/>
        <v>0.6984636587161136</v>
      </c>
      <c r="AB1176" s="16">
        <f t="shared" si="454"/>
        <v>-2.9618271912790206E-4</v>
      </c>
      <c r="AC1176" s="16">
        <f t="shared" si="455"/>
        <v>-1.578848039328431E-3</v>
      </c>
    </row>
    <row r="1177" spans="1:29" x14ac:dyDescent="0.15">
      <c r="A1177" s="8">
        <v>42611</v>
      </c>
      <c r="B1177" s="4">
        <v>2180.38</v>
      </c>
      <c r="C1177" s="1">
        <v>12.4627</v>
      </c>
      <c r="D1177" s="1">
        <v>2.13</v>
      </c>
      <c r="E1177" s="1">
        <v>0.8427</v>
      </c>
      <c r="F1177" s="4">
        <f t="shared" si="445"/>
        <v>0.124627</v>
      </c>
      <c r="G1177" s="4">
        <f t="shared" si="446"/>
        <v>2.1299999999999999E-2</v>
      </c>
      <c r="H1177" s="4">
        <f t="shared" si="447"/>
        <v>8.4270000000000005E-3</v>
      </c>
      <c r="I1177" s="3">
        <f t="shared" si="448"/>
        <v>57.477614413442474</v>
      </c>
      <c r="J1177" s="4">
        <f t="shared" si="435"/>
        <v>1602277.3439138033</v>
      </c>
      <c r="K1177" s="1">
        <f t="shared" si="436"/>
        <v>2098.86</v>
      </c>
      <c r="L1177" s="5">
        <f t="shared" si="437"/>
        <v>8.4931506849315358E-2</v>
      </c>
      <c r="M1177" s="5">
        <f t="shared" si="438"/>
        <v>-0.14955107027542655</v>
      </c>
      <c r="N1177" s="5">
        <f t="shared" si="439"/>
        <v>6.2335395997977709</v>
      </c>
      <c r="O1177" s="1">
        <f t="shared" si="440"/>
        <v>0</v>
      </c>
      <c r="P1177" s="1">
        <f t="shared" si="441"/>
        <v>2098.86</v>
      </c>
      <c r="Q1177" s="5">
        <f t="shared" si="442"/>
        <v>8.4931506849315358E-2</v>
      </c>
      <c r="R1177" s="5">
        <f t="shared" si="443"/>
        <v>-0.14955107027542655</v>
      </c>
      <c r="S1177" s="5">
        <f t="shared" si="449"/>
        <v>6.2335395997977709</v>
      </c>
      <c r="T1177" s="5">
        <f t="shared" si="450"/>
        <v>-740.32375414452838</v>
      </c>
      <c r="U1177" s="4">
        <f t="shared" si="451"/>
        <v>1602303.1998413531</v>
      </c>
      <c r="V1177" s="4">
        <f t="shared" si="444"/>
        <v>77.569034359443037</v>
      </c>
      <c r="W1177" s="4">
        <f t="shared" si="452"/>
        <v>1597688.3624032224</v>
      </c>
      <c r="X1177" s="4">
        <f t="shared" si="456"/>
        <v>2745.044244033983</v>
      </c>
      <c r="Y1177" s="9">
        <f>SUM($X$6:X1177)</f>
        <v>597688.36240322236</v>
      </c>
      <c r="Z1177" s="16">
        <f t="shared" si="457"/>
        <v>0.59768836240322232</v>
      </c>
      <c r="AA1177" s="16">
        <f t="shared" si="453"/>
        <v>0.70734342943949402</v>
      </c>
      <c r="AB1177" s="16">
        <f t="shared" si="454"/>
        <v>1.7210920368017776E-3</v>
      </c>
      <c r="AC1177" s="16">
        <f t="shared" si="455"/>
        <v>5.2281193523402731E-3</v>
      </c>
    </row>
    <row r="1178" spans="1:29" x14ac:dyDescent="0.15">
      <c r="A1178" s="8">
        <v>42612</v>
      </c>
      <c r="B1178" s="4">
        <v>2176.12</v>
      </c>
      <c r="C1178" s="1">
        <v>12.6046</v>
      </c>
      <c r="D1178" s="1">
        <v>2.13</v>
      </c>
      <c r="E1178" s="1">
        <v>0.85150000000000003</v>
      </c>
      <c r="F1178" s="4">
        <f t="shared" si="445"/>
        <v>0.12604599999999999</v>
      </c>
      <c r="G1178" s="4">
        <f t="shared" si="446"/>
        <v>2.1299999999999999E-2</v>
      </c>
      <c r="H1178" s="4">
        <f t="shared" si="447"/>
        <v>8.515E-3</v>
      </c>
      <c r="I1178" s="3">
        <f t="shared" si="448"/>
        <v>57.951657039198579</v>
      </c>
      <c r="J1178" s="4">
        <f t="shared" si="435"/>
        <v>1602303.1998413531</v>
      </c>
      <c r="K1178" s="1">
        <f t="shared" si="436"/>
        <v>2098.86</v>
      </c>
      <c r="L1178" s="5">
        <f t="shared" si="437"/>
        <v>8.2191780821918095E-2</v>
      </c>
      <c r="M1178" s="5">
        <f t="shared" si="438"/>
        <v>-0.16096518097665624</v>
      </c>
      <c r="N1178" s="5">
        <f t="shared" si="439"/>
        <v>6.7850151754231938</v>
      </c>
      <c r="O1178" s="1">
        <f t="shared" si="440"/>
        <v>0</v>
      </c>
      <c r="P1178" s="1">
        <f t="shared" si="441"/>
        <v>2098.86</v>
      </c>
      <c r="Q1178" s="5">
        <f t="shared" si="442"/>
        <v>8.2191780821918095E-2</v>
      </c>
      <c r="R1178" s="5">
        <f t="shared" si="443"/>
        <v>-0.16096518097665624</v>
      </c>
      <c r="S1178" s="5">
        <f t="shared" si="449"/>
        <v>6.7850151754231938</v>
      </c>
      <c r="T1178" s="5">
        <f t="shared" si="450"/>
        <v>-740.32375414452838</v>
      </c>
      <c r="U1178" s="4">
        <f t="shared" si="451"/>
        <v>1602380.7688757125</v>
      </c>
      <c r="V1178" s="4">
        <f t="shared" si="444"/>
        <v>25.857596516925881</v>
      </c>
      <c r="W1178" s="4">
        <f t="shared" si="452"/>
        <v>1597357.6609691156</v>
      </c>
      <c r="X1178" s="4">
        <f t="shared" si="456"/>
        <v>-330.70143410679884</v>
      </c>
      <c r="Y1178" s="9">
        <f>SUM($X$6:X1178)</f>
        <v>597357.66096911556</v>
      </c>
      <c r="Z1178" s="16">
        <f t="shared" si="457"/>
        <v>0.59735766096911558</v>
      </c>
      <c r="AA1178" s="16">
        <f t="shared" si="453"/>
        <v>0.70400764255399118</v>
      </c>
      <c r="AB1178" s="16">
        <f t="shared" si="454"/>
        <v>-2.0698744629357003E-4</v>
      </c>
      <c r="AC1178" s="16">
        <f t="shared" si="455"/>
        <v>-1.9537878718389537E-3</v>
      </c>
    </row>
    <row r="1179" spans="1:29" x14ac:dyDescent="0.15">
      <c r="A1179" s="8">
        <v>42613</v>
      </c>
      <c r="B1179" s="4">
        <v>2170.9499999999998</v>
      </c>
      <c r="C1179" s="1">
        <v>12.875500000000001</v>
      </c>
      <c r="D1179" s="1">
        <v>2.13</v>
      </c>
      <c r="E1179" s="1">
        <v>0.84870000000000001</v>
      </c>
      <c r="F1179" s="4">
        <f t="shared" si="445"/>
        <v>0.12875500000000001</v>
      </c>
      <c r="G1179" s="4">
        <f t="shared" si="446"/>
        <v>2.1299999999999999E-2</v>
      </c>
      <c r="H1179" s="4">
        <f t="shared" si="447"/>
        <v>8.4869999999999998E-3</v>
      </c>
      <c r="I1179" s="3">
        <f t="shared" si="448"/>
        <v>58.98713282607806</v>
      </c>
      <c r="J1179" s="4">
        <f t="shared" si="435"/>
        <v>1602380.7688757125</v>
      </c>
      <c r="K1179" s="1">
        <f t="shared" si="436"/>
        <v>2098.86</v>
      </c>
      <c r="L1179" s="5">
        <f t="shared" si="437"/>
        <v>7.9452054794520832E-2</v>
      </c>
      <c r="M1179" s="5">
        <f t="shared" si="438"/>
        <v>-0.17832607219718691</v>
      </c>
      <c r="N1179" s="5">
        <f t="shared" si="439"/>
        <v>7.7354443330988376</v>
      </c>
      <c r="O1179" s="1">
        <f t="shared" si="440"/>
        <v>0</v>
      </c>
      <c r="P1179" s="1">
        <f t="shared" si="441"/>
        <v>2098.86</v>
      </c>
      <c r="Q1179" s="5">
        <f t="shared" si="442"/>
        <v>7.9452054794520832E-2</v>
      </c>
      <c r="R1179" s="5">
        <f t="shared" si="443"/>
        <v>-0.17832607219718691</v>
      </c>
      <c r="S1179" s="5">
        <f t="shared" si="449"/>
        <v>7.7354443330988376</v>
      </c>
      <c r="T1179" s="5">
        <f t="shared" si="450"/>
        <v>-740.32375414452838</v>
      </c>
      <c r="U1179" s="4">
        <f t="shared" si="451"/>
        <v>1602406.6264722294</v>
      </c>
      <c r="V1179" s="4">
        <f t="shared" si="444"/>
        <v>25.858013780606662</v>
      </c>
      <c r="W1179" s="4">
        <f t="shared" si="452"/>
        <v>1596679.8932835737</v>
      </c>
      <c r="X1179" s="4">
        <f t="shared" si="456"/>
        <v>-677.76768554188311</v>
      </c>
      <c r="Y1179" s="9">
        <f>SUM($X$6:X1179)</f>
        <v>596679.89328357368</v>
      </c>
      <c r="Z1179" s="16">
        <f t="shared" si="457"/>
        <v>0.59667989328357363</v>
      </c>
      <c r="AA1179" s="16">
        <f t="shared" si="453"/>
        <v>0.69995928147463704</v>
      </c>
      <c r="AB1179" s="16">
        <f t="shared" si="454"/>
        <v>-4.243055278745037E-4</v>
      </c>
      <c r="AC1179" s="16">
        <f t="shared" si="455"/>
        <v>-2.375788099920994E-3</v>
      </c>
    </row>
    <row r="1180" spans="1:29" x14ac:dyDescent="0.15">
      <c r="A1180" s="8">
        <v>42614</v>
      </c>
      <c r="B1180" s="4">
        <v>2170.86</v>
      </c>
      <c r="C1180" s="1">
        <v>12.9612</v>
      </c>
      <c r="D1180" s="1">
        <v>2.14</v>
      </c>
      <c r="E1180" s="1">
        <v>0.84499999999999997</v>
      </c>
      <c r="F1180" s="4">
        <f t="shared" si="445"/>
        <v>0.129612</v>
      </c>
      <c r="G1180" s="4">
        <f t="shared" si="446"/>
        <v>2.1400000000000002E-2</v>
      </c>
      <c r="H1180" s="4">
        <f t="shared" si="447"/>
        <v>8.4499999999999992E-3</v>
      </c>
      <c r="I1180" s="3">
        <f t="shared" si="448"/>
        <v>59.391195442239123</v>
      </c>
      <c r="J1180" s="4">
        <f t="shared" ref="J1180:J1243" si="458">U1179</f>
        <v>1602406.6264722294</v>
      </c>
      <c r="K1180" s="1">
        <f t="shared" ref="K1180:K1243" si="459">P1179</f>
        <v>2098.86</v>
      </c>
      <c r="L1180" s="5">
        <f t="shared" ref="L1180:L1243" si="460">Q1179-(A1180-A1179)/365</f>
        <v>7.6712328767123569E-2</v>
      </c>
      <c r="M1180" s="5">
        <f t="shared" ref="M1180:M1243" si="461">BSM_Put(B1180,K1180,F1180,H1180,G1180,L1180,$G$3)</f>
        <v>-0.17593777834283186</v>
      </c>
      <c r="N1180" s="5">
        <f t="shared" ref="N1180:N1243" si="462">BSM_Put(B1180,K1180,F1180,H1180,G1180,L1180,$F$3)</f>
        <v>7.520161248093749</v>
      </c>
      <c r="O1180" s="1">
        <f t="shared" ref="O1180:O1243" si="463">IF(OR(M1180&gt;-0.05,L1180&lt;=0.00001),1,0)</f>
        <v>0</v>
      </c>
      <c r="P1180" s="1">
        <f t="shared" ref="P1180:P1243" si="464">IF(O1180,B1180,K1180)</f>
        <v>2098.86</v>
      </c>
      <c r="Q1180" s="5">
        <f t="shared" ref="Q1180:Q1243" si="465">IF(O1180,$B$3,L1180)</f>
        <v>7.6712328767123569E-2</v>
      </c>
      <c r="R1180" s="5">
        <f t="shared" ref="R1180:R1243" si="466">IF(O1180,BSM_Put(B1180,P1180,F1180,H1180,G1180,Q1180,$G$3),M1180)</f>
        <v>-0.17593777834283186</v>
      </c>
      <c r="S1180" s="5">
        <f t="shared" si="449"/>
        <v>7.520161248093749</v>
      </c>
      <c r="T1180" s="5">
        <f t="shared" si="450"/>
        <v>-740.32375414452838</v>
      </c>
      <c r="U1180" s="4">
        <f t="shared" si="451"/>
        <v>1602432.4844860099</v>
      </c>
      <c r="V1180" s="4">
        <f t="shared" ref="V1180:V1243" si="467">U1180*$H$6*(A1180-A1179)/365</f>
        <v>25.858431051020816</v>
      </c>
      <c r="W1180" s="4">
        <f t="shared" si="452"/>
        <v>1596865.1304790489</v>
      </c>
      <c r="X1180" s="4">
        <f t="shared" si="456"/>
        <v>185.2371954752598</v>
      </c>
      <c r="Y1180" s="9">
        <f>SUM($X$6:X1180)</f>
        <v>596865.13047904894</v>
      </c>
      <c r="Z1180" s="16">
        <f t="shared" si="457"/>
        <v>0.59686513047904899</v>
      </c>
      <c r="AA1180" s="16">
        <f t="shared" si="453"/>
        <v>0.69988880710381673</v>
      </c>
      <c r="AB1180" s="16">
        <f t="shared" si="454"/>
        <v>1.1601398392655858E-4</v>
      </c>
      <c r="AC1180" s="16">
        <f t="shared" si="455"/>
        <v>-4.1456505216467807E-5</v>
      </c>
    </row>
    <row r="1181" spans="1:29" x14ac:dyDescent="0.15">
      <c r="A1181" s="8">
        <v>42615</v>
      </c>
      <c r="B1181" s="4">
        <v>2179.98</v>
      </c>
      <c r="C1181" s="1">
        <v>12.33</v>
      </c>
      <c r="D1181" s="1">
        <v>2.13</v>
      </c>
      <c r="E1181" s="1">
        <v>0.84440000000000004</v>
      </c>
      <c r="F1181" s="4">
        <f t="shared" si="445"/>
        <v>0.12330000000000001</v>
      </c>
      <c r="G1181" s="4">
        <f t="shared" si="446"/>
        <v>2.1299999999999999E-2</v>
      </c>
      <c r="H1181" s="4">
        <f t="shared" si="447"/>
        <v>8.4440000000000001E-3</v>
      </c>
      <c r="I1181" s="3">
        <f t="shared" si="448"/>
        <v>56.88908677714636</v>
      </c>
      <c r="J1181" s="4">
        <f t="shared" si="458"/>
        <v>1602432.4844860099</v>
      </c>
      <c r="K1181" s="1">
        <f t="shared" si="459"/>
        <v>2098.86</v>
      </c>
      <c r="L1181" s="5">
        <f t="shared" si="460"/>
        <v>7.3972602739726306E-2</v>
      </c>
      <c r="M1181" s="5">
        <f t="shared" si="461"/>
        <v>-0.13131857085157295</v>
      </c>
      <c r="N1181" s="5">
        <f t="shared" si="462"/>
        <v>4.8927118595733221</v>
      </c>
      <c r="O1181" s="1">
        <f t="shared" si="463"/>
        <v>0</v>
      </c>
      <c r="P1181" s="1">
        <f t="shared" si="464"/>
        <v>2098.86</v>
      </c>
      <c r="Q1181" s="5">
        <f t="shared" si="465"/>
        <v>7.3972602739726306E-2</v>
      </c>
      <c r="R1181" s="5">
        <f t="shared" si="466"/>
        <v>-0.13131857085157295</v>
      </c>
      <c r="S1181" s="5">
        <f t="shared" si="449"/>
        <v>4.8927118595733221</v>
      </c>
      <c r="T1181" s="5">
        <f t="shared" si="450"/>
        <v>-740.32375414452838</v>
      </c>
      <c r="U1181" s="4">
        <f t="shared" si="451"/>
        <v>1602458.3429170609</v>
      </c>
      <c r="V1181" s="4">
        <f t="shared" si="467"/>
        <v>25.85884832816846</v>
      </c>
      <c r="W1181" s="4">
        <f t="shared" si="452"/>
        <v>1598836.1521052341</v>
      </c>
      <c r="X1181" s="4">
        <f t="shared" si="456"/>
        <v>1971.0216261851601</v>
      </c>
      <c r="Y1181" s="9">
        <f>SUM($X$6:X1181)</f>
        <v>598836.1521052341</v>
      </c>
      <c r="Z1181" s="16">
        <f t="shared" si="457"/>
        <v>0.59883615210523411</v>
      </c>
      <c r="AA1181" s="16">
        <f t="shared" si="453"/>
        <v>0.70703021001362509</v>
      </c>
      <c r="AB1181" s="16">
        <f t="shared" si="454"/>
        <v>1.2343068857630242E-3</v>
      </c>
      <c r="AC1181" s="16">
        <f t="shared" si="455"/>
        <v>4.2011000248748835E-3</v>
      </c>
    </row>
    <row r="1182" spans="1:29" x14ac:dyDescent="0.15">
      <c r="A1182" s="8">
        <v>42619</v>
      </c>
      <c r="B1182" s="4">
        <v>2186.48</v>
      </c>
      <c r="C1182" s="1">
        <v>12.184699999999999</v>
      </c>
      <c r="D1182" s="1">
        <v>2.12</v>
      </c>
      <c r="E1182" s="1">
        <v>0.85</v>
      </c>
      <c r="F1182" s="4">
        <f t="shared" si="445"/>
        <v>0.121847</v>
      </c>
      <c r="G1182" s="4">
        <f t="shared" si="446"/>
        <v>2.12E-2</v>
      </c>
      <c r="H1182" s="4">
        <f t="shared" si="447"/>
        <v>8.5000000000000006E-3</v>
      </c>
      <c r="I1182" s="3">
        <f t="shared" si="448"/>
        <v>56.385547589732695</v>
      </c>
      <c r="J1182" s="4">
        <f t="shared" si="458"/>
        <v>1602458.3429170609</v>
      </c>
      <c r="K1182" s="1">
        <f t="shared" si="459"/>
        <v>2098.86</v>
      </c>
      <c r="L1182" s="5">
        <f t="shared" si="460"/>
        <v>6.3013698630137269E-2</v>
      </c>
      <c r="M1182" s="5">
        <f t="shared" si="461"/>
        <v>-9.2252315531835494E-2</v>
      </c>
      <c r="N1182" s="5">
        <f t="shared" si="462"/>
        <v>2.9112580513876329</v>
      </c>
      <c r="O1182" s="1">
        <f t="shared" si="463"/>
        <v>0</v>
      </c>
      <c r="P1182" s="1">
        <f t="shared" si="464"/>
        <v>2098.86</v>
      </c>
      <c r="Q1182" s="5">
        <f t="shared" si="465"/>
        <v>6.3013698630137269E-2</v>
      </c>
      <c r="R1182" s="5">
        <f t="shared" si="466"/>
        <v>-9.2252315531835494E-2</v>
      </c>
      <c r="S1182" s="5">
        <f t="shared" si="449"/>
        <v>2.9112580513876329</v>
      </c>
      <c r="T1182" s="5">
        <f t="shared" si="450"/>
        <v>-740.32375414452838</v>
      </c>
      <c r="U1182" s="4">
        <f t="shared" si="451"/>
        <v>1602484.2017653892</v>
      </c>
      <c r="V1182" s="4">
        <f t="shared" si="467"/>
        <v>103.4370624481988</v>
      </c>
      <c r="W1182" s="4">
        <f t="shared" si="452"/>
        <v>1600328.9282755025</v>
      </c>
      <c r="X1182" s="4">
        <f t="shared" si="456"/>
        <v>1492.776170268422</v>
      </c>
      <c r="Y1182" s="9">
        <f>SUM($X$6:X1182)</f>
        <v>600328.92827550252</v>
      </c>
      <c r="Z1182" s="16">
        <f t="shared" si="457"/>
        <v>0.60032892827550255</v>
      </c>
      <c r="AA1182" s="16">
        <f t="shared" si="453"/>
        <v>0.71212002568399302</v>
      </c>
      <c r="AB1182" s="16">
        <f t="shared" si="454"/>
        <v>9.3366425840624146E-4</v>
      </c>
      <c r="AC1182" s="16">
        <f t="shared" si="455"/>
        <v>2.9816787309975322E-3</v>
      </c>
    </row>
    <row r="1183" spans="1:29" x14ac:dyDescent="0.15">
      <c r="A1183" s="8">
        <v>42620</v>
      </c>
      <c r="B1183" s="4">
        <v>2186.16</v>
      </c>
      <c r="C1183" s="1">
        <v>12.1027</v>
      </c>
      <c r="D1183" s="1">
        <v>2.12</v>
      </c>
      <c r="E1183" s="1">
        <v>0.84279999999999999</v>
      </c>
      <c r="F1183" s="4">
        <f t="shared" si="445"/>
        <v>0.12102700000000001</v>
      </c>
      <c r="G1183" s="4">
        <f t="shared" si="446"/>
        <v>2.12E-2</v>
      </c>
      <c r="H1183" s="4">
        <f t="shared" si="447"/>
        <v>8.4279999999999997E-3</v>
      </c>
      <c r="I1183" s="3">
        <f t="shared" si="448"/>
        <v>56.043042573779104</v>
      </c>
      <c r="J1183" s="4">
        <f t="shared" si="458"/>
        <v>1602484.2017653892</v>
      </c>
      <c r="K1183" s="1">
        <f t="shared" si="459"/>
        <v>2098.86</v>
      </c>
      <c r="L1183" s="5">
        <f t="shared" si="460"/>
        <v>6.0273972602740006E-2</v>
      </c>
      <c r="M1183" s="5">
        <f t="shared" si="461"/>
        <v>-8.6728951845726404E-2</v>
      </c>
      <c r="N1183" s="5">
        <f t="shared" si="462"/>
        <v>2.6252506617707434</v>
      </c>
      <c r="O1183" s="1">
        <f t="shared" si="463"/>
        <v>0</v>
      </c>
      <c r="P1183" s="1">
        <f t="shared" si="464"/>
        <v>2098.86</v>
      </c>
      <c r="Q1183" s="5">
        <f t="shared" si="465"/>
        <v>6.0273972602740006E-2</v>
      </c>
      <c r="R1183" s="5">
        <f t="shared" si="466"/>
        <v>-8.6728951845726404E-2</v>
      </c>
      <c r="S1183" s="5">
        <f t="shared" si="449"/>
        <v>2.6252506617707434</v>
      </c>
      <c r="T1183" s="5">
        <f t="shared" si="450"/>
        <v>-740.32375414452838</v>
      </c>
      <c r="U1183" s="4">
        <f t="shared" si="451"/>
        <v>1602587.6388278373</v>
      </c>
      <c r="V1183" s="4">
        <f t="shared" si="467"/>
        <v>25.860934774509484</v>
      </c>
      <c r="W1183" s="4">
        <f t="shared" si="452"/>
        <v>1600644.1034023447</v>
      </c>
      <c r="X1183" s="4">
        <f t="shared" si="456"/>
        <v>315.17512684222311</v>
      </c>
      <c r="Y1183" s="9">
        <f>SUM($X$6:X1183)</f>
        <v>600644.10340234474</v>
      </c>
      <c r="Z1183" s="16">
        <f t="shared" si="457"/>
        <v>0.60064410340234475</v>
      </c>
      <c r="AA1183" s="16">
        <f t="shared" si="453"/>
        <v>0.71186945014329783</v>
      </c>
      <c r="AB1183" s="16">
        <f t="shared" si="454"/>
        <v>1.9694396650184439E-4</v>
      </c>
      <c r="AC1183" s="16">
        <f t="shared" si="455"/>
        <v>-1.4635395704518849E-4</v>
      </c>
    </row>
    <row r="1184" spans="1:29" x14ac:dyDescent="0.15">
      <c r="A1184" s="8">
        <v>42621</v>
      </c>
      <c r="B1184" s="4">
        <v>2181.3000000000002</v>
      </c>
      <c r="C1184" s="1">
        <v>12.3567</v>
      </c>
      <c r="D1184" s="1">
        <v>2.12</v>
      </c>
      <c r="E1184" s="1">
        <v>0.8548</v>
      </c>
      <c r="F1184" s="4">
        <f t="shared" si="445"/>
        <v>0.123567</v>
      </c>
      <c r="G1184" s="4">
        <f t="shared" si="446"/>
        <v>2.12E-2</v>
      </c>
      <c r="H1184" s="4">
        <f t="shared" si="447"/>
        <v>8.548E-3</v>
      </c>
      <c r="I1184" s="3">
        <f t="shared" si="448"/>
        <v>56.981340934704306</v>
      </c>
      <c r="J1184" s="4">
        <f t="shared" si="458"/>
        <v>1602587.6388278373</v>
      </c>
      <c r="K1184" s="1">
        <f t="shared" si="459"/>
        <v>2098.86</v>
      </c>
      <c r="L1184" s="5">
        <f t="shared" si="460"/>
        <v>5.7534246575342743E-2</v>
      </c>
      <c r="M1184" s="5">
        <f t="shared" si="461"/>
        <v>-9.8384729805858107E-2</v>
      </c>
      <c r="N1184" s="5">
        <f t="shared" si="462"/>
        <v>3.0394689279773162</v>
      </c>
      <c r="O1184" s="1">
        <f t="shared" si="463"/>
        <v>0</v>
      </c>
      <c r="P1184" s="1">
        <f t="shared" si="464"/>
        <v>2098.86</v>
      </c>
      <c r="Q1184" s="5">
        <f t="shared" si="465"/>
        <v>5.7534246575342743E-2</v>
      </c>
      <c r="R1184" s="5">
        <f t="shared" si="466"/>
        <v>-9.8384729805858107E-2</v>
      </c>
      <c r="S1184" s="5">
        <f t="shared" si="449"/>
        <v>3.0394689279773162</v>
      </c>
      <c r="T1184" s="5">
        <f t="shared" si="450"/>
        <v>-740.32375414452838</v>
      </c>
      <c r="U1184" s="4">
        <f t="shared" si="451"/>
        <v>1602613.4997626119</v>
      </c>
      <c r="V1184" s="4">
        <f t="shared" si="467"/>
        <v>25.861352092059679</v>
      </c>
      <c r="W1184" s="4">
        <f t="shared" si="452"/>
        <v>1600363.3087152462</v>
      </c>
      <c r="X1184" s="4">
        <f t="shared" si="456"/>
        <v>-280.79468709859066</v>
      </c>
      <c r="Y1184" s="9">
        <f>SUM($X$6:X1184)</f>
        <v>600363.30871524615</v>
      </c>
      <c r="Z1184" s="16">
        <f t="shared" si="457"/>
        <v>0.60036330871524612</v>
      </c>
      <c r="AA1184" s="16">
        <f t="shared" si="453"/>
        <v>0.70806383411899232</v>
      </c>
      <c r="AB1184" s="16">
        <f t="shared" si="454"/>
        <v>-1.7542605911066096E-4</v>
      </c>
      <c r="AC1184" s="16">
        <f t="shared" si="455"/>
        <v>-2.2230760786034294E-3</v>
      </c>
    </row>
    <row r="1185" spans="1:29" x14ac:dyDescent="0.15">
      <c r="A1185" s="8">
        <v>42622</v>
      </c>
      <c r="B1185" s="4">
        <v>2127.81</v>
      </c>
      <c r="C1185" s="1">
        <v>15.243499999999999</v>
      </c>
      <c r="D1185" s="1">
        <v>2.17</v>
      </c>
      <c r="E1185" s="1">
        <v>0.86170000000000002</v>
      </c>
      <c r="F1185" s="4">
        <f t="shared" si="445"/>
        <v>0.15243499999999999</v>
      </c>
      <c r="G1185" s="4">
        <f t="shared" si="446"/>
        <v>2.1700000000000001E-2</v>
      </c>
      <c r="H1185" s="4">
        <f t="shared" si="447"/>
        <v>8.6169999999999997E-3</v>
      </c>
      <c r="I1185" s="3">
        <f t="shared" si="448"/>
        <v>67.867349828866821</v>
      </c>
      <c r="J1185" s="4">
        <f t="shared" si="458"/>
        <v>1602613.4997626119</v>
      </c>
      <c r="K1185" s="1">
        <f t="shared" si="459"/>
        <v>2098.86</v>
      </c>
      <c r="L1185" s="5">
        <f t="shared" si="460"/>
        <v>5.479452054794548E-2</v>
      </c>
      <c r="M1185" s="5">
        <f t="shared" si="461"/>
        <v>-0.35093760048489936</v>
      </c>
      <c r="N1185" s="5">
        <f t="shared" si="462"/>
        <v>18.318363895190878</v>
      </c>
      <c r="O1185" s="1">
        <f t="shared" si="463"/>
        <v>0</v>
      </c>
      <c r="P1185" s="1">
        <f t="shared" si="464"/>
        <v>2098.86</v>
      </c>
      <c r="Q1185" s="5">
        <f t="shared" si="465"/>
        <v>5.479452054794548E-2</v>
      </c>
      <c r="R1185" s="5">
        <f t="shared" si="466"/>
        <v>-0.35093760048489936</v>
      </c>
      <c r="S1185" s="5">
        <f t="shared" si="449"/>
        <v>18.318363895190878</v>
      </c>
      <c r="T1185" s="5">
        <f t="shared" si="450"/>
        <v>-740.32375414452838</v>
      </c>
      <c r="U1185" s="4">
        <f t="shared" si="451"/>
        <v>1602639.3611147041</v>
      </c>
      <c r="V1185" s="4">
        <f t="shared" si="467"/>
        <v>25.861769416344128</v>
      </c>
      <c r="W1185" s="4">
        <f t="shared" si="452"/>
        <v>1589077.8411860308</v>
      </c>
      <c r="X1185" s="4">
        <f t="shared" si="456"/>
        <v>-11285.467529215384</v>
      </c>
      <c r="Y1185" s="9">
        <f>SUM($X$6:X1185)</f>
        <v>589077.84118603077</v>
      </c>
      <c r="Z1185" s="16">
        <f t="shared" si="457"/>
        <v>0.58907784118603079</v>
      </c>
      <c r="AA1185" s="16">
        <f t="shared" si="453"/>
        <v>0.66617856639468787</v>
      </c>
      <c r="AB1185" s="16">
        <f t="shared" si="454"/>
        <v>-7.0518159643857565E-3</v>
      </c>
      <c r="AC1185" s="16">
        <f t="shared" si="455"/>
        <v>-2.4522073992573341E-2</v>
      </c>
    </row>
    <row r="1186" spans="1:29" x14ac:dyDescent="0.15">
      <c r="A1186" s="8">
        <v>42625</v>
      </c>
      <c r="B1186" s="4">
        <v>2159.04</v>
      </c>
      <c r="C1186" s="1">
        <v>13.897600000000001</v>
      </c>
      <c r="D1186" s="1">
        <v>2.14</v>
      </c>
      <c r="E1186" s="1">
        <v>0.86529999999999996</v>
      </c>
      <c r="F1186" s="4">
        <f t="shared" si="445"/>
        <v>0.13897600000000002</v>
      </c>
      <c r="G1186" s="4">
        <f t="shared" si="446"/>
        <v>2.1400000000000002E-2</v>
      </c>
      <c r="H1186" s="4">
        <f t="shared" si="447"/>
        <v>8.6529999999999992E-3</v>
      </c>
      <c r="I1186" s="3">
        <f t="shared" si="448"/>
        <v>63.015152516389456</v>
      </c>
      <c r="J1186" s="4">
        <f t="shared" si="458"/>
        <v>1602639.3611147041</v>
      </c>
      <c r="K1186" s="1">
        <f t="shared" si="459"/>
        <v>2098.86</v>
      </c>
      <c r="L1186" s="5">
        <f t="shared" si="460"/>
        <v>4.6575342465753698E-2</v>
      </c>
      <c r="M1186" s="5">
        <f t="shared" si="461"/>
        <v>-0.17401612096347724</v>
      </c>
      <c r="N1186" s="5">
        <f t="shared" si="462"/>
        <v>6.1446056831880904</v>
      </c>
      <c r="O1186" s="1">
        <f t="shared" si="463"/>
        <v>0</v>
      </c>
      <c r="P1186" s="1">
        <f t="shared" si="464"/>
        <v>2098.86</v>
      </c>
      <c r="Q1186" s="5">
        <f t="shared" si="465"/>
        <v>4.6575342465753698E-2</v>
      </c>
      <c r="R1186" s="5">
        <f t="shared" si="466"/>
        <v>-0.17401612096347724</v>
      </c>
      <c r="S1186" s="5">
        <f t="shared" si="449"/>
        <v>6.1446056831880904</v>
      </c>
      <c r="T1186" s="5">
        <f t="shared" si="450"/>
        <v>-740.32375414452838</v>
      </c>
      <c r="U1186" s="4">
        <f t="shared" si="451"/>
        <v>1602665.2228841204</v>
      </c>
      <c r="V1186" s="4">
        <f t="shared" si="467"/>
        <v>77.58656024208878</v>
      </c>
      <c r="W1186" s="4">
        <f t="shared" si="452"/>
        <v>1598116.2253370048</v>
      </c>
      <c r="X1186" s="4">
        <f t="shared" si="456"/>
        <v>9038.3841509739868</v>
      </c>
      <c r="Y1186" s="9">
        <f>SUM($X$6:X1186)</f>
        <v>598116.22533700475</v>
      </c>
      <c r="Z1186" s="16">
        <f t="shared" si="457"/>
        <v>0.5981162253370047</v>
      </c>
      <c r="AA1186" s="16">
        <f t="shared" si="453"/>
        <v>0.69063317306939376</v>
      </c>
      <c r="AB1186" s="16">
        <f t="shared" si="454"/>
        <v>5.6878171205433595E-3</v>
      </c>
      <c r="AC1186" s="16">
        <f t="shared" si="455"/>
        <v>1.4677062331693158E-2</v>
      </c>
    </row>
    <row r="1187" spans="1:29" x14ac:dyDescent="0.15">
      <c r="A1187" s="8">
        <v>42626</v>
      </c>
      <c r="B1187" s="4">
        <v>2127.02</v>
      </c>
      <c r="C1187" s="1">
        <v>15.7081</v>
      </c>
      <c r="D1187" s="1">
        <v>2.17</v>
      </c>
      <c r="E1187" s="1">
        <v>0.85970000000000002</v>
      </c>
      <c r="F1187" s="4">
        <f t="shared" si="445"/>
        <v>0.157081</v>
      </c>
      <c r="G1187" s="4">
        <f t="shared" si="446"/>
        <v>2.1700000000000001E-2</v>
      </c>
      <c r="H1187" s="4">
        <f t="shared" si="447"/>
        <v>8.5970000000000005E-3</v>
      </c>
      <c r="I1187" s="3">
        <f t="shared" si="448"/>
        <v>69.80564949018698</v>
      </c>
      <c r="J1187" s="4">
        <f t="shared" si="458"/>
        <v>1602665.2228841204</v>
      </c>
      <c r="K1187" s="1">
        <f t="shared" si="459"/>
        <v>2098.86</v>
      </c>
      <c r="L1187" s="5">
        <f t="shared" si="460"/>
        <v>4.3835616438356435E-2</v>
      </c>
      <c r="M1187" s="5">
        <f t="shared" si="461"/>
        <v>-0.34269876589551146</v>
      </c>
      <c r="N1187" s="5">
        <f t="shared" si="462"/>
        <v>16.295615518709035</v>
      </c>
      <c r="O1187" s="1">
        <f t="shared" si="463"/>
        <v>0</v>
      </c>
      <c r="P1187" s="1">
        <f t="shared" si="464"/>
        <v>2098.86</v>
      </c>
      <c r="Q1187" s="5">
        <f t="shared" si="465"/>
        <v>4.3835616438356435E-2</v>
      </c>
      <c r="R1187" s="5">
        <f t="shared" si="466"/>
        <v>-0.34269876589551146</v>
      </c>
      <c r="S1187" s="5">
        <f t="shared" si="449"/>
        <v>16.295615518709035</v>
      </c>
      <c r="T1187" s="5">
        <f t="shared" si="450"/>
        <v>-740.32375414452838</v>
      </c>
      <c r="U1187" s="4">
        <f t="shared" si="451"/>
        <v>1602742.8094443625</v>
      </c>
      <c r="V1187" s="4">
        <f t="shared" si="467"/>
        <v>25.863438760622724</v>
      </c>
      <c r="W1187" s="4">
        <f t="shared" si="452"/>
        <v>1590678.7781874561</v>
      </c>
      <c r="X1187" s="4">
        <f t="shared" si="456"/>
        <v>-7437.4471495486796</v>
      </c>
      <c r="Y1187" s="9">
        <f>SUM($X$6:X1187)</f>
        <v>590678.77818745608</v>
      </c>
      <c r="Z1187" s="16">
        <f t="shared" si="457"/>
        <v>0.59067877818745607</v>
      </c>
      <c r="AA1187" s="16">
        <f t="shared" si="453"/>
        <v>0.66555995802859702</v>
      </c>
      <c r="AB1187" s="16">
        <f t="shared" si="454"/>
        <v>-4.6538837611640538E-3</v>
      </c>
      <c r="AC1187" s="16">
        <f t="shared" si="455"/>
        <v>-1.483066548095449E-2</v>
      </c>
    </row>
    <row r="1188" spans="1:29" x14ac:dyDescent="0.15">
      <c r="A1188" s="8">
        <v>42627</v>
      </c>
      <c r="B1188" s="4">
        <v>2125.77</v>
      </c>
      <c r="C1188" s="1">
        <v>15.817299999999999</v>
      </c>
      <c r="D1188" s="1">
        <v>2.1800000000000002</v>
      </c>
      <c r="E1188" s="1">
        <v>0.86339999999999995</v>
      </c>
      <c r="F1188" s="4">
        <f t="shared" si="445"/>
        <v>0.15817300000000001</v>
      </c>
      <c r="G1188" s="4">
        <f t="shared" si="446"/>
        <v>2.18E-2</v>
      </c>
      <c r="H1188" s="4">
        <f t="shared" si="447"/>
        <v>8.6339999999999993E-3</v>
      </c>
      <c r="I1188" s="3">
        <f t="shared" si="448"/>
        <v>70.240518675739025</v>
      </c>
      <c r="J1188" s="4">
        <f t="shared" si="458"/>
        <v>1602742.8094443625</v>
      </c>
      <c r="K1188" s="1">
        <f t="shared" si="459"/>
        <v>2098.86</v>
      </c>
      <c r="L1188" s="5">
        <f t="shared" si="460"/>
        <v>4.1095890410959172E-2</v>
      </c>
      <c r="M1188" s="5">
        <f t="shared" si="461"/>
        <v>-0.34557007573920007</v>
      </c>
      <c r="N1188" s="5">
        <f t="shared" si="462"/>
        <v>16.057994899942329</v>
      </c>
      <c r="O1188" s="1">
        <f t="shared" si="463"/>
        <v>0</v>
      </c>
      <c r="P1188" s="1">
        <f t="shared" si="464"/>
        <v>2098.86</v>
      </c>
      <c r="Q1188" s="5">
        <f t="shared" si="465"/>
        <v>4.1095890410959172E-2</v>
      </c>
      <c r="R1188" s="5">
        <f t="shared" si="466"/>
        <v>-0.34557007573920007</v>
      </c>
      <c r="S1188" s="5">
        <f t="shared" si="449"/>
        <v>16.057994899942329</v>
      </c>
      <c r="T1188" s="5">
        <f t="shared" si="450"/>
        <v>-740.32375414452838</v>
      </c>
      <c r="U1188" s="4">
        <f t="shared" si="451"/>
        <v>1602768.6728831232</v>
      </c>
      <c r="V1188" s="4">
        <f t="shared" si="467"/>
        <v>25.863856118579712</v>
      </c>
      <c r="W1188" s="4">
        <f t="shared" si="452"/>
        <v>1590880.5578147641</v>
      </c>
      <c r="X1188" s="4">
        <f t="shared" si="456"/>
        <v>201.77962730801664</v>
      </c>
      <c r="Y1188" s="9">
        <f>SUM($X$6:X1188)</f>
        <v>590880.55781476409</v>
      </c>
      <c r="Z1188" s="16">
        <f t="shared" si="457"/>
        <v>0.59088055781476412</v>
      </c>
      <c r="AA1188" s="16">
        <f t="shared" si="453"/>
        <v>0.66458114732275697</v>
      </c>
      <c r="AB1188" s="16">
        <f t="shared" si="454"/>
        <v>1.2685127259819243E-4</v>
      </c>
      <c r="AC1188" s="16">
        <f t="shared" si="455"/>
        <v>-5.8767665560267412E-4</v>
      </c>
    </row>
    <row r="1189" spans="1:29" x14ac:dyDescent="0.15">
      <c r="A1189" s="8">
        <v>42628</v>
      </c>
      <c r="B1189" s="4">
        <v>2147.2600000000002</v>
      </c>
      <c r="C1189" s="1">
        <v>14.940899999999999</v>
      </c>
      <c r="D1189" s="1">
        <v>2.15</v>
      </c>
      <c r="E1189" s="1">
        <v>0.86609999999999998</v>
      </c>
      <c r="F1189" s="4">
        <f t="shared" si="445"/>
        <v>0.14940899999999999</v>
      </c>
      <c r="G1189" s="4">
        <f t="shared" si="446"/>
        <v>2.1499999999999998E-2</v>
      </c>
      <c r="H1189" s="4">
        <f t="shared" si="447"/>
        <v>8.6610000000000003E-3</v>
      </c>
      <c r="I1189" s="3">
        <f t="shared" si="448"/>
        <v>67.134400708359735</v>
      </c>
      <c r="J1189" s="4">
        <f t="shared" si="458"/>
        <v>1602768.6728831232</v>
      </c>
      <c r="K1189" s="1">
        <f t="shared" si="459"/>
        <v>2098.86</v>
      </c>
      <c r="L1189" s="5">
        <f t="shared" si="460"/>
        <v>3.835616438356191E-2</v>
      </c>
      <c r="M1189" s="5">
        <f t="shared" si="461"/>
        <v>-0.21842075453003143</v>
      </c>
      <c r="N1189" s="5">
        <f t="shared" si="462"/>
        <v>7.9712274892250177</v>
      </c>
      <c r="O1189" s="1">
        <f t="shared" si="463"/>
        <v>0</v>
      </c>
      <c r="P1189" s="1">
        <f t="shared" si="464"/>
        <v>2098.86</v>
      </c>
      <c r="Q1189" s="5">
        <f t="shared" si="465"/>
        <v>3.835616438356191E-2</v>
      </c>
      <c r="R1189" s="5">
        <f t="shared" si="466"/>
        <v>-0.21842075453003143</v>
      </c>
      <c r="S1189" s="5">
        <f t="shared" si="449"/>
        <v>7.9712274892250177</v>
      </c>
      <c r="T1189" s="5">
        <f t="shared" si="450"/>
        <v>-740.32375414452838</v>
      </c>
      <c r="U1189" s="4">
        <f t="shared" si="451"/>
        <v>1602794.5367392418</v>
      </c>
      <c r="V1189" s="4">
        <f t="shared" si="467"/>
        <v>25.864273483271599</v>
      </c>
      <c r="W1189" s="4">
        <f t="shared" si="452"/>
        <v>1596893.2476792787</v>
      </c>
      <c r="X1189" s="4">
        <f t="shared" si="456"/>
        <v>6012.6898645146284</v>
      </c>
      <c r="Y1189" s="9">
        <f>SUM($X$6:X1189)</f>
        <v>596893.24767927872</v>
      </c>
      <c r="Z1189" s="16">
        <f t="shared" si="457"/>
        <v>0.59689324767927876</v>
      </c>
      <c r="AA1189" s="16">
        <f t="shared" si="453"/>
        <v>0.68140886097755804</v>
      </c>
      <c r="AB1189" s="16">
        <f t="shared" si="454"/>
        <v>3.7794728428724206E-3</v>
      </c>
      <c r="AC1189" s="16">
        <f t="shared" si="455"/>
        <v>1.0109278049836171E-2</v>
      </c>
    </row>
    <row r="1190" spans="1:29" x14ac:dyDescent="0.15">
      <c r="A1190" s="8">
        <v>42629</v>
      </c>
      <c r="B1190" s="4">
        <v>2139.16</v>
      </c>
      <c r="C1190" s="1">
        <v>14.646000000000001</v>
      </c>
      <c r="D1190" s="1">
        <v>2.16</v>
      </c>
      <c r="E1190" s="1">
        <v>0.86660000000000004</v>
      </c>
      <c r="F1190" s="4">
        <f t="shared" si="445"/>
        <v>0.14646000000000001</v>
      </c>
      <c r="G1190" s="4">
        <f t="shared" si="446"/>
        <v>2.1600000000000001E-2</v>
      </c>
      <c r="H1190" s="4">
        <f t="shared" si="447"/>
        <v>8.6660000000000001E-3</v>
      </c>
      <c r="I1190" s="3">
        <f t="shared" si="448"/>
        <v>65.656544657814536</v>
      </c>
      <c r="J1190" s="4">
        <f t="shared" si="458"/>
        <v>1602794.5367392418</v>
      </c>
      <c r="K1190" s="1">
        <f t="shared" si="459"/>
        <v>2098.86</v>
      </c>
      <c r="L1190" s="5">
        <f t="shared" si="460"/>
        <v>3.5616438356164647E-2</v>
      </c>
      <c r="M1190" s="5">
        <f t="shared" si="461"/>
        <v>-0.24640756782528761</v>
      </c>
      <c r="N1190" s="5">
        <f t="shared" si="462"/>
        <v>8.7754878044966009</v>
      </c>
      <c r="O1190" s="1">
        <f t="shared" si="463"/>
        <v>0</v>
      </c>
      <c r="P1190" s="1">
        <f t="shared" si="464"/>
        <v>2098.86</v>
      </c>
      <c r="Q1190" s="5">
        <f t="shared" si="465"/>
        <v>3.5616438356164647E-2</v>
      </c>
      <c r="R1190" s="5">
        <f t="shared" si="466"/>
        <v>-0.24640756782528761</v>
      </c>
      <c r="S1190" s="5">
        <f t="shared" si="449"/>
        <v>8.7754878044966009</v>
      </c>
      <c r="T1190" s="5">
        <f t="shared" si="450"/>
        <v>-740.32375414452838</v>
      </c>
      <c r="U1190" s="4">
        <f t="shared" si="451"/>
        <v>1602820.401012725</v>
      </c>
      <c r="V1190" s="4">
        <f t="shared" si="467"/>
        <v>25.864690854698491</v>
      </c>
      <c r="W1190" s="4">
        <f t="shared" si="452"/>
        <v>1596323.6989368505</v>
      </c>
      <c r="X1190" s="4">
        <f t="shared" si="456"/>
        <v>-569.54874242818914</v>
      </c>
      <c r="Y1190" s="9">
        <f>SUM($X$6:X1190)</f>
        <v>596323.69893685053</v>
      </c>
      <c r="Z1190" s="16">
        <f t="shared" si="457"/>
        <v>0.59632369893685055</v>
      </c>
      <c r="AA1190" s="16">
        <f t="shared" si="453"/>
        <v>0.67506616760371474</v>
      </c>
      <c r="AB1190" s="16">
        <f t="shared" si="454"/>
        <v>-3.5666049891306057E-4</v>
      </c>
      <c r="AC1190" s="16">
        <f t="shared" si="455"/>
        <v>-3.7722492851356439E-3</v>
      </c>
    </row>
    <row r="1191" spans="1:29" x14ac:dyDescent="0.15">
      <c r="A1191" s="8">
        <v>42632</v>
      </c>
      <c r="B1191" s="4">
        <v>2139.12</v>
      </c>
      <c r="C1191" s="1">
        <v>14.6294</v>
      </c>
      <c r="D1191" s="1">
        <v>2.16</v>
      </c>
      <c r="E1191" s="1">
        <v>0.87019999999999997</v>
      </c>
      <c r="F1191" s="4">
        <f t="shared" si="445"/>
        <v>0.14629400000000001</v>
      </c>
      <c r="G1191" s="4">
        <f t="shared" si="446"/>
        <v>2.1600000000000001E-2</v>
      </c>
      <c r="H1191" s="4">
        <f t="shared" si="447"/>
        <v>8.7019999999999997E-3</v>
      </c>
      <c r="I1191" s="3">
        <f t="shared" si="448"/>
        <v>65.574770662250927</v>
      </c>
      <c r="J1191" s="4">
        <f t="shared" si="458"/>
        <v>1602820.401012725</v>
      </c>
      <c r="K1191" s="1">
        <f t="shared" si="459"/>
        <v>2098.86</v>
      </c>
      <c r="L1191" s="5">
        <f t="shared" si="460"/>
        <v>2.7397260273972865E-2</v>
      </c>
      <c r="M1191" s="5">
        <f t="shared" si="461"/>
        <v>-0.21692963228126502</v>
      </c>
      <c r="N1191" s="5">
        <f t="shared" si="462"/>
        <v>6.4968388065221525</v>
      </c>
      <c r="O1191" s="1">
        <f t="shared" si="463"/>
        <v>0</v>
      </c>
      <c r="P1191" s="1">
        <f t="shared" si="464"/>
        <v>2098.86</v>
      </c>
      <c r="Q1191" s="5">
        <f t="shared" si="465"/>
        <v>2.7397260273972865E-2</v>
      </c>
      <c r="R1191" s="5">
        <f t="shared" si="466"/>
        <v>-0.21692963228126502</v>
      </c>
      <c r="S1191" s="5">
        <f t="shared" si="449"/>
        <v>6.4968388065221525</v>
      </c>
      <c r="T1191" s="5">
        <f t="shared" si="450"/>
        <v>-740.32375414452838</v>
      </c>
      <c r="U1191" s="4">
        <f t="shared" si="451"/>
        <v>1602846.2657035796</v>
      </c>
      <c r="V1191" s="4">
        <f t="shared" si="467"/>
        <v>77.595324698581507</v>
      </c>
      <c r="W1191" s="4">
        <f t="shared" si="452"/>
        <v>1598036.5016082632</v>
      </c>
      <c r="X1191" s="4">
        <f t="shared" si="456"/>
        <v>1712.8026714127045</v>
      </c>
      <c r="Y1191" s="9">
        <f>SUM($X$6:X1191)</f>
        <v>598036.50160826324</v>
      </c>
      <c r="Z1191" s="16">
        <f t="shared" si="457"/>
        <v>0.59803650160826327</v>
      </c>
      <c r="AA1191" s="16">
        <f t="shared" si="453"/>
        <v>0.67503484566112792</v>
      </c>
      <c r="AB1191" s="16">
        <f t="shared" si="454"/>
        <v>1.0729670132401273E-3</v>
      </c>
      <c r="AC1191" s="16">
        <f t="shared" si="455"/>
        <v>-1.8698928551377E-5</v>
      </c>
    </row>
    <row r="1192" spans="1:29" x14ac:dyDescent="0.15">
      <c r="A1192" s="8">
        <v>42633</v>
      </c>
      <c r="B1192" s="4">
        <v>2139.7600000000002</v>
      </c>
      <c r="C1192" s="1">
        <v>14.8028</v>
      </c>
      <c r="D1192" s="1">
        <v>2.16</v>
      </c>
      <c r="E1192" s="1">
        <v>0.87549999999999994</v>
      </c>
      <c r="F1192" s="4">
        <f t="shared" si="445"/>
        <v>0.14802799999999999</v>
      </c>
      <c r="G1192" s="4">
        <f t="shared" si="446"/>
        <v>2.1600000000000001E-2</v>
      </c>
      <c r="H1192" s="4">
        <f t="shared" si="447"/>
        <v>8.7549999999999989E-3</v>
      </c>
      <c r="I1192" s="3">
        <f t="shared" si="448"/>
        <v>66.314484242574622</v>
      </c>
      <c r="J1192" s="4">
        <f t="shared" si="458"/>
        <v>1602846.2657035796</v>
      </c>
      <c r="K1192" s="1">
        <f t="shared" si="459"/>
        <v>2098.86</v>
      </c>
      <c r="L1192" s="5">
        <f t="shared" si="460"/>
        <v>2.4657534246575605E-2</v>
      </c>
      <c r="M1192" s="5">
        <f t="shared" si="461"/>
        <v>-0.20364904911916334</v>
      </c>
      <c r="N1192" s="5">
        <f t="shared" si="462"/>
        <v>5.7471942576285757</v>
      </c>
      <c r="O1192" s="1">
        <f t="shared" si="463"/>
        <v>0</v>
      </c>
      <c r="P1192" s="1">
        <f t="shared" si="464"/>
        <v>2098.86</v>
      </c>
      <c r="Q1192" s="5">
        <f t="shared" si="465"/>
        <v>2.4657534246575605E-2</v>
      </c>
      <c r="R1192" s="5">
        <f t="shared" si="466"/>
        <v>-0.20364904911916334</v>
      </c>
      <c r="S1192" s="5">
        <f t="shared" si="449"/>
        <v>5.7471942576285757</v>
      </c>
      <c r="T1192" s="5">
        <f t="shared" si="450"/>
        <v>-740.32375414452838</v>
      </c>
      <c r="U1192" s="4">
        <f t="shared" si="451"/>
        <v>1602923.8610282782</v>
      </c>
      <c r="V1192" s="4">
        <f t="shared" si="467"/>
        <v>25.866360387552213</v>
      </c>
      <c r="W1192" s="4">
        <f t="shared" si="452"/>
        <v>1598669.0765996727</v>
      </c>
      <c r="X1192" s="4">
        <f t="shared" si="456"/>
        <v>632.57499140943401</v>
      </c>
      <c r="Y1192" s="9">
        <f>SUM($X$6:X1192)</f>
        <v>598669.07659967267</v>
      </c>
      <c r="Z1192" s="16">
        <f t="shared" si="457"/>
        <v>0.59866907659967272</v>
      </c>
      <c r="AA1192" s="16">
        <f t="shared" si="453"/>
        <v>0.67553599674251819</v>
      </c>
      <c r="AB1192" s="16">
        <f t="shared" si="454"/>
        <v>3.9584514544743554E-4</v>
      </c>
      <c r="AC1192" s="16">
        <f t="shared" si="455"/>
        <v>2.991884513259319E-4</v>
      </c>
    </row>
    <row r="1193" spans="1:29" x14ac:dyDescent="0.15">
      <c r="A1193" s="8">
        <v>42634</v>
      </c>
      <c r="B1193" s="4">
        <v>2163.12</v>
      </c>
      <c r="C1193" s="1">
        <v>13.5341</v>
      </c>
      <c r="D1193" s="1">
        <v>2.13</v>
      </c>
      <c r="E1193" s="1">
        <v>0.87290000000000001</v>
      </c>
      <c r="F1193" s="4">
        <f t="shared" si="445"/>
        <v>0.13534100000000002</v>
      </c>
      <c r="G1193" s="4">
        <f t="shared" si="446"/>
        <v>2.1299999999999999E-2</v>
      </c>
      <c r="H1193" s="4">
        <f t="shared" si="447"/>
        <v>8.7290000000000006E-3</v>
      </c>
      <c r="I1193" s="3">
        <f t="shared" si="448"/>
        <v>61.527545173825558</v>
      </c>
      <c r="J1193" s="4">
        <f t="shared" si="458"/>
        <v>1602923.8610282782</v>
      </c>
      <c r="K1193" s="1">
        <f t="shared" si="459"/>
        <v>2098.86</v>
      </c>
      <c r="L1193" s="5">
        <f t="shared" si="460"/>
        <v>2.1917808219178346E-2</v>
      </c>
      <c r="M1193" s="5">
        <f t="shared" si="461"/>
        <v>-6.659968367588695E-2</v>
      </c>
      <c r="N1193" s="5">
        <f t="shared" si="462"/>
        <v>1.2756320264387915</v>
      </c>
      <c r="O1193" s="1">
        <f t="shared" si="463"/>
        <v>0</v>
      </c>
      <c r="P1193" s="1">
        <f t="shared" si="464"/>
        <v>2098.86</v>
      </c>
      <c r="Q1193" s="5">
        <f t="shared" si="465"/>
        <v>2.1917808219178346E-2</v>
      </c>
      <c r="R1193" s="5">
        <f t="shared" si="466"/>
        <v>-6.659968367588695E-2</v>
      </c>
      <c r="S1193" s="5">
        <f t="shared" si="449"/>
        <v>1.2756320264387915</v>
      </c>
      <c r="T1193" s="5">
        <f t="shared" si="450"/>
        <v>-740.32375414452838</v>
      </c>
      <c r="U1193" s="4">
        <f t="shared" si="451"/>
        <v>1602949.7273886658</v>
      </c>
      <c r="V1193" s="4">
        <f t="shared" si="467"/>
        <v>25.866777792655451</v>
      </c>
      <c r="W1193" s="4">
        <f t="shared" si="452"/>
        <v>1602005.3466979456</v>
      </c>
      <c r="X1193" s="4">
        <f t="shared" si="456"/>
        <v>3336.2700982729439</v>
      </c>
      <c r="Y1193" s="9">
        <f>SUM($X$6:X1193)</f>
        <v>602005.34669794561</v>
      </c>
      <c r="Z1193" s="16">
        <f t="shared" si="457"/>
        <v>0.60200534669794559</v>
      </c>
      <c r="AA1193" s="16">
        <f t="shared" si="453"/>
        <v>0.69382801121325544</v>
      </c>
      <c r="AB1193" s="16">
        <f t="shared" si="454"/>
        <v>2.0869047554038533E-3</v>
      </c>
      <c r="AC1193" s="16">
        <f t="shared" si="455"/>
        <v>1.0917112199498855E-2</v>
      </c>
    </row>
    <row r="1194" spans="1:29" x14ac:dyDescent="0.15">
      <c r="A1194" s="8">
        <v>42635</v>
      </c>
      <c r="B1194" s="4">
        <v>2177.1799999999998</v>
      </c>
      <c r="C1194" s="1">
        <v>12.7735</v>
      </c>
      <c r="D1194" s="1">
        <v>2.12</v>
      </c>
      <c r="E1194" s="1">
        <v>0.86599999999999999</v>
      </c>
      <c r="F1194" s="4">
        <f t="shared" si="445"/>
        <v>0.12773500000000002</v>
      </c>
      <c r="G1194" s="4">
        <f t="shared" si="446"/>
        <v>2.12E-2</v>
      </c>
      <c r="H1194" s="4">
        <f t="shared" si="447"/>
        <v>8.6599999999999993E-3</v>
      </c>
      <c r="I1194" s="3">
        <f t="shared" si="448"/>
        <v>58.63918833383098</v>
      </c>
      <c r="J1194" s="4">
        <f t="shared" si="458"/>
        <v>1602949.7273886658</v>
      </c>
      <c r="K1194" s="1">
        <f t="shared" si="459"/>
        <v>2098.86</v>
      </c>
      <c r="L1194" s="5">
        <f t="shared" si="460"/>
        <v>1.9178082191781087E-2</v>
      </c>
      <c r="M1194" s="5">
        <f t="shared" si="461"/>
        <v>-1.9390785505773299E-2</v>
      </c>
      <c r="N1194" s="5">
        <f t="shared" si="462"/>
        <v>0.27477326091219206</v>
      </c>
      <c r="O1194" s="1">
        <f t="shared" si="463"/>
        <v>1</v>
      </c>
      <c r="P1194" s="1">
        <f t="shared" si="464"/>
        <v>2177.1799999999998</v>
      </c>
      <c r="Q1194" s="5">
        <f t="shared" si="465"/>
        <v>0.24931506849315069</v>
      </c>
      <c r="R1194" s="5">
        <f t="shared" si="466"/>
        <v>-0.50416125430211878</v>
      </c>
      <c r="S1194" s="5">
        <f t="shared" si="449"/>
        <v>58.63918833383098</v>
      </c>
      <c r="T1194" s="5">
        <f t="shared" si="450"/>
        <v>-736.15700411385774</v>
      </c>
      <c r="U1194" s="4">
        <f t="shared" si="451"/>
        <v>1645939.8222019025</v>
      </c>
      <c r="V1194" s="4">
        <f t="shared" si="467"/>
        <v>26.560508363751246</v>
      </c>
      <c r="W1194" s="4">
        <f t="shared" si="452"/>
        <v>1602772.1729944013</v>
      </c>
      <c r="X1194" s="4">
        <f t="shared" si="456"/>
        <v>766.8262964556925</v>
      </c>
      <c r="Y1194" s="9">
        <f>SUM($X$6:X1194)</f>
        <v>602772.17299440131</v>
      </c>
      <c r="Z1194" s="16">
        <f t="shared" si="457"/>
        <v>0.60277217299440133</v>
      </c>
      <c r="AA1194" s="16">
        <f t="shared" si="453"/>
        <v>0.70483767403254349</v>
      </c>
      <c r="AB1194" s="16">
        <f t="shared" si="454"/>
        <v>4.786665026032999E-4</v>
      </c>
      <c r="AC1194" s="16">
        <f t="shared" si="455"/>
        <v>6.4998705573430723E-3</v>
      </c>
    </row>
    <row r="1195" spans="1:29" x14ac:dyDescent="0.15">
      <c r="A1195" s="8">
        <v>42636</v>
      </c>
      <c r="B1195" s="4">
        <v>2164.69</v>
      </c>
      <c r="C1195" s="1">
        <v>12.964600000000001</v>
      </c>
      <c r="D1195" s="1">
        <v>2.13</v>
      </c>
      <c r="E1195" s="1">
        <v>0.86229999999999996</v>
      </c>
      <c r="F1195" s="4">
        <f t="shared" si="445"/>
        <v>0.12964600000000001</v>
      </c>
      <c r="G1195" s="4">
        <f t="shared" si="446"/>
        <v>2.1299999999999999E-2</v>
      </c>
      <c r="H1195" s="4">
        <f t="shared" si="447"/>
        <v>8.6229999999999987E-3</v>
      </c>
      <c r="I1195" s="3">
        <f t="shared" si="448"/>
        <v>59.160152124861561</v>
      </c>
      <c r="J1195" s="4">
        <f t="shared" si="458"/>
        <v>1645939.8222019025</v>
      </c>
      <c r="K1195" s="1">
        <f t="shared" si="459"/>
        <v>2177.1799999999998</v>
      </c>
      <c r="L1195" s="5">
        <f t="shared" si="460"/>
        <v>0.24657534246575344</v>
      </c>
      <c r="M1195" s="5">
        <f t="shared" si="461"/>
        <v>-0.53926369875142455</v>
      </c>
      <c r="N1195" s="5">
        <f t="shared" si="462"/>
        <v>65.671077489164986</v>
      </c>
      <c r="O1195" s="1">
        <f t="shared" si="463"/>
        <v>0</v>
      </c>
      <c r="P1195" s="1">
        <f t="shared" si="464"/>
        <v>2177.1799999999998</v>
      </c>
      <c r="Q1195" s="5">
        <f t="shared" si="465"/>
        <v>0.24657534246575344</v>
      </c>
      <c r="R1195" s="5">
        <f t="shared" si="466"/>
        <v>-0.53926369875142455</v>
      </c>
      <c r="S1195" s="5">
        <f t="shared" si="449"/>
        <v>65.671077489164986</v>
      </c>
      <c r="T1195" s="5">
        <f t="shared" si="450"/>
        <v>-736.15700411385774</v>
      </c>
      <c r="U1195" s="4">
        <f t="shared" si="451"/>
        <v>1645966.3827102662</v>
      </c>
      <c r="V1195" s="4">
        <f t="shared" si="467"/>
        <v>26.56093697031087</v>
      </c>
      <c r="W1195" s="4">
        <f t="shared" si="452"/>
        <v>1597622.1590489135</v>
      </c>
      <c r="X1195" s="4">
        <f t="shared" si="456"/>
        <v>-5150.0139454877935</v>
      </c>
      <c r="Y1195" s="9">
        <f>SUM($X$6:X1195)</f>
        <v>597622.15904891351</v>
      </c>
      <c r="Z1195" s="16">
        <f t="shared" si="457"/>
        <v>0.59762215904891347</v>
      </c>
      <c r="AA1195" s="16">
        <f t="shared" si="453"/>
        <v>0.69505739745979056</v>
      </c>
      <c r="AB1195" s="16">
        <f t="shared" si="454"/>
        <v>-3.2131915142164023E-3</v>
      </c>
      <c r="AC1195" s="16">
        <f t="shared" si="455"/>
        <v>-5.7367787688660478E-3</v>
      </c>
    </row>
    <row r="1196" spans="1:29" x14ac:dyDescent="0.15">
      <c r="A1196" s="8">
        <v>42639</v>
      </c>
      <c r="B1196" s="4">
        <v>2146.1</v>
      </c>
      <c r="C1196" s="1">
        <v>14.1769</v>
      </c>
      <c r="D1196" s="1">
        <v>2.15</v>
      </c>
      <c r="E1196" s="1">
        <v>0.86240000000000006</v>
      </c>
      <c r="F1196" s="4">
        <f t="shared" si="445"/>
        <v>0.14176900000000001</v>
      </c>
      <c r="G1196" s="4">
        <f t="shared" si="446"/>
        <v>2.1499999999999998E-2</v>
      </c>
      <c r="H1196" s="4">
        <f t="shared" si="447"/>
        <v>8.6239999999999997E-3</v>
      </c>
      <c r="I1196" s="3">
        <f t="shared" si="448"/>
        <v>63.86011815710372</v>
      </c>
      <c r="J1196" s="4">
        <f t="shared" si="458"/>
        <v>1645966.3827102662</v>
      </c>
      <c r="K1196" s="1">
        <f t="shared" si="459"/>
        <v>2177.1799999999998</v>
      </c>
      <c r="L1196" s="5">
        <f t="shared" si="460"/>
        <v>0.23835616438356166</v>
      </c>
      <c r="M1196" s="5">
        <f t="shared" si="461"/>
        <v>-0.58308325756610113</v>
      </c>
      <c r="N1196" s="5">
        <f t="shared" si="462"/>
        <v>80.131110412148402</v>
      </c>
      <c r="O1196" s="1">
        <f t="shared" si="463"/>
        <v>0</v>
      </c>
      <c r="P1196" s="1">
        <f t="shared" si="464"/>
        <v>2177.1799999999998</v>
      </c>
      <c r="Q1196" s="5">
        <f t="shared" si="465"/>
        <v>0.23835616438356166</v>
      </c>
      <c r="R1196" s="5">
        <f t="shared" si="466"/>
        <v>-0.58308325756610113</v>
      </c>
      <c r="S1196" s="5">
        <f t="shared" si="449"/>
        <v>80.131110412148402</v>
      </c>
      <c r="T1196" s="5">
        <f t="shared" si="450"/>
        <v>-736.15700411385774</v>
      </c>
      <c r="U1196" s="4">
        <f t="shared" si="451"/>
        <v>1645992.9436472366</v>
      </c>
      <c r="V1196" s="4">
        <f t="shared" si="467"/>
        <v>79.684096751360727</v>
      </c>
      <c r="W1196" s="4">
        <f t="shared" si="452"/>
        <v>1587003.8654699125</v>
      </c>
      <c r="X1196" s="4">
        <f t="shared" si="456"/>
        <v>-10618.29357900098</v>
      </c>
      <c r="Y1196" s="9">
        <f>SUM($X$6:X1196)</f>
        <v>587003.86546991253</v>
      </c>
      <c r="Z1196" s="16">
        <f t="shared" si="457"/>
        <v>0.58700386546991257</v>
      </c>
      <c r="AA1196" s="16">
        <f t="shared" si="453"/>
        <v>0.6805005246425383</v>
      </c>
      <c r="AB1196" s="16">
        <f t="shared" si="454"/>
        <v>-6.646310905778996E-3</v>
      </c>
      <c r="AC1196" s="16">
        <f t="shared" si="455"/>
        <v>-8.5878347477006609E-3</v>
      </c>
    </row>
    <row r="1197" spans="1:29" x14ac:dyDescent="0.15">
      <c r="A1197" s="8">
        <v>42640</v>
      </c>
      <c r="B1197" s="4">
        <v>2159.9299999999998</v>
      </c>
      <c r="C1197" s="1">
        <v>13.3611</v>
      </c>
      <c r="D1197" s="1">
        <v>2.14</v>
      </c>
      <c r="E1197" s="1">
        <v>0.86329999999999996</v>
      </c>
      <c r="F1197" s="4">
        <f t="shared" si="445"/>
        <v>0.13361100000000001</v>
      </c>
      <c r="G1197" s="4">
        <f t="shared" si="446"/>
        <v>2.1400000000000002E-2</v>
      </c>
      <c r="H1197" s="4">
        <f t="shared" si="447"/>
        <v>8.633E-3</v>
      </c>
      <c r="I1197" s="3">
        <f t="shared" si="448"/>
        <v>60.751009543536796</v>
      </c>
      <c r="J1197" s="4">
        <f t="shared" si="458"/>
        <v>1645992.9436472366</v>
      </c>
      <c r="K1197" s="1">
        <f t="shared" si="459"/>
        <v>2177.1799999999998</v>
      </c>
      <c r="L1197" s="5">
        <f t="shared" si="460"/>
        <v>0.23561643835616441</v>
      </c>
      <c r="M1197" s="5">
        <f t="shared" si="461"/>
        <v>-0.5515411802257506</v>
      </c>
      <c r="N1197" s="5">
        <f t="shared" si="462"/>
        <v>68.541614299181603</v>
      </c>
      <c r="O1197" s="1">
        <f t="shared" si="463"/>
        <v>0</v>
      </c>
      <c r="P1197" s="1">
        <f t="shared" si="464"/>
        <v>2177.1799999999998</v>
      </c>
      <c r="Q1197" s="5">
        <f t="shared" si="465"/>
        <v>0.23561643835616441</v>
      </c>
      <c r="R1197" s="5">
        <f t="shared" si="466"/>
        <v>-0.5515411802257506</v>
      </c>
      <c r="S1197" s="5">
        <f t="shared" si="449"/>
        <v>68.541614299181603</v>
      </c>
      <c r="T1197" s="5">
        <f t="shared" si="450"/>
        <v>-736.15700411385774</v>
      </c>
      <c r="U1197" s="4">
        <f t="shared" si="451"/>
        <v>1646072.6277439878</v>
      </c>
      <c r="V1197" s="4">
        <f t="shared" si="467"/>
        <v>26.562651444964626</v>
      </c>
      <c r="W1197" s="4">
        <f t="shared" si="452"/>
        <v>1595615.2383043747</v>
      </c>
      <c r="X1197" s="4">
        <f t="shared" si="456"/>
        <v>8611.3728344622068</v>
      </c>
      <c r="Y1197" s="9">
        <f>SUM($X$6:X1197)</f>
        <v>595615.23830437474</v>
      </c>
      <c r="Z1197" s="16">
        <f t="shared" si="457"/>
        <v>0.59561523830437479</v>
      </c>
      <c r="AA1197" s="16">
        <f t="shared" si="453"/>
        <v>0.69133008629195181</v>
      </c>
      <c r="AB1197" s="16">
        <f t="shared" si="454"/>
        <v>5.4261826463241633E-3</v>
      </c>
      <c r="AC1197" s="16">
        <f t="shared" si="455"/>
        <v>6.4442477051395216E-3</v>
      </c>
    </row>
    <row r="1198" spans="1:29" x14ac:dyDescent="0.15">
      <c r="A1198" s="8">
        <v>42641</v>
      </c>
      <c r="B1198" s="4">
        <v>2171.37</v>
      </c>
      <c r="C1198" s="1">
        <v>12.856199999999999</v>
      </c>
      <c r="D1198" s="1">
        <v>2.13</v>
      </c>
      <c r="E1198" s="1">
        <v>0.84699999999999998</v>
      </c>
      <c r="F1198" s="4">
        <f t="shared" si="445"/>
        <v>0.12856199999999998</v>
      </c>
      <c r="G1198" s="4">
        <f t="shared" si="446"/>
        <v>2.1299999999999999E-2</v>
      </c>
      <c r="H1198" s="4">
        <f t="shared" si="447"/>
        <v>8.4700000000000001E-3</v>
      </c>
      <c r="I1198" s="3">
        <f t="shared" si="448"/>
        <v>58.920412535665037</v>
      </c>
      <c r="J1198" s="4">
        <f t="shared" si="458"/>
        <v>1646072.6277439878</v>
      </c>
      <c r="K1198" s="1">
        <f t="shared" si="459"/>
        <v>2177.1799999999998</v>
      </c>
      <c r="L1198" s="5">
        <f t="shared" si="460"/>
        <v>0.23287671232876717</v>
      </c>
      <c r="M1198" s="5">
        <f t="shared" si="461"/>
        <v>-0.52141295773256457</v>
      </c>
      <c r="N1198" s="5">
        <f t="shared" si="462"/>
        <v>59.974739172773099</v>
      </c>
      <c r="O1198" s="1">
        <f t="shared" si="463"/>
        <v>0</v>
      </c>
      <c r="P1198" s="1">
        <f t="shared" si="464"/>
        <v>2177.1799999999998</v>
      </c>
      <c r="Q1198" s="5">
        <f t="shared" si="465"/>
        <v>0.23287671232876717</v>
      </c>
      <c r="R1198" s="5">
        <f t="shared" si="466"/>
        <v>-0.52141295773256457</v>
      </c>
      <c r="S1198" s="5">
        <f t="shared" si="449"/>
        <v>59.974739172773099</v>
      </c>
      <c r="T1198" s="5">
        <f t="shared" si="450"/>
        <v>-736.15700411385774</v>
      </c>
      <c r="U1198" s="4">
        <f t="shared" si="451"/>
        <v>1646099.1903954328</v>
      </c>
      <c r="V1198" s="4">
        <f t="shared" si="467"/>
        <v>26.563080086107117</v>
      </c>
      <c r="W1198" s="4">
        <f t="shared" si="452"/>
        <v>1601948.3660834942</v>
      </c>
      <c r="X1198" s="4">
        <f t="shared" si="456"/>
        <v>6333.1277791194152</v>
      </c>
      <c r="Y1198" s="9">
        <f>SUM($X$6:X1198)</f>
        <v>601948.36608349415</v>
      </c>
      <c r="Z1198" s="16">
        <f t="shared" si="457"/>
        <v>0.60194836608349411</v>
      </c>
      <c r="AA1198" s="16">
        <f t="shared" si="453"/>
        <v>0.70028816187179932</v>
      </c>
      <c r="AB1198" s="16">
        <f t="shared" si="454"/>
        <v>3.969082036249222E-3</v>
      </c>
      <c r="AC1198" s="16">
        <f t="shared" si="455"/>
        <v>5.2964679410907088E-3</v>
      </c>
    </row>
    <row r="1199" spans="1:29" x14ac:dyDescent="0.15">
      <c r="A1199" s="8">
        <v>42642</v>
      </c>
      <c r="B1199" s="4">
        <v>2151.13</v>
      </c>
      <c r="C1199" s="1">
        <v>13.898300000000001</v>
      </c>
      <c r="D1199" s="1">
        <v>2.15</v>
      </c>
      <c r="E1199" s="1">
        <v>0.86439999999999995</v>
      </c>
      <c r="F1199" s="4">
        <f t="shared" si="445"/>
        <v>0.138983</v>
      </c>
      <c r="G1199" s="4">
        <f t="shared" si="446"/>
        <v>2.1499999999999998E-2</v>
      </c>
      <c r="H1199" s="4">
        <f t="shared" si="447"/>
        <v>8.6439999999999989E-3</v>
      </c>
      <c r="I1199" s="3">
        <f t="shared" si="448"/>
        <v>62.816745270035092</v>
      </c>
      <c r="J1199" s="4">
        <f t="shared" si="458"/>
        <v>1646099.1903954328</v>
      </c>
      <c r="K1199" s="1">
        <f t="shared" si="459"/>
        <v>2177.1799999999998</v>
      </c>
      <c r="L1199" s="5">
        <f t="shared" si="460"/>
        <v>0.23013698630136992</v>
      </c>
      <c r="M1199" s="5">
        <f t="shared" si="461"/>
        <v>-0.57312022068308999</v>
      </c>
      <c r="N1199" s="5">
        <f t="shared" si="462"/>
        <v>74.969272773147168</v>
      </c>
      <c r="O1199" s="1">
        <f t="shared" si="463"/>
        <v>0</v>
      </c>
      <c r="P1199" s="1">
        <f t="shared" si="464"/>
        <v>2177.1799999999998</v>
      </c>
      <c r="Q1199" s="5">
        <f t="shared" si="465"/>
        <v>0.23013698630136992</v>
      </c>
      <c r="R1199" s="5">
        <f t="shared" si="466"/>
        <v>-0.57312022068308999</v>
      </c>
      <c r="S1199" s="5">
        <f t="shared" si="449"/>
        <v>74.969272773147168</v>
      </c>
      <c r="T1199" s="5">
        <f t="shared" si="450"/>
        <v>-736.15700411385774</v>
      </c>
      <c r="U1199" s="4">
        <f t="shared" si="451"/>
        <v>1646125.7534755189</v>
      </c>
      <c r="V1199" s="4">
        <f t="shared" si="467"/>
        <v>26.563508734166589</v>
      </c>
      <c r="W1199" s="4">
        <f t="shared" si="452"/>
        <v>1590936.5982302444</v>
      </c>
      <c r="X1199" s="4">
        <f t="shared" si="456"/>
        <v>-11011.767853249796</v>
      </c>
      <c r="Y1199" s="9">
        <f>SUM($X$6:X1199)</f>
        <v>590936.59823024436</v>
      </c>
      <c r="Z1199" s="16">
        <f t="shared" si="457"/>
        <v>0.59093659823024436</v>
      </c>
      <c r="AA1199" s="16">
        <f t="shared" si="453"/>
        <v>0.68443925892283852</v>
      </c>
      <c r="AB1199" s="16">
        <f t="shared" si="454"/>
        <v>-6.8739842596623729E-3</v>
      </c>
      <c r="AC1199" s="16">
        <f t="shared" si="455"/>
        <v>-9.3213040614910318E-3</v>
      </c>
    </row>
    <row r="1200" spans="1:29" x14ac:dyDescent="0.15">
      <c r="A1200" s="8">
        <v>42643</v>
      </c>
      <c r="B1200" s="4">
        <v>2168.27</v>
      </c>
      <c r="C1200" s="1">
        <v>13.0098</v>
      </c>
      <c r="D1200" s="1">
        <v>2.13</v>
      </c>
      <c r="E1200" s="1">
        <v>0.87260000000000004</v>
      </c>
      <c r="F1200" s="4">
        <f t="shared" si="445"/>
        <v>0.13009799999999999</v>
      </c>
      <c r="G1200" s="4">
        <f t="shared" si="446"/>
        <v>2.1299999999999999E-2</v>
      </c>
      <c r="H1200" s="4">
        <f t="shared" si="447"/>
        <v>8.7260000000000011E-3</v>
      </c>
      <c r="I1200" s="3">
        <f t="shared" si="448"/>
        <v>59.422585790446064</v>
      </c>
      <c r="J1200" s="4">
        <f t="shared" si="458"/>
        <v>1646125.7534755189</v>
      </c>
      <c r="K1200" s="1">
        <f t="shared" si="459"/>
        <v>2177.1799999999998</v>
      </c>
      <c r="L1200" s="5">
        <f t="shared" si="460"/>
        <v>0.22739726027397267</v>
      </c>
      <c r="M1200" s="5">
        <f t="shared" si="461"/>
        <v>-0.52977470452922026</v>
      </c>
      <c r="N1200" s="5">
        <f t="shared" si="462"/>
        <v>61.455274730381539</v>
      </c>
      <c r="O1200" s="1">
        <f t="shared" si="463"/>
        <v>0</v>
      </c>
      <c r="P1200" s="1">
        <f t="shared" si="464"/>
        <v>2177.1799999999998</v>
      </c>
      <c r="Q1200" s="5">
        <f t="shared" si="465"/>
        <v>0.22739726027397267</v>
      </c>
      <c r="R1200" s="5">
        <f t="shared" si="466"/>
        <v>-0.52977470452922026</v>
      </c>
      <c r="S1200" s="5">
        <f t="shared" si="449"/>
        <v>61.455274730381539</v>
      </c>
      <c r="T1200" s="5">
        <f t="shared" si="450"/>
        <v>-736.15700411385774</v>
      </c>
      <c r="U1200" s="4">
        <f t="shared" si="451"/>
        <v>1646152.316984253</v>
      </c>
      <c r="V1200" s="4">
        <f t="shared" si="467"/>
        <v>26.563937389143149</v>
      </c>
      <c r="W1200" s="4">
        <f t="shared" si="452"/>
        <v>1600911.5860517411</v>
      </c>
      <c r="X1200" s="4">
        <f t="shared" si="456"/>
        <v>9974.9878214967903</v>
      </c>
      <c r="Y1200" s="9">
        <f>SUM($X$6:X1200)</f>
        <v>600911.58605174115</v>
      </c>
      <c r="Z1200" s="16">
        <f t="shared" si="457"/>
        <v>0.60091158605174111</v>
      </c>
      <c r="AA1200" s="16">
        <f t="shared" si="453"/>
        <v>0.69786071132131622</v>
      </c>
      <c r="AB1200" s="16">
        <f t="shared" si="454"/>
        <v>6.2698839366653282E-3</v>
      </c>
      <c r="AC1200" s="16">
        <f t="shared" si="455"/>
        <v>7.9679052405014442E-3</v>
      </c>
    </row>
    <row r="1201" spans="1:29" x14ac:dyDescent="0.15">
      <c r="A1201" s="8">
        <v>42646</v>
      </c>
      <c r="B1201" s="4">
        <v>2161.1999999999998</v>
      </c>
      <c r="C1201" s="1">
        <v>13.228199999999999</v>
      </c>
      <c r="D1201" s="1">
        <v>2.15</v>
      </c>
      <c r="E1201" s="1">
        <v>0.877</v>
      </c>
      <c r="F1201" s="4">
        <f t="shared" si="445"/>
        <v>0.13228199999999998</v>
      </c>
      <c r="G1201" s="4">
        <f t="shared" si="446"/>
        <v>2.1499999999999998E-2</v>
      </c>
      <c r="H1201" s="4">
        <f t="shared" si="447"/>
        <v>8.77E-3</v>
      </c>
      <c r="I1201" s="3">
        <f t="shared" si="448"/>
        <v>60.205602893198368</v>
      </c>
      <c r="J1201" s="4">
        <f t="shared" si="458"/>
        <v>1646152.316984253</v>
      </c>
      <c r="K1201" s="1">
        <f t="shared" si="459"/>
        <v>2177.1799999999998</v>
      </c>
      <c r="L1201" s="5">
        <f t="shared" si="460"/>
        <v>0.21917808219178089</v>
      </c>
      <c r="M1201" s="5">
        <f t="shared" si="461"/>
        <v>-0.55032095809432491</v>
      </c>
      <c r="N1201" s="5">
        <f t="shared" si="462"/>
        <v>65.103311346382782</v>
      </c>
      <c r="O1201" s="1">
        <f t="shared" si="463"/>
        <v>0</v>
      </c>
      <c r="P1201" s="1">
        <f t="shared" si="464"/>
        <v>2177.1799999999998</v>
      </c>
      <c r="Q1201" s="5">
        <f t="shared" si="465"/>
        <v>0.21917808219178089</v>
      </c>
      <c r="R1201" s="5">
        <f t="shared" si="466"/>
        <v>-0.55032095809432491</v>
      </c>
      <c r="S1201" s="5">
        <f t="shared" si="449"/>
        <v>65.103311346382782</v>
      </c>
      <c r="T1201" s="5">
        <f t="shared" si="450"/>
        <v>-736.15700411385774</v>
      </c>
      <c r="U1201" s="4">
        <f t="shared" si="451"/>
        <v>1646178.8809216421</v>
      </c>
      <c r="V1201" s="4">
        <f t="shared" si="467"/>
        <v>79.693098153110711</v>
      </c>
      <c r="W1201" s="4">
        <f t="shared" si="452"/>
        <v>1598252.6222829972</v>
      </c>
      <c r="X1201" s="4">
        <f t="shared" si="456"/>
        <v>-2658.9637687439099</v>
      </c>
      <c r="Y1201" s="9">
        <f>SUM($X$6:X1201)</f>
        <v>598252.62228299724</v>
      </c>
      <c r="Z1201" s="16">
        <f t="shared" si="457"/>
        <v>0.59825262228299725</v>
      </c>
      <c r="AA1201" s="16">
        <f t="shared" si="453"/>
        <v>0.69232455796908521</v>
      </c>
      <c r="AB1201" s="16">
        <f t="shared" si="454"/>
        <v>-1.6609060687115126E-3</v>
      </c>
      <c r="AC1201" s="16">
        <f t="shared" si="455"/>
        <v>-3.2606640316935453E-3</v>
      </c>
    </row>
    <row r="1202" spans="1:29" x14ac:dyDescent="0.15">
      <c r="A1202" s="8">
        <v>42647</v>
      </c>
      <c r="B1202" s="4">
        <v>2150.4899999999998</v>
      </c>
      <c r="C1202" s="1">
        <v>13.4712</v>
      </c>
      <c r="D1202" s="1">
        <v>2.16</v>
      </c>
      <c r="E1202" s="1">
        <v>0.88349999999999995</v>
      </c>
      <c r="F1202" s="4">
        <f t="shared" si="445"/>
        <v>0.134712</v>
      </c>
      <c r="G1202" s="4">
        <f t="shared" si="446"/>
        <v>2.1600000000000001E-2</v>
      </c>
      <c r="H1202" s="4">
        <f t="shared" si="447"/>
        <v>8.8349999999999991E-3</v>
      </c>
      <c r="I1202" s="3">
        <f t="shared" si="448"/>
        <v>60.950970277828965</v>
      </c>
      <c r="J1202" s="4">
        <f t="shared" si="458"/>
        <v>1646178.8809216421</v>
      </c>
      <c r="K1202" s="1">
        <f t="shared" si="459"/>
        <v>2177.1799999999998</v>
      </c>
      <c r="L1202" s="5">
        <f t="shared" si="460"/>
        <v>0.21643835616438364</v>
      </c>
      <c r="M1202" s="5">
        <f t="shared" si="461"/>
        <v>-0.58027617586013203</v>
      </c>
      <c r="N1202" s="5">
        <f t="shared" si="462"/>
        <v>71.751872454639923</v>
      </c>
      <c r="O1202" s="1">
        <f t="shared" si="463"/>
        <v>0</v>
      </c>
      <c r="P1202" s="1">
        <f t="shared" si="464"/>
        <v>2177.1799999999998</v>
      </c>
      <c r="Q1202" s="5">
        <f t="shared" si="465"/>
        <v>0.21643835616438364</v>
      </c>
      <c r="R1202" s="5">
        <f t="shared" si="466"/>
        <v>-0.58027617586013203</v>
      </c>
      <c r="S1202" s="5">
        <f t="shared" si="449"/>
        <v>71.751872454639923</v>
      </c>
      <c r="T1202" s="5">
        <f t="shared" si="450"/>
        <v>-736.15700411385774</v>
      </c>
      <c r="U1202" s="4">
        <f t="shared" si="451"/>
        <v>1646258.5740197953</v>
      </c>
      <c r="V1202" s="4">
        <f t="shared" si="467"/>
        <v>26.565652057470118</v>
      </c>
      <c r="W1202" s="4">
        <f t="shared" si="452"/>
        <v>1593437.9305540279</v>
      </c>
      <c r="X1202" s="4">
        <f t="shared" si="456"/>
        <v>-4814.6917289693374</v>
      </c>
      <c r="Y1202" s="9">
        <f>SUM($X$6:X1202)</f>
        <v>593437.9305540279</v>
      </c>
      <c r="Z1202" s="16">
        <f t="shared" si="457"/>
        <v>0.59343793055402794</v>
      </c>
      <c r="AA1202" s="16">
        <f t="shared" si="453"/>
        <v>0.68393810784144826</v>
      </c>
      <c r="AB1202" s="16">
        <f t="shared" si="454"/>
        <v>-3.0124722849457124E-3</v>
      </c>
      <c r="AC1202" s="16">
        <f t="shared" si="455"/>
        <v>-4.9555802332037933E-3</v>
      </c>
    </row>
    <row r="1203" spans="1:29" x14ac:dyDescent="0.15">
      <c r="A1203" s="8">
        <v>42648</v>
      </c>
      <c r="B1203" s="4">
        <v>2159.73</v>
      </c>
      <c r="C1203" s="1">
        <v>13.1534</v>
      </c>
      <c r="D1203" s="1">
        <v>2.15</v>
      </c>
      <c r="E1203" s="1">
        <v>0.88680000000000003</v>
      </c>
      <c r="F1203" s="4">
        <f t="shared" si="445"/>
        <v>0.13153399999999998</v>
      </c>
      <c r="G1203" s="4">
        <f t="shared" si="446"/>
        <v>2.1499999999999998E-2</v>
      </c>
      <c r="H1203" s="4">
        <f t="shared" si="447"/>
        <v>8.8680000000000009E-3</v>
      </c>
      <c r="I1203" s="3">
        <f t="shared" si="448"/>
        <v>59.816585090780265</v>
      </c>
      <c r="J1203" s="4">
        <f t="shared" si="458"/>
        <v>1646258.5740197953</v>
      </c>
      <c r="K1203" s="1">
        <f t="shared" si="459"/>
        <v>2177.1799999999998</v>
      </c>
      <c r="L1203" s="5">
        <f t="shared" si="460"/>
        <v>0.21369863013698639</v>
      </c>
      <c r="M1203" s="5">
        <f t="shared" si="461"/>
        <v>-0.55561402326863474</v>
      </c>
      <c r="N1203" s="5">
        <f t="shared" si="462"/>
        <v>64.853967422622958</v>
      </c>
      <c r="O1203" s="1">
        <f t="shared" si="463"/>
        <v>0</v>
      </c>
      <c r="P1203" s="1">
        <f t="shared" si="464"/>
        <v>2177.1799999999998</v>
      </c>
      <c r="Q1203" s="5">
        <f t="shared" si="465"/>
        <v>0.21369863013698639</v>
      </c>
      <c r="R1203" s="5">
        <f t="shared" si="466"/>
        <v>-0.55561402326863474</v>
      </c>
      <c r="S1203" s="5">
        <f t="shared" si="449"/>
        <v>64.853967422622958</v>
      </c>
      <c r="T1203" s="5">
        <f t="shared" si="450"/>
        <v>-736.15700411385774</v>
      </c>
      <c r="U1203" s="4">
        <f t="shared" si="451"/>
        <v>1646285.1396718528</v>
      </c>
      <c r="V1203" s="4">
        <f t="shared" si="467"/>
        <v>26.56608074703346</v>
      </c>
      <c r="W1203" s="4">
        <f t="shared" si="452"/>
        <v>1598542.4373091171</v>
      </c>
      <c r="X1203" s="4">
        <f t="shared" si="456"/>
        <v>5104.5067550891545</v>
      </c>
      <c r="Y1203" s="9">
        <f>SUM($X$6:X1203)</f>
        <v>598542.43730911706</v>
      </c>
      <c r="Z1203" s="16">
        <f t="shared" si="457"/>
        <v>0.59854243730911705</v>
      </c>
      <c r="AA1203" s="16">
        <f t="shared" si="453"/>
        <v>0.69117347657901751</v>
      </c>
      <c r="AB1203" s="16">
        <f t="shared" si="454"/>
        <v>3.2034550309181804E-3</v>
      </c>
      <c r="AC1203" s="16">
        <f t="shared" si="455"/>
        <v>4.2966951717981657E-3</v>
      </c>
    </row>
    <row r="1204" spans="1:29" x14ac:dyDescent="0.15">
      <c r="A1204" s="8">
        <v>42649</v>
      </c>
      <c r="B1204" s="4">
        <v>2160.77</v>
      </c>
      <c r="C1204" s="1">
        <v>12.994400000000001</v>
      </c>
      <c r="D1204" s="1">
        <v>2.15</v>
      </c>
      <c r="E1204" s="1">
        <v>0.89090000000000003</v>
      </c>
      <c r="F1204" s="4">
        <f t="shared" si="445"/>
        <v>0.129944</v>
      </c>
      <c r="G1204" s="4">
        <f t="shared" si="446"/>
        <v>2.1499999999999998E-2</v>
      </c>
      <c r="H1204" s="4">
        <f t="shared" si="447"/>
        <v>8.9090000000000003E-3</v>
      </c>
      <c r="I1204" s="3">
        <f t="shared" si="448"/>
        <v>59.153032606929614</v>
      </c>
      <c r="J1204" s="4">
        <f t="shared" si="458"/>
        <v>1646285.1396718528</v>
      </c>
      <c r="K1204" s="1">
        <f t="shared" si="459"/>
        <v>2177.1799999999998</v>
      </c>
      <c r="L1204" s="5">
        <f t="shared" si="460"/>
        <v>0.21095890410958915</v>
      </c>
      <c r="M1204" s="5">
        <f t="shared" si="461"/>
        <v>-0.55371694974207708</v>
      </c>
      <c r="N1204" s="5">
        <f t="shared" si="462"/>
        <v>63.274215368814346</v>
      </c>
      <c r="O1204" s="1">
        <f t="shared" si="463"/>
        <v>0</v>
      </c>
      <c r="P1204" s="1">
        <f t="shared" si="464"/>
        <v>2177.1799999999998</v>
      </c>
      <c r="Q1204" s="5">
        <f t="shared" si="465"/>
        <v>0.21095890410958915</v>
      </c>
      <c r="R1204" s="5">
        <f t="shared" si="466"/>
        <v>-0.55371694974207708</v>
      </c>
      <c r="S1204" s="5">
        <f t="shared" si="449"/>
        <v>63.274215368814346</v>
      </c>
      <c r="T1204" s="5">
        <f t="shared" si="450"/>
        <v>-736.15700411385774</v>
      </c>
      <c r="U1204" s="4">
        <f t="shared" si="451"/>
        <v>1646311.7057525998</v>
      </c>
      <c r="V1204" s="4">
        <f t="shared" si="467"/>
        <v>26.566509443514551</v>
      </c>
      <c r="W1204" s="4">
        <f t="shared" si="452"/>
        <v>1599731.9489290384</v>
      </c>
      <c r="X1204" s="4">
        <f t="shared" si="456"/>
        <v>1189.511619921308</v>
      </c>
      <c r="Y1204" s="9">
        <f>SUM($X$6:X1204)</f>
        <v>599731.94892903836</v>
      </c>
      <c r="Z1204" s="16">
        <f t="shared" si="457"/>
        <v>0.59973194892903836</v>
      </c>
      <c r="AA1204" s="16">
        <f t="shared" si="453"/>
        <v>0.69198784708627636</v>
      </c>
      <c r="AB1204" s="16">
        <f t="shared" si="454"/>
        <v>7.4412264082500987E-4</v>
      </c>
      <c r="AC1204" s="16">
        <f t="shared" si="455"/>
        <v>4.8154167419073849E-4</v>
      </c>
    </row>
    <row r="1205" spans="1:29" x14ac:dyDescent="0.15">
      <c r="A1205" s="8">
        <v>42650</v>
      </c>
      <c r="B1205" s="4">
        <v>2153.7399999999998</v>
      </c>
      <c r="C1205" s="1">
        <v>13.3146</v>
      </c>
      <c r="D1205" s="1">
        <v>2.15</v>
      </c>
      <c r="E1205" s="1">
        <v>0.89549999999999996</v>
      </c>
      <c r="F1205" s="4">
        <f t="shared" si="445"/>
        <v>0.13314600000000001</v>
      </c>
      <c r="G1205" s="4">
        <f t="shared" si="446"/>
        <v>2.1499999999999998E-2</v>
      </c>
      <c r="H1205" s="4">
        <f t="shared" si="447"/>
        <v>8.9549999999999994E-3</v>
      </c>
      <c r="I1205" s="3">
        <f t="shared" si="448"/>
        <v>60.313693459035456</v>
      </c>
      <c r="J1205" s="4">
        <f t="shared" si="458"/>
        <v>1646311.7057525998</v>
      </c>
      <c r="K1205" s="1">
        <f t="shared" si="459"/>
        <v>2177.1799999999998</v>
      </c>
      <c r="L1205" s="5">
        <f t="shared" si="460"/>
        <v>0.2082191780821919</v>
      </c>
      <c r="M1205" s="5">
        <f t="shared" si="461"/>
        <v>-0.573080102454254</v>
      </c>
      <c r="N1205" s="5">
        <f t="shared" si="462"/>
        <v>68.088752360197887</v>
      </c>
      <c r="O1205" s="1">
        <f t="shared" si="463"/>
        <v>0</v>
      </c>
      <c r="P1205" s="1">
        <f t="shared" si="464"/>
        <v>2177.1799999999998</v>
      </c>
      <c r="Q1205" s="5">
        <f t="shared" si="465"/>
        <v>0.2082191780821919</v>
      </c>
      <c r="R1205" s="5">
        <f t="shared" si="466"/>
        <v>-0.573080102454254</v>
      </c>
      <c r="S1205" s="5">
        <f t="shared" si="449"/>
        <v>68.088752360197887</v>
      </c>
      <c r="T1205" s="5">
        <f t="shared" si="450"/>
        <v>-736.15700411385774</v>
      </c>
      <c r="U1205" s="4">
        <f t="shared" si="451"/>
        <v>1646338.2722620433</v>
      </c>
      <c r="V1205" s="4">
        <f t="shared" si="467"/>
        <v>26.566938146913515</v>
      </c>
      <c r="W1205" s="4">
        <f t="shared" si="452"/>
        <v>1596214.2603107097</v>
      </c>
      <c r="X1205" s="4">
        <f t="shared" si="456"/>
        <v>-3517.6886183286551</v>
      </c>
      <c r="Y1205" s="9">
        <f>SUM($X$6:X1205)</f>
        <v>596214.26031070971</v>
      </c>
      <c r="Z1205" s="16">
        <f t="shared" si="457"/>
        <v>0.59621426031070968</v>
      </c>
      <c r="AA1205" s="16">
        <f t="shared" si="453"/>
        <v>0.68648301567663217</v>
      </c>
      <c r="AB1205" s="16">
        <f t="shared" si="454"/>
        <v>-2.1989237763761723E-3</v>
      </c>
      <c r="AC1205" s="16">
        <f t="shared" si="455"/>
        <v>-3.2534698278855224E-3</v>
      </c>
    </row>
    <row r="1206" spans="1:29" x14ac:dyDescent="0.15">
      <c r="A1206" s="8">
        <v>42653</v>
      </c>
      <c r="B1206" s="4">
        <v>2163.66</v>
      </c>
      <c r="C1206" s="1">
        <v>12.814399999999999</v>
      </c>
      <c r="D1206" s="1">
        <v>2.14</v>
      </c>
      <c r="E1206" s="1">
        <v>0.89329999999999998</v>
      </c>
      <c r="F1206" s="4">
        <f t="shared" si="445"/>
        <v>0.12814399999999998</v>
      </c>
      <c r="G1206" s="4">
        <f t="shared" si="446"/>
        <v>2.1400000000000002E-2</v>
      </c>
      <c r="H1206" s="4">
        <f t="shared" si="447"/>
        <v>8.933E-3</v>
      </c>
      <c r="I1206" s="3">
        <f t="shared" si="448"/>
        <v>58.426545634750262</v>
      </c>
      <c r="J1206" s="4">
        <f t="shared" si="458"/>
        <v>1646338.2722620433</v>
      </c>
      <c r="K1206" s="1">
        <f t="shared" si="459"/>
        <v>2177.1799999999998</v>
      </c>
      <c r="L1206" s="5">
        <f t="shared" si="460"/>
        <v>0.20000000000000012</v>
      </c>
      <c r="M1206" s="5">
        <f t="shared" si="461"/>
        <v>-0.54681997504103474</v>
      </c>
      <c r="N1206" s="5">
        <f t="shared" si="462"/>
        <v>59.47326083419911</v>
      </c>
      <c r="O1206" s="1">
        <f t="shared" si="463"/>
        <v>0</v>
      </c>
      <c r="P1206" s="1">
        <f t="shared" si="464"/>
        <v>2177.1799999999998</v>
      </c>
      <c r="Q1206" s="5">
        <f t="shared" si="465"/>
        <v>0.20000000000000012</v>
      </c>
      <c r="R1206" s="5">
        <f t="shared" si="466"/>
        <v>-0.54681997504103474</v>
      </c>
      <c r="S1206" s="5">
        <f t="shared" si="449"/>
        <v>59.47326083419911</v>
      </c>
      <c r="T1206" s="5">
        <f t="shared" si="450"/>
        <v>-736.15700411385774</v>
      </c>
      <c r="U1206" s="4">
        <f t="shared" si="451"/>
        <v>1646364.8392001903</v>
      </c>
      <c r="V1206" s="4">
        <f t="shared" si="467"/>
        <v>79.702100571691403</v>
      </c>
      <c r="W1206" s="4">
        <f t="shared" si="452"/>
        <v>1602583.1816796041</v>
      </c>
      <c r="X1206" s="4">
        <f t="shared" si="456"/>
        <v>6368.9213688944001</v>
      </c>
      <c r="Y1206" s="9">
        <f>SUM($X$6:X1206)</f>
        <v>602583.18167960411</v>
      </c>
      <c r="Z1206" s="16">
        <f t="shared" si="457"/>
        <v>0.60258318167960412</v>
      </c>
      <c r="AA1206" s="16">
        <f t="shared" si="453"/>
        <v>0.69425085743817827</v>
      </c>
      <c r="AB1206" s="16">
        <f t="shared" si="454"/>
        <v>3.9900165831463401E-3</v>
      </c>
      <c r="AC1206" s="16">
        <f t="shared" si="455"/>
        <v>4.6059412928208948E-3</v>
      </c>
    </row>
    <row r="1207" spans="1:29" x14ac:dyDescent="0.15">
      <c r="A1207" s="8">
        <v>42654</v>
      </c>
      <c r="B1207" s="4">
        <v>2136.73</v>
      </c>
      <c r="C1207" s="1">
        <v>13.913399999999999</v>
      </c>
      <c r="D1207" s="1">
        <v>2.17</v>
      </c>
      <c r="E1207" s="1">
        <v>0.89700000000000002</v>
      </c>
      <c r="F1207" s="4">
        <f t="shared" si="445"/>
        <v>0.13913399999999998</v>
      </c>
      <c r="G1207" s="4">
        <f t="shared" si="446"/>
        <v>2.1700000000000001E-2</v>
      </c>
      <c r="H1207" s="4">
        <f t="shared" si="447"/>
        <v>8.9700000000000005E-3</v>
      </c>
      <c r="I1207" s="3">
        <f t="shared" si="448"/>
        <v>62.421409132699367</v>
      </c>
      <c r="J1207" s="4">
        <f t="shared" si="458"/>
        <v>1646364.8392001903</v>
      </c>
      <c r="K1207" s="1">
        <f t="shared" si="459"/>
        <v>2177.1799999999998</v>
      </c>
      <c r="L1207" s="5">
        <f t="shared" si="460"/>
        <v>0.19726027397260287</v>
      </c>
      <c r="M1207" s="5">
        <f t="shared" si="461"/>
        <v>-0.62028383119557362</v>
      </c>
      <c r="N1207" s="5">
        <f t="shared" si="462"/>
        <v>78.976902435507128</v>
      </c>
      <c r="O1207" s="1">
        <f t="shared" si="463"/>
        <v>0</v>
      </c>
      <c r="P1207" s="1">
        <f t="shared" si="464"/>
        <v>2177.1799999999998</v>
      </c>
      <c r="Q1207" s="5">
        <f t="shared" si="465"/>
        <v>0.19726027397260287</v>
      </c>
      <c r="R1207" s="5">
        <f t="shared" si="466"/>
        <v>-0.62028383119557362</v>
      </c>
      <c r="S1207" s="5">
        <f t="shared" si="449"/>
        <v>78.976902435507128</v>
      </c>
      <c r="T1207" s="5">
        <f t="shared" si="450"/>
        <v>-736.15700411385774</v>
      </c>
      <c r="U1207" s="4">
        <f t="shared" si="451"/>
        <v>1646444.541300762</v>
      </c>
      <c r="V1207" s="4">
        <f t="shared" si="467"/>
        <v>26.568653008935581</v>
      </c>
      <c r="W1207" s="4">
        <f t="shared" si="452"/>
        <v>1588305.1414096467</v>
      </c>
      <c r="X1207" s="4">
        <f t="shared" si="456"/>
        <v>-14278.04026995739</v>
      </c>
      <c r="Y1207" s="9">
        <f>SUM($X$6:X1207)</f>
        <v>588305.14140964672</v>
      </c>
      <c r="Z1207" s="16">
        <f t="shared" si="457"/>
        <v>0.58830514140964674</v>
      </c>
      <c r="AA1207" s="16">
        <f t="shared" si="453"/>
        <v>0.67316335959156193</v>
      </c>
      <c r="AB1207" s="16">
        <f t="shared" si="454"/>
        <v>-8.9093910588735493E-3</v>
      </c>
      <c r="AC1207" s="16">
        <f t="shared" si="455"/>
        <v>-1.2446502685264708E-2</v>
      </c>
    </row>
    <row r="1208" spans="1:29" x14ac:dyDescent="0.15">
      <c r="A1208" s="8">
        <v>42655</v>
      </c>
      <c r="B1208" s="4">
        <v>2139.1799999999998</v>
      </c>
      <c r="C1208" s="1">
        <v>13.944800000000001</v>
      </c>
      <c r="D1208" s="1">
        <v>2.17</v>
      </c>
      <c r="E1208" s="1">
        <v>0.90010000000000001</v>
      </c>
      <c r="F1208" s="4">
        <f t="shared" si="445"/>
        <v>0.13944800000000002</v>
      </c>
      <c r="G1208" s="4">
        <f t="shared" si="446"/>
        <v>2.1700000000000001E-2</v>
      </c>
      <c r="H1208" s="4">
        <f t="shared" si="447"/>
        <v>9.0010000000000003E-3</v>
      </c>
      <c r="I1208" s="3">
        <f t="shared" si="448"/>
        <v>62.617277817848247</v>
      </c>
      <c r="J1208" s="4">
        <f t="shared" si="458"/>
        <v>1646444.541300762</v>
      </c>
      <c r="K1208" s="1">
        <f t="shared" si="459"/>
        <v>2177.1799999999998</v>
      </c>
      <c r="L1208" s="5">
        <f t="shared" si="460"/>
        <v>0.19452054794520562</v>
      </c>
      <c r="M1208" s="5">
        <f t="shared" si="461"/>
        <v>-0.61367712814808495</v>
      </c>
      <c r="N1208" s="5">
        <f t="shared" si="462"/>
        <v>77.175892066211418</v>
      </c>
      <c r="O1208" s="1">
        <f t="shared" si="463"/>
        <v>0</v>
      </c>
      <c r="P1208" s="1">
        <f t="shared" si="464"/>
        <v>2177.1799999999998</v>
      </c>
      <c r="Q1208" s="5">
        <f t="shared" si="465"/>
        <v>0.19452054794520562</v>
      </c>
      <c r="R1208" s="5">
        <f t="shared" si="466"/>
        <v>-0.61367712814808495</v>
      </c>
      <c r="S1208" s="5">
        <f t="shared" si="449"/>
        <v>77.175892066211418</v>
      </c>
      <c r="T1208" s="5">
        <f t="shared" si="450"/>
        <v>-736.15700411385774</v>
      </c>
      <c r="U1208" s="4">
        <f t="shared" si="451"/>
        <v>1646471.1099537709</v>
      </c>
      <c r="V1208" s="4">
        <f t="shared" si="467"/>
        <v>26.569081746925232</v>
      </c>
      <c r="W1208" s="4">
        <f t="shared" si="452"/>
        <v>1589657.5364604942</v>
      </c>
      <c r="X1208" s="4">
        <f t="shared" si="456"/>
        <v>1352.3950508474372</v>
      </c>
      <c r="Y1208" s="9">
        <f>SUM($X$6:X1208)</f>
        <v>589657.53646049416</v>
      </c>
      <c r="Z1208" s="16">
        <f t="shared" si="457"/>
        <v>0.58965753646049412</v>
      </c>
      <c r="AA1208" s="16">
        <f t="shared" si="453"/>
        <v>0.6750818285750082</v>
      </c>
      <c r="AB1208" s="16">
        <f t="shared" si="454"/>
        <v>8.5147054907041642E-4</v>
      </c>
      <c r="AC1208" s="16">
        <f t="shared" si="455"/>
        <v>1.1466118788989804E-3</v>
      </c>
    </row>
    <row r="1209" spans="1:29" x14ac:dyDescent="0.15">
      <c r="A1209" s="8">
        <v>42656</v>
      </c>
      <c r="B1209" s="4">
        <v>2132.5500000000002</v>
      </c>
      <c r="C1209" s="1">
        <v>14.498900000000001</v>
      </c>
      <c r="D1209" s="1">
        <v>2.17</v>
      </c>
      <c r="E1209" s="1">
        <v>0.89959999999999996</v>
      </c>
      <c r="F1209" s="4">
        <f t="shared" si="445"/>
        <v>0.14498900000000001</v>
      </c>
      <c r="G1209" s="4">
        <f t="shared" si="446"/>
        <v>2.1700000000000001E-2</v>
      </c>
      <c r="H1209" s="4">
        <f t="shared" si="447"/>
        <v>8.9959999999999988E-3</v>
      </c>
      <c r="I1209" s="3">
        <f t="shared" si="448"/>
        <v>64.765631653738112</v>
      </c>
      <c r="J1209" s="4">
        <f t="shared" si="458"/>
        <v>1646471.1099537709</v>
      </c>
      <c r="K1209" s="1">
        <f t="shared" si="459"/>
        <v>2177.1799999999998</v>
      </c>
      <c r="L1209" s="5">
        <f t="shared" si="460"/>
        <v>0.19178082191780838</v>
      </c>
      <c r="M1209" s="5">
        <f t="shared" si="461"/>
        <v>-0.62774875743269265</v>
      </c>
      <c r="N1209" s="5">
        <f t="shared" si="462"/>
        <v>82.857539138638785</v>
      </c>
      <c r="O1209" s="1">
        <f t="shared" si="463"/>
        <v>0</v>
      </c>
      <c r="P1209" s="1">
        <f t="shared" si="464"/>
        <v>2177.1799999999998</v>
      </c>
      <c r="Q1209" s="5">
        <f t="shared" si="465"/>
        <v>0.19178082191780838</v>
      </c>
      <c r="R1209" s="5">
        <f t="shared" si="466"/>
        <v>-0.62774875743269265</v>
      </c>
      <c r="S1209" s="5">
        <f t="shared" si="449"/>
        <v>82.857539138638785</v>
      </c>
      <c r="T1209" s="5">
        <f t="shared" si="450"/>
        <v>-736.15700411385774</v>
      </c>
      <c r="U1209" s="4">
        <f t="shared" si="451"/>
        <v>1646497.6790355179</v>
      </c>
      <c r="V1209" s="4">
        <f t="shared" si="467"/>
        <v>26.569510491833423</v>
      </c>
      <c r="W1209" s="4">
        <f t="shared" si="452"/>
        <v>1585501.5212549709</v>
      </c>
      <c r="X1209" s="4">
        <f t="shared" si="456"/>
        <v>-4156.015205523232</v>
      </c>
      <c r="Y1209" s="9">
        <f>SUM($X$6:X1209)</f>
        <v>585501.52125497092</v>
      </c>
      <c r="Z1209" s="16">
        <f t="shared" si="457"/>
        <v>0.5855015212549709</v>
      </c>
      <c r="AA1209" s="16">
        <f t="shared" si="453"/>
        <v>0.66989021659123316</v>
      </c>
      <c r="AB1209" s="16">
        <f t="shared" si="454"/>
        <v>-2.6144091480086637E-3</v>
      </c>
      <c r="AC1209" s="16">
        <f t="shared" si="455"/>
        <v>-3.0993184304264508E-3</v>
      </c>
    </row>
    <row r="1210" spans="1:29" x14ac:dyDescent="0.15">
      <c r="A1210" s="8">
        <v>42657</v>
      </c>
      <c r="B1210" s="4">
        <v>2132.98</v>
      </c>
      <c r="C1210" s="1">
        <v>14.410299999999999</v>
      </c>
      <c r="D1210" s="1">
        <v>2.17</v>
      </c>
      <c r="E1210" s="1">
        <v>0.90129999999999999</v>
      </c>
      <c r="F1210" s="4">
        <f t="shared" si="445"/>
        <v>0.14410299999999998</v>
      </c>
      <c r="G1210" s="4">
        <f t="shared" si="446"/>
        <v>2.1700000000000001E-2</v>
      </c>
      <c r="H1210" s="4">
        <f t="shared" si="447"/>
        <v>9.0130000000000002E-3</v>
      </c>
      <c r="I1210" s="3">
        <f t="shared" si="448"/>
        <v>64.399487952182881</v>
      </c>
      <c r="J1210" s="4">
        <f t="shared" si="458"/>
        <v>1646497.6790355179</v>
      </c>
      <c r="K1210" s="1">
        <f t="shared" si="459"/>
        <v>2177.1799999999998</v>
      </c>
      <c r="L1210" s="5">
        <f t="shared" si="460"/>
        <v>0.18904109589041113</v>
      </c>
      <c r="M1210" s="5">
        <f t="shared" si="461"/>
        <v>-0.62834434630152602</v>
      </c>
      <c r="N1210" s="5">
        <f t="shared" si="462"/>
        <v>81.864757458881087</v>
      </c>
      <c r="O1210" s="1">
        <f t="shared" si="463"/>
        <v>0</v>
      </c>
      <c r="P1210" s="1">
        <f t="shared" si="464"/>
        <v>2177.1799999999998</v>
      </c>
      <c r="Q1210" s="5">
        <f t="shared" si="465"/>
        <v>0.18904109589041113</v>
      </c>
      <c r="R1210" s="5">
        <f t="shared" si="466"/>
        <v>-0.62834434630152602</v>
      </c>
      <c r="S1210" s="5">
        <f t="shared" si="449"/>
        <v>81.864757458881087</v>
      </c>
      <c r="T1210" s="5">
        <f t="shared" si="450"/>
        <v>-736.15700411385774</v>
      </c>
      <c r="U1210" s="4">
        <f t="shared" si="451"/>
        <v>1646524.2485460097</v>
      </c>
      <c r="V1210" s="4">
        <f t="shared" si="467"/>
        <v>26.569939243660261</v>
      </c>
      <c r="W1210" s="4">
        <f t="shared" si="452"/>
        <v>1586258.9339525721</v>
      </c>
      <c r="X1210" s="4">
        <f t="shared" si="456"/>
        <v>757.41269760113209</v>
      </c>
      <c r="Y1210" s="9">
        <f>SUM($X$6:X1210)</f>
        <v>586258.93395257206</v>
      </c>
      <c r="Z1210" s="16">
        <f t="shared" si="457"/>
        <v>0.586258933952572</v>
      </c>
      <c r="AA1210" s="16">
        <f t="shared" si="453"/>
        <v>0.670226927474042</v>
      </c>
      <c r="AB1210" s="16">
        <f t="shared" si="454"/>
        <v>4.7771174448424229E-4</v>
      </c>
      <c r="AC1210" s="16">
        <f t="shared" si="455"/>
        <v>2.01636538416373E-4</v>
      </c>
    </row>
    <row r="1211" spans="1:29" x14ac:dyDescent="0.15">
      <c r="A1211" s="8">
        <v>42660</v>
      </c>
      <c r="B1211" s="4">
        <v>2126.5</v>
      </c>
      <c r="C1211" s="1">
        <v>14.504200000000001</v>
      </c>
      <c r="D1211" s="1">
        <v>2.1800000000000002</v>
      </c>
      <c r="E1211" s="1">
        <v>0.89710000000000001</v>
      </c>
      <c r="F1211" s="4">
        <f t="shared" si="445"/>
        <v>0.145042</v>
      </c>
      <c r="G1211" s="4">
        <f t="shared" si="446"/>
        <v>2.18E-2</v>
      </c>
      <c r="H1211" s="4">
        <f t="shared" si="447"/>
        <v>8.9709999999999998E-3</v>
      </c>
      <c r="I1211" s="3">
        <f t="shared" si="448"/>
        <v>64.637784211476088</v>
      </c>
      <c r="J1211" s="4">
        <f t="shared" si="458"/>
        <v>1646524.2485460097</v>
      </c>
      <c r="K1211" s="1">
        <f t="shared" si="459"/>
        <v>2177.1799999999998</v>
      </c>
      <c r="L1211" s="5">
        <f t="shared" si="460"/>
        <v>0.18082191780821935</v>
      </c>
      <c r="M1211" s="5">
        <f t="shared" si="461"/>
        <v>-0.64867189844616502</v>
      </c>
      <c r="N1211" s="5">
        <f t="shared" si="462"/>
        <v>85.126917267360099</v>
      </c>
      <c r="O1211" s="1">
        <f t="shared" si="463"/>
        <v>0</v>
      </c>
      <c r="P1211" s="1">
        <f t="shared" si="464"/>
        <v>2177.1799999999998</v>
      </c>
      <c r="Q1211" s="5">
        <f t="shared" si="465"/>
        <v>0.18082191780821935</v>
      </c>
      <c r="R1211" s="5">
        <f t="shared" si="466"/>
        <v>-0.64867189844616502</v>
      </c>
      <c r="S1211" s="5">
        <f t="shared" si="449"/>
        <v>85.126917267360099</v>
      </c>
      <c r="T1211" s="5">
        <f t="shared" si="450"/>
        <v>-736.15700411385774</v>
      </c>
      <c r="U1211" s="4">
        <f t="shared" si="451"/>
        <v>1646550.8184852533</v>
      </c>
      <c r="V1211" s="4">
        <f t="shared" si="467"/>
        <v>79.7111040072176</v>
      </c>
      <c r="W1211" s="4">
        <f t="shared" si="452"/>
        <v>1583884.0421002652</v>
      </c>
      <c r="X1211" s="4">
        <f t="shared" si="456"/>
        <v>-2374.8918523069005</v>
      </c>
      <c r="Y1211" s="9">
        <f>SUM($X$6:X1211)</f>
        <v>583884.04210026516</v>
      </c>
      <c r="Z1211" s="16">
        <f t="shared" si="457"/>
        <v>0.58388404210026512</v>
      </c>
      <c r="AA1211" s="16">
        <f t="shared" si="453"/>
        <v>0.66515277277496754</v>
      </c>
      <c r="AB1211" s="16">
        <f t="shared" si="454"/>
        <v>-1.4971653123423214E-3</v>
      </c>
      <c r="AC1211" s="16">
        <f t="shared" si="455"/>
        <v>-3.0380031692749197E-3</v>
      </c>
    </row>
    <row r="1212" spans="1:29" x14ac:dyDescent="0.15">
      <c r="A1212" s="8">
        <v>42661</v>
      </c>
      <c r="B1212" s="4">
        <v>2139.6</v>
      </c>
      <c r="C1212" s="1">
        <v>13.881600000000001</v>
      </c>
      <c r="D1212" s="1">
        <v>2.16</v>
      </c>
      <c r="E1212" s="1">
        <v>0.90080000000000005</v>
      </c>
      <c r="F1212" s="4">
        <f t="shared" si="445"/>
        <v>0.13881599999999999</v>
      </c>
      <c r="G1212" s="4">
        <f t="shared" si="446"/>
        <v>2.1600000000000001E-2</v>
      </c>
      <c r="H1212" s="4">
        <f t="shared" si="447"/>
        <v>9.0080000000000004E-3</v>
      </c>
      <c r="I1212" s="3">
        <f t="shared" si="448"/>
        <v>62.332941251516885</v>
      </c>
      <c r="J1212" s="4">
        <f t="shared" si="458"/>
        <v>1646550.8184852533</v>
      </c>
      <c r="K1212" s="1">
        <f t="shared" si="459"/>
        <v>2177.1799999999998</v>
      </c>
      <c r="L1212" s="5">
        <f t="shared" si="460"/>
        <v>0.1780821917808221</v>
      </c>
      <c r="M1212" s="5">
        <f t="shared" si="461"/>
        <v>-0.61789863326926042</v>
      </c>
      <c r="N1212" s="5">
        <f t="shared" si="462"/>
        <v>74.253731713074657</v>
      </c>
      <c r="O1212" s="1">
        <f t="shared" si="463"/>
        <v>0</v>
      </c>
      <c r="P1212" s="1">
        <f t="shared" si="464"/>
        <v>2177.1799999999998</v>
      </c>
      <c r="Q1212" s="5">
        <f t="shared" si="465"/>
        <v>0.1780821917808221</v>
      </c>
      <c r="R1212" s="5">
        <f t="shared" si="466"/>
        <v>-0.61789863326926042</v>
      </c>
      <c r="S1212" s="5">
        <f t="shared" si="449"/>
        <v>74.253731713074657</v>
      </c>
      <c r="T1212" s="5">
        <f t="shared" si="450"/>
        <v>-736.15700411385774</v>
      </c>
      <c r="U1212" s="4">
        <f t="shared" si="451"/>
        <v>1646630.5295892605</v>
      </c>
      <c r="V1212" s="4">
        <f t="shared" si="467"/>
        <v>26.571654299399299</v>
      </c>
      <c r="W1212" s="4">
        <f t="shared" si="452"/>
        <v>1591968.1249070892</v>
      </c>
      <c r="X1212" s="4">
        <f t="shared" si="456"/>
        <v>8084.082806824008</v>
      </c>
      <c r="Y1212" s="9">
        <f>SUM($X$6:X1212)</f>
        <v>591968.12490708916</v>
      </c>
      <c r="Z1212" s="16">
        <f t="shared" si="457"/>
        <v>0.59196812490708917</v>
      </c>
      <c r="AA1212" s="16">
        <f t="shared" si="453"/>
        <v>0.67541070897217048</v>
      </c>
      <c r="AB1212" s="16">
        <f t="shared" si="454"/>
        <v>5.1039612698568111E-3</v>
      </c>
      <c r="AC1212" s="16">
        <f t="shared" si="455"/>
        <v>6.1603573947801122E-3</v>
      </c>
    </row>
    <row r="1213" spans="1:29" x14ac:dyDescent="0.15">
      <c r="A1213" s="8">
        <v>42662</v>
      </c>
      <c r="B1213" s="4">
        <v>2144.29</v>
      </c>
      <c r="C1213" s="1">
        <v>13.4846</v>
      </c>
      <c r="D1213" s="1">
        <v>2.16</v>
      </c>
      <c r="E1213" s="1">
        <v>0.89980000000000004</v>
      </c>
      <c r="F1213" s="4">
        <f t="shared" si="445"/>
        <v>0.13484599999999999</v>
      </c>
      <c r="G1213" s="4">
        <f t="shared" si="446"/>
        <v>2.1600000000000001E-2</v>
      </c>
      <c r="H1213" s="4">
        <f t="shared" si="447"/>
        <v>8.9980000000000008E-3</v>
      </c>
      <c r="I1213" s="3">
        <f t="shared" si="448"/>
        <v>60.785901240491121</v>
      </c>
      <c r="J1213" s="4">
        <f t="shared" si="458"/>
        <v>1646630.5295892605</v>
      </c>
      <c r="K1213" s="1">
        <f t="shared" si="459"/>
        <v>2177.1799999999998</v>
      </c>
      <c r="L1213" s="5">
        <f t="shared" si="460"/>
        <v>0.17534246575342485</v>
      </c>
      <c r="M1213" s="5">
        <f t="shared" si="461"/>
        <v>-0.60813828294773276</v>
      </c>
      <c r="N1213" s="5">
        <f t="shared" si="462"/>
        <v>69.612999001485122</v>
      </c>
      <c r="O1213" s="1">
        <f t="shared" si="463"/>
        <v>0</v>
      </c>
      <c r="P1213" s="1">
        <f t="shared" si="464"/>
        <v>2177.1799999999998</v>
      </c>
      <c r="Q1213" s="5">
        <f t="shared" si="465"/>
        <v>0.17534246575342485</v>
      </c>
      <c r="R1213" s="5">
        <f t="shared" si="466"/>
        <v>-0.60813828294773276</v>
      </c>
      <c r="S1213" s="5">
        <f t="shared" si="449"/>
        <v>69.612999001485122</v>
      </c>
      <c r="T1213" s="5">
        <f t="shared" si="450"/>
        <v>-736.15700411385774</v>
      </c>
      <c r="U1213" s="4">
        <f t="shared" si="451"/>
        <v>1646657.10124356</v>
      </c>
      <c r="V1213" s="4">
        <f t="shared" si="467"/>
        <v>26.572083085820729</v>
      </c>
      <c r="W1213" s="4">
        <f t="shared" si="452"/>
        <v>1595411.0044512458</v>
      </c>
      <c r="X1213" s="4">
        <f t="shared" si="456"/>
        <v>3442.8795441566035</v>
      </c>
      <c r="Y1213" s="9">
        <f>SUM($X$6:X1213)</f>
        <v>595411.00445124577</v>
      </c>
      <c r="Z1213" s="16">
        <f t="shared" si="457"/>
        <v>0.59541100445124573</v>
      </c>
      <c r="AA1213" s="16">
        <f t="shared" si="453"/>
        <v>0.67908320674048206</v>
      </c>
      <c r="AB1213" s="16">
        <f t="shared" si="454"/>
        <v>2.1626560797864828E-3</v>
      </c>
      <c r="AC1213" s="16">
        <f t="shared" si="455"/>
        <v>2.1919985043933701E-3</v>
      </c>
    </row>
    <row r="1214" spans="1:29" x14ac:dyDescent="0.15">
      <c r="A1214" s="8">
        <v>42663</v>
      </c>
      <c r="B1214" s="4">
        <v>2141.34</v>
      </c>
      <c r="C1214" s="1">
        <v>13.2478</v>
      </c>
      <c r="D1214" s="1">
        <v>2.16</v>
      </c>
      <c r="E1214" s="1">
        <v>0.90139999999999998</v>
      </c>
      <c r="F1214" s="4">
        <f t="shared" si="445"/>
        <v>0.13247799999999998</v>
      </c>
      <c r="G1214" s="4">
        <f t="shared" si="446"/>
        <v>2.1600000000000001E-2</v>
      </c>
      <c r="H1214" s="4">
        <f t="shared" si="447"/>
        <v>9.0139999999999994E-3</v>
      </c>
      <c r="I1214" s="3">
        <f t="shared" si="448"/>
        <v>59.693189176375476</v>
      </c>
      <c r="J1214" s="4">
        <f t="shared" si="458"/>
        <v>1646657.10124356</v>
      </c>
      <c r="K1214" s="1">
        <f t="shared" si="459"/>
        <v>2177.1799999999998</v>
      </c>
      <c r="L1214" s="5">
        <f t="shared" si="460"/>
        <v>0.1726027397260276</v>
      </c>
      <c r="M1214" s="5">
        <f t="shared" si="461"/>
        <v>-0.6207434430649007</v>
      </c>
      <c r="N1214" s="5">
        <f t="shared" si="462"/>
        <v>70.215308681608718</v>
      </c>
      <c r="O1214" s="1">
        <f t="shared" si="463"/>
        <v>0</v>
      </c>
      <c r="P1214" s="1">
        <f t="shared" si="464"/>
        <v>2177.1799999999998</v>
      </c>
      <c r="Q1214" s="5">
        <f t="shared" si="465"/>
        <v>0.1726027397260276</v>
      </c>
      <c r="R1214" s="5">
        <f t="shared" si="466"/>
        <v>-0.6207434430649007</v>
      </c>
      <c r="S1214" s="5">
        <f t="shared" si="449"/>
        <v>70.215308681608718</v>
      </c>
      <c r="T1214" s="5">
        <f t="shared" si="450"/>
        <v>-736.15700411385774</v>
      </c>
      <c r="U1214" s="4">
        <f t="shared" si="451"/>
        <v>1646683.6733266457</v>
      </c>
      <c r="V1214" s="4">
        <f t="shared" si="467"/>
        <v>26.572511879161485</v>
      </c>
      <c r="W1214" s="4">
        <f t="shared" si="452"/>
        <v>1594994.182044663</v>
      </c>
      <c r="X1214" s="4">
        <f t="shared" si="456"/>
        <v>-416.82240658276714</v>
      </c>
      <c r="Y1214" s="9">
        <f>SUM($X$6:X1214)</f>
        <v>594994.182044663</v>
      </c>
      <c r="Z1214" s="16">
        <f t="shared" si="457"/>
        <v>0.59499418204466303</v>
      </c>
      <c r="AA1214" s="16">
        <f t="shared" si="453"/>
        <v>0.67677321347469988</v>
      </c>
      <c r="AB1214" s="16">
        <f t="shared" si="454"/>
        <v>-2.6126333930242412E-4</v>
      </c>
      <c r="AC1214" s="16">
        <f t="shared" si="455"/>
        <v>-1.3757467506726321E-3</v>
      </c>
    </row>
    <row r="1215" spans="1:29" x14ac:dyDescent="0.15">
      <c r="A1215" s="8">
        <v>42664</v>
      </c>
      <c r="B1215" s="4">
        <v>2141.16</v>
      </c>
      <c r="C1215" s="1">
        <v>13.0275</v>
      </c>
      <c r="D1215" s="1">
        <v>2.16</v>
      </c>
      <c r="E1215" s="1">
        <v>0.90139999999999998</v>
      </c>
      <c r="F1215" s="4">
        <f t="shared" si="445"/>
        <v>0.130275</v>
      </c>
      <c r="G1215" s="4">
        <f t="shared" si="446"/>
        <v>2.1600000000000001E-2</v>
      </c>
      <c r="H1215" s="4">
        <f t="shared" si="447"/>
        <v>9.0139999999999994E-3</v>
      </c>
      <c r="I1215" s="3">
        <f t="shared" si="448"/>
        <v>58.753712824865282</v>
      </c>
      <c r="J1215" s="4">
        <f t="shared" si="458"/>
        <v>1646683.6733266457</v>
      </c>
      <c r="K1215" s="1">
        <f t="shared" si="459"/>
        <v>2177.1799999999998</v>
      </c>
      <c r="L1215" s="5">
        <f t="shared" si="460"/>
        <v>0.16986301369863036</v>
      </c>
      <c r="M1215" s="5">
        <f t="shared" si="461"/>
        <v>-0.62461484429646597</v>
      </c>
      <c r="N1215" s="5">
        <f t="shared" si="462"/>
        <v>69.193845177302066</v>
      </c>
      <c r="O1215" s="1">
        <f t="shared" si="463"/>
        <v>0</v>
      </c>
      <c r="P1215" s="1">
        <f t="shared" si="464"/>
        <v>2177.1799999999998</v>
      </c>
      <c r="Q1215" s="5">
        <f t="shared" si="465"/>
        <v>0.16986301369863036</v>
      </c>
      <c r="R1215" s="5">
        <f t="shared" si="466"/>
        <v>-0.62461484429646597</v>
      </c>
      <c r="S1215" s="5">
        <f t="shared" si="449"/>
        <v>69.193845177302066</v>
      </c>
      <c r="T1215" s="5">
        <f t="shared" si="450"/>
        <v>-736.15700411385774</v>
      </c>
      <c r="U1215" s="4">
        <f t="shared" si="451"/>
        <v>1646710.245838525</v>
      </c>
      <c r="V1215" s="4">
        <f t="shared" si="467"/>
        <v>26.572940679421674</v>
      </c>
      <c r="W1215" s="4">
        <f t="shared" si="452"/>
        <v>1595772.7120696842</v>
      </c>
      <c r="X1215" s="4">
        <f t="shared" si="456"/>
        <v>778.53002502117306</v>
      </c>
      <c r="Y1215" s="9">
        <f>SUM($X$6:X1215)</f>
        <v>595772.71206968417</v>
      </c>
      <c r="Z1215" s="16">
        <f t="shared" si="457"/>
        <v>0.59577271206968418</v>
      </c>
      <c r="AA1215" s="16">
        <f t="shared" si="453"/>
        <v>0.67663226473305871</v>
      </c>
      <c r="AB1215" s="16">
        <f t="shared" si="454"/>
        <v>4.88108379193682E-4</v>
      </c>
      <c r="AC1215" s="16">
        <f t="shared" si="455"/>
        <v>-8.4059514136144197E-5</v>
      </c>
    </row>
    <row r="1216" spans="1:29" x14ac:dyDescent="0.15">
      <c r="A1216" s="8">
        <v>42667</v>
      </c>
      <c r="B1216" s="4">
        <v>2151.33</v>
      </c>
      <c r="C1216" s="1">
        <v>12.724</v>
      </c>
      <c r="D1216" s="1">
        <v>2.15</v>
      </c>
      <c r="E1216" s="1">
        <v>0.90339999999999998</v>
      </c>
      <c r="F1216" s="4">
        <f t="shared" si="445"/>
        <v>0.12723999999999999</v>
      </c>
      <c r="G1216" s="4">
        <f t="shared" si="446"/>
        <v>2.1499999999999998E-2</v>
      </c>
      <c r="H1216" s="4">
        <f t="shared" si="447"/>
        <v>9.0340000000000004E-3</v>
      </c>
      <c r="I1216" s="3">
        <f t="shared" si="448"/>
        <v>57.706584177365087</v>
      </c>
      <c r="J1216" s="4">
        <f t="shared" si="458"/>
        <v>1646710.245838525</v>
      </c>
      <c r="K1216" s="1">
        <f t="shared" si="459"/>
        <v>2177.1799999999998</v>
      </c>
      <c r="L1216" s="5">
        <f t="shared" si="460"/>
        <v>0.16164383561643858</v>
      </c>
      <c r="M1216" s="5">
        <f t="shared" si="461"/>
        <v>-0.59558606116215906</v>
      </c>
      <c r="N1216" s="5">
        <f t="shared" si="462"/>
        <v>60.754055140502921</v>
      </c>
      <c r="O1216" s="1">
        <f t="shared" si="463"/>
        <v>0</v>
      </c>
      <c r="P1216" s="1">
        <f t="shared" si="464"/>
        <v>2177.1799999999998</v>
      </c>
      <c r="Q1216" s="5">
        <f t="shared" si="465"/>
        <v>0.16164383561643858</v>
      </c>
      <c r="R1216" s="5">
        <f t="shared" si="466"/>
        <v>-0.59558606116215906</v>
      </c>
      <c r="S1216" s="5">
        <f t="shared" si="449"/>
        <v>60.754055140502921</v>
      </c>
      <c r="T1216" s="5">
        <f t="shared" si="450"/>
        <v>-736.15700411385774</v>
      </c>
      <c r="U1216" s="4">
        <f t="shared" si="451"/>
        <v>1646736.8187792045</v>
      </c>
      <c r="V1216" s="4">
        <f t="shared" si="467"/>
        <v>79.720108459804223</v>
      </c>
      <c r="W1216" s="4">
        <f t="shared" si="452"/>
        <v>1602012.2955592037</v>
      </c>
      <c r="X1216" s="4">
        <f t="shared" si="456"/>
        <v>6239.5834895195439</v>
      </c>
      <c r="Y1216" s="9">
        <f>SUM($X$6:X1216)</f>
        <v>602012.29555920372</v>
      </c>
      <c r="Z1216" s="16">
        <f t="shared" si="457"/>
        <v>0.60201229555920377</v>
      </c>
      <c r="AA1216" s="16">
        <f t="shared" si="453"/>
        <v>0.68459586863577282</v>
      </c>
      <c r="AB1216" s="16">
        <f t="shared" si="454"/>
        <v>3.9100703015700362E-3</v>
      </c>
      <c r="AC1216" s="16">
        <f t="shared" si="455"/>
        <v>4.7497618113546275E-3</v>
      </c>
    </row>
    <row r="1217" spans="1:29" x14ac:dyDescent="0.15">
      <c r="A1217" s="8">
        <v>42668</v>
      </c>
      <c r="B1217" s="4">
        <v>2143.16</v>
      </c>
      <c r="C1217" s="1">
        <v>12.823700000000001</v>
      </c>
      <c r="D1217" s="1">
        <v>2.16</v>
      </c>
      <c r="E1217" s="1">
        <v>0.90539999999999998</v>
      </c>
      <c r="F1217" s="4">
        <f t="shared" si="445"/>
        <v>0.12823700000000002</v>
      </c>
      <c r="G1217" s="4">
        <f t="shared" si="446"/>
        <v>2.1600000000000001E-2</v>
      </c>
      <c r="H1217" s="4">
        <f t="shared" si="447"/>
        <v>9.0539999999999995E-3</v>
      </c>
      <c r="I1217" s="3">
        <f t="shared" si="448"/>
        <v>57.931983566771414</v>
      </c>
      <c r="J1217" s="4">
        <f t="shared" si="458"/>
        <v>1646736.8187792045</v>
      </c>
      <c r="K1217" s="1">
        <f t="shared" si="459"/>
        <v>2177.1799999999998</v>
      </c>
      <c r="L1217" s="5">
        <f t="shared" si="460"/>
        <v>0.15890410958904133</v>
      </c>
      <c r="M1217" s="5">
        <f t="shared" si="461"/>
        <v>-0.62394952793849645</v>
      </c>
      <c r="N1217" s="5">
        <f t="shared" si="462"/>
        <v>65.678341084488963</v>
      </c>
      <c r="O1217" s="1">
        <f t="shared" si="463"/>
        <v>0</v>
      </c>
      <c r="P1217" s="1">
        <f t="shared" si="464"/>
        <v>2177.1799999999998</v>
      </c>
      <c r="Q1217" s="5">
        <f t="shared" si="465"/>
        <v>0.15890410958904133</v>
      </c>
      <c r="R1217" s="5">
        <f t="shared" si="466"/>
        <v>-0.62394952793849645</v>
      </c>
      <c r="S1217" s="5">
        <f t="shared" si="449"/>
        <v>65.678341084488963</v>
      </c>
      <c r="T1217" s="5">
        <f t="shared" si="450"/>
        <v>-736.15700411385774</v>
      </c>
      <c r="U1217" s="4">
        <f t="shared" si="451"/>
        <v>1646816.5388876642</v>
      </c>
      <c r="V1217" s="4">
        <f t="shared" si="467"/>
        <v>26.574655928899567</v>
      </c>
      <c r="W1217" s="4">
        <f t="shared" si="452"/>
        <v>1598466.9680797388</v>
      </c>
      <c r="X1217" s="4">
        <f t="shared" si="456"/>
        <v>-3545.3274794649333</v>
      </c>
      <c r="Y1217" s="9">
        <f>SUM($X$6:X1217)</f>
        <v>598466.96807973878</v>
      </c>
      <c r="Z1217" s="16">
        <f t="shared" si="457"/>
        <v>0.59846696807973876</v>
      </c>
      <c r="AA1217" s="16">
        <f t="shared" si="453"/>
        <v>0.67819836186240268</v>
      </c>
      <c r="AB1217" s="16">
        <f t="shared" si="454"/>
        <v>-2.2130463600639155E-3</v>
      </c>
      <c r="AC1217" s="16">
        <f t="shared" si="455"/>
        <v>-3.797650755579141E-3</v>
      </c>
    </row>
    <row r="1218" spans="1:29" x14ac:dyDescent="0.15">
      <c r="A1218" s="8">
        <v>42669</v>
      </c>
      <c r="B1218" s="4">
        <v>2139.4299999999998</v>
      </c>
      <c r="C1218" s="1">
        <v>13.2012</v>
      </c>
      <c r="D1218" s="1">
        <v>2.16</v>
      </c>
      <c r="E1218" s="1">
        <v>0.90969999999999995</v>
      </c>
      <c r="F1218" s="4">
        <f t="shared" si="445"/>
        <v>0.13201199999999999</v>
      </c>
      <c r="G1218" s="4">
        <f t="shared" si="446"/>
        <v>2.1600000000000001E-2</v>
      </c>
      <c r="H1218" s="4">
        <f t="shared" si="447"/>
        <v>9.0969999999999992E-3</v>
      </c>
      <c r="I1218" s="3">
        <f t="shared" si="448"/>
        <v>59.418936091377574</v>
      </c>
      <c r="J1218" s="4">
        <f t="shared" si="458"/>
        <v>1646816.5388876642</v>
      </c>
      <c r="K1218" s="1">
        <f t="shared" si="459"/>
        <v>2177.1799999999998</v>
      </c>
      <c r="L1218" s="5">
        <f t="shared" si="460"/>
        <v>0.15616438356164408</v>
      </c>
      <c r="M1218" s="5">
        <f t="shared" si="461"/>
        <v>-0.63342360763422578</v>
      </c>
      <c r="N1218" s="5">
        <f t="shared" si="462"/>
        <v>68.814093417266335</v>
      </c>
      <c r="O1218" s="1">
        <f t="shared" si="463"/>
        <v>0</v>
      </c>
      <c r="P1218" s="1">
        <f t="shared" si="464"/>
        <v>2177.1799999999998</v>
      </c>
      <c r="Q1218" s="5">
        <f t="shared" si="465"/>
        <v>0.15616438356164408</v>
      </c>
      <c r="R1218" s="5">
        <f t="shared" si="466"/>
        <v>-0.63342360763422578</v>
      </c>
      <c r="S1218" s="5">
        <f t="shared" si="449"/>
        <v>68.814093417266335</v>
      </c>
      <c r="T1218" s="5">
        <f t="shared" si="450"/>
        <v>-736.15700411385774</v>
      </c>
      <c r="U1218" s="4">
        <f t="shared" si="451"/>
        <v>1646843.1135435931</v>
      </c>
      <c r="V1218" s="4">
        <f t="shared" si="467"/>
        <v>26.575084763758255</v>
      </c>
      <c r="W1218" s="4">
        <f t="shared" si="452"/>
        <v>1596185.1366927272</v>
      </c>
      <c r="X1218" s="4">
        <f t="shared" si="456"/>
        <v>-2281.8313870115671</v>
      </c>
      <c r="Y1218" s="9">
        <f>SUM($X$6:X1218)</f>
        <v>596185.13669272722</v>
      </c>
      <c r="Z1218" s="16">
        <f t="shared" si="457"/>
        <v>0.59618513669272721</v>
      </c>
      <c r="AA1218" s="16">
        <f t="shared" si="453"/>
        <v>0.67527759071617621</v>
      </c>
      <c r="AB1218" s="16">
        <f t="shared" si="454"/>
        <v>-1.4275123806610553E-3</v>
      </c>
      <c r="AC1218" s="16">
        <f t="shared" si="455"/>
        <v>-1.7404206872095496E-3</v>
      </c>
    </row>
    <row r="1219" spans="1:29" x14ac:dyDescent="0.15">
      <c r="A1219" s="8">
        <v>42670</v>
      </c>
      <c r="B1219" s="4">
        <v>2133.04</v>
      </c>
      <c r="C1219" s="1">
        <v>13.7486</v>
      </c>
      <c r="D1219" s="1">
        <v>2.17</v>
      </c>
      <c r="E1219" s="1">
        <v>0.90700000000000003</v>
      </c>
      <c r="F1219" s="4">
        <f t="shared" si="445"/>
        <v>0.137486</v>
      </c>
      <c r="G1219" s="4">
        <f t="shared" si="446"/>
        <v>2.1700000000000001E-2</v>
      </c>
      <c r="H1219" s="4">
        <f t="shared" si="447"/>
        <v>9.0699999999999999E-3</v>
      </c>
      <c r="I1219" s="3">
        <f t="shared" si="448"/>
        <v>61.588975353550694</v>
      </c>
      <c r="J1219" s="4">
        <f t="shared" si="458"/>
        <v>1646843.1135435931</v>
      </c>
      <c r="K1219" s="1">
        <f t="shared" si="459"/>
        <v>2177.1799999999998</v>
      </c>
      <c r="L1219" s="5">
        <f t="shared" si="460"/>
        <v>0.15342465753424683</v>
      </c>
      <c r="M1219" s="5">
        <f t="shared" si="461"/>
        <v>-0.64934303982456265</v>
      </c>
      <c r="N1219" s="5">
        <f t="shared" si="462"/>
        <v>74.231933408340538</v>
      </c>
      <c r="O1219" s="1">
        <f t="shared" si="463"/>
        <v>0</v>
      </c>
      <c r="P1219" s="1">
        <f t="shared" si="464"/>
        <v>2177.1799999999998</v>
      </c>
      <c r="Q1219" s="5">
        <f t="shared" si="465"/>
        <v>0.15342465753424683</v>
      </c>
      <c r="R1219" s="5">
        <f t="shared" si="466"/>
        <v>-0.64934303982456265</v>
      </c>
      <c r="S1219" s="5">
        <f t="shared" si="449"/>
        <v>74.231933408340538</v>
      </c>
      <c r="T1219" s="5">
        <f t="shared" si="450"/>
        <v>-736.15700411385774</v>
      </c>
      <c r="U1219" s="4">
        <f t="shared" si="451"/>
        <v>1646869.6886283569</v>
      </c>
      <c r="V1219" s="4">
        <f t="shared" si="467"/>
        <v>26.575513605537044</v>
      </c>
      <c r="W1219" s="4">
        <f t="shared" si="452"/>
        <v>1592223.3309208935</v>
      </c>
      <c r="X1219" s="4">
        <f t="shared" si="456"/>
        <v>-3961.8057718337514</v>
      </c>
      <c r="Y1219" s="9">
        <f>SUM($X$6:X1219)</f>
        <v>592223.33092089347</v>
      </c>
      <c r="Z1219" s="16">
        <f t="shared" si="457"/>
        <v>0.59222333092089352</v>
      </c>
      <c r="AA1219" s="16">
        <f t="shared" si="453"/>
        <v>0.67027391038792228</v>
      </c>
      <c r="AB1219" s="16">
        <f t="shared" si="454"/>
        <v>-2.4820465250306465E-3</v>
      </c>
      <c r="AC1219" s="16">
        <f t="shared" si="455"/>
        <v>-2.9867768517782183E-3</v>
      </c>
    </row>
    <row r="1220" spans="1:29" x14ac:dyDescent="0.15">
      <c r="A1220" s="8">
        <v>42671</v>
      </c>
      <c r="B1220" s="4">
        <v>2126.41</v>
      </c>
      <c r="C1220" s="1">
        <v>14.209199999999999</v>
      </c>
      <c r="D1220" s="1">
        <v>2.1800000000000002</v>
      </c>
      <c r="E1220" s="1">
        <v>0.90559999999999996</v>
      </c>
      <c r="F1220" s="4">
        <f t="shared" si="445"/>
        <v>0.142092</v>
      </c>
      <c r="G1220" s="4">
        <f t="shared" si="446"/>
        <v>2.18E-2</v>
      </c>
      <c r="H1220" s="4">
        <f t="shared" si="447"/>
        <v>9.0559999999999998E-3</v>
      </c>
      <c r="I1220" s="3">
        <f t="shared" si="448"/>
        <v>63.36839901952083</v>
      </c>
      <c r="J1220" s="4">
        <f t="shared" si="458"/>
        <v>1646869.6886283569</v>
      </c>
      <c r="K1220" s="1">
        <f t="shared" si="459"/>
        <v>2177.1799999999998</v>
      </c>
      <c r="L1220" s="5">
        <f t="shared" si="460"/>
        <v>0.15068493150684958</v>
      </c>
      <c r="M1220" s="5">
        <f t="shared" si="461"/>
        <v>-0.66603384804008492</v>
      </c>
      <c r="N1220" s="5">
        <f t="shared" si="462"/>
        <v>79.585599763989691</v>
      </c>
      <c r="O1220" s="1">
        <f t="shared" si="463"/>
        <v>0</v>
      </c>
      <c r="P1220" s="1">
        <f t="shared" si="464"/>
        <v>2177.1799999999998</v>
      </c>
      <c r="Q1220" s="5">
        <f t="shared" si="465"/>
        <v>0.15068493150684958</v>
      </c>
      <c r="R1220" s="5">
        <f t="shared" si="466"/>
        <v>-0.66603384804008492</v>
      </c>
      <c r="S1220" s="5">
        <f t="shared" si="449"/>
        <v>79.585599763989691</v>
      </c>
      <c r="T1220" s="5">
        <f t="shared" si="450"/>
        <v>-736.15700411385774</v>
      </c>
      <c r="U1220" s="4">
        <f t="shared" si="451"/>
        <v>1646896.2641419624</v>
      </c>
      <c r="V1220" s="4">
        <f t="shared" si="467"/>
        <v>26.575942454236049</v>
      </c>
      <c r="W1220" s="4">
        <f t="shared" si="452"/>
        <v>1588308.7674490991</v>
      </c>
      <c r="X1220" s="4">
        <f t="shared" si="456"/>
        <v>-3914.5634717943612</v>
      </c>
      <c r="Y1220" s="9">
        <f>SUM($X$6:X1220)</f>
        <v>588308.7674490991</v>
      </c>
      <c r="Z1220" s="16">
        <f t="shared" si="457"/>
        <v>0.5883087674490991</v>
      </c>
      <c r="AA1220" s="16">
        <f t="shared" si="453"/>
        <v>0.66508229840414701</v>
      </c>
      <c r="AB1220" s="16">
        <f t="shared" si="454"/>
        <v>-2.4585517595262828E-3</v>
      </c>
      <c r="AC1220" s="16">
        <f t="shared" si="455"/>
        <v>-3.1082398829839616E-3</v>
      </c>
    </row>
    <row r="1221" spans="1:29" x14ac:dyDescent="0.15">
      <c r="A1221" s="8">
        <v>42674</v>
      </c>
      <c r="B1221" s="4">
        <v>2126.15</v>
      </c>
      <c r="C1221" s="1">
        <v>14.491400000000001</v>
      </c>
      <c r="D1221" s="1">
        <v>2.1800000000000002</v>
      </c>
      <c r="E1221" s="1">
        <v>0.90390000000000004</v>
      </c>
      <c r="F1221" s="4">
        <f t="shared" si="445"/>
        <v>0.14491400000000002</v>
      </c>
      <c r="G1221" s="4">
        <f t="shared" si="446"/>
        <v>2.18E-2</v>
      </c>
      <c r="H1221" s="4">
        <f t="shared" si="447"/>
        <v>9.0390000000000002E-3</v>
      </c>
      <c r="I1221" s="3">
        <f t="shared" si="448"/>
        <v>64.554097221619699</v>
      </c>
      <c r="J1221" s="4">
        <f t="shared" si="458"/>
        <v>1646896.2641419624</v>
      </c>
      <c r="K1221" s="1">
        <f t="shared" si="459"/>
        <v>2177.1799999999998</v>
      </c>
      <c r="L1221" s="5">
        <f t="shared" si="460"/>
        <v>0.14246575342465781</v>
      </c>
      <c r="M1221" s="5">
        <f t="shared" si="461"/>
        <v>-0.66777512893180679</v>
      </c>
      <c r="N1221" s="5">
        <f t="shared" si="462"/>
        <v>79.266327058242084</v>
      </c>
      <c r="O1221" s="1">
        <f t="shared" si="463"/>
        <v>0</v>
      </c>
      <c r="P1221" s="1">
        <f t="shared" si="464"/>
        <v>2177.1799999999998</v>
      </c>
      <c r="Q1221" s="5">
        <f t="shared" si="465"/>
        <v>0.14246575342465781</v>
      </c>
      <c r="R1221" s="5">
        <f t="shared" si="466"/>
        <v>-0.66777512893180679</v>
      </c>
      <c r="S1221" s="5">
        <f t="shared" si="449"/>
        <v>79.266327058242084</v>
      </c>
      <c r="T1221" s="5">
        <f t="shared" si="450"/>
        <v>-736.15700411385774</v>
      </c>
      <c r="U1221" s="4">
        <f t="shared" si="451"/>
        <v>1646922.8400844166</v>
      </c>
      <c r="V1221" s="4">
        <f t="shared" si="467"/>
        <v>79.72911392956614</v>
      </c>
      <c r="W1221" s="4">
        <f t="shared" si="452"/>
        <v>1588570.3782301119</v>
      </c>
      <c r="X1221" s="4">
        <f t="shared" si="456"/>
        <v>261.61078101280145</v>
      </c>
      <c r="Y1221" s="9">
        <f>SUM($X$6:X1221)</f>
        <v>588570.37823011191</v>
      </c>
      <c r="Z1221" s="16">
        <f t="shared" si="457"/>
        <v>0.58857037823011193</v>
      </c>
      <c r="AA1221" s="16">
        <f t="shared" si="453"/>
        <v>0.66487870577733243</v>
      </c>
      <c r="AB1221" s="16">
        <f t="shared" si="454"/>
        <v>1.6471027949619711E-4</v>
      </c>
      <c r="AC1221" s="16">
        <f t="shared" si="455"/>
        <v>-1.2227181023403931E-4</v>
      </c>
    </row>
    <row r="1222" spans="1:29" x14ac:dyDescent="0.15">
      <c r="A1222" s="8">
        <v>42675</v>
      </c>
      <c r="B1222" s="4">
        <v>2111.7199999999998</v>
      </c>
      <c r="C1222" s="1">
        <v>15.246499999999999</v>
      </c>
      <c r="D1222" s="1">
        <v>2.2000000000000002</v>
      </c>
      <c r="E1222" s="1">
        <v>0.90049999999999997</v>
      </c>
      <c r="F1222" s="4">
        <f t="shared" si="445"/>
        <v>0.15246499999999999</v>
      </c>
      <c r="G1222" s="4">
        <f t="shared" si="446"/>
        <v>2.2000000000000002E-2</v>
      </c>
      <c r="H1222" s="4">
        <f t="shared" si="447"/>
        <v>9.0049999999999991E-3</v>
      </c>
      <c r="I1222" s="3">
        <f t="shared" si="448"/>
        <v>67.337064191004913</v>
      </c>
      <c r="J1222" s="4">
        <f t="shared" si="458"/>
        <v>1646922.8400844166</v>
      </c>
      <c r="K1222" s="1">
        <f t="shared" si="459"/>
        <v>2177.1799999999998</v>
      </c>
      <c r="L1222" s="5">
        <f t="shared" si="460"/>
        <v>0.13972602739726056</v>
      </c>
      <c r="M1222" s="5">
        <f t="shared" si="461"/>
        <v>-0.70289912648670794</v>
      </c>
      <c r="N1222" s="5">
        <f t="shared" si="462"/>
        <v>90.874347589153942</v>
      </c>
      <c r="O1222" s="1">
        <f t="shared" si="463"/>
        <v>0</v>
      </c>
      <c r="P1222" s="1">
        <f t="shared" si="464"/>
        <v>2177.1799999999998</v>
      </c>
      <c r="Q1222" s="5">
        <f t="shared" si="465"/>
        <v>0.13972602739726056</v>
      </c>
      <c r="R1222" s="5">
        <f t="shared" si="466"/>
        <v>-0.70289912648670794</v>
      </c>
      <c r="S1222" s="5">
        <f t="shared" si="449"/>
        <v>90.874347589153942</v>
      </c>
      <c r="T1222" s="5">
        <f t="shared" si="450"/>
        <v>-736.15700411385774</v>
      </c>
      <c r="U1222" s="4">
        <f t="shared" si="451"/>
        <v>1647002.5691983462</v>
      </c>
      <c r="V1222" s="4">
        <f t="shared" si="467"/>
        <v>26.577657897474683</v>
      </c>
      <c r="W1222" s="4">
        <f t="shared" si="452"/>
        <v>1580104.7817263133</v>
      </c>
      <c r="X1222" s="4">
        <f t="shared" si="456"/>
        <v>-8465.5965037986171</v>
      </c>
      <c r="Y1222" s="9">
        <f>SUM($X$6:X1222)</f>
        <v>580104.78172631329</v>
      </c>
      <c r="Z1222" s="16">
        <f t="shared" si="457"/>
        <v>0.5801047817263133</v>
      </c>
      <c r="AA1222" s="16">
        <f t="shared" si="453"/>
        <v>0.65357931498911559</v>
      </c>
      <c r="AB1222" s="16">
        <f t="shared" si="454"/>
        <v>-5.329066070859553E-3</v>
      </c>
      <c r="AC1222" s="16">
        <f t="shared" si="455"/>
        <v>-6.7869153164171348E-3</v>
      </c>
    </row>
    <row r="1223" spans="1:29" x14ac:dyDescent="0.15">
      <c r="A1223" s="8">
        <v>42676</v>
      </c>
      <c r="B1223" s="4">
        <v>2097.94</v>
      </c>
      <c r="C1223" s="1">
        <v>15.73</v>
      </c>
      <c r="D1223" s="1">
        <v>2.21</v>
      </c>
      <c r="E1223" s="1">
        <v>0.89470000000000005</v>
      </c>
      <c r="F1223" s="4">
        <f t="shared" ref="F1223:F1286" si="468">C1223/100</f>
        <v>0.1573</v>
      </c>
      <c r="G1223" s="4">
        <f t="shared" ref="G1223:G1286" si="469">D1223/100</f>
        <v>2.2099999999999998E-2</v>
      </c>
      <c r="H1223" s="4">
        <f t="shared" ref="H1223:H1286" si="470">E1223/100</f>
        <v>8.9470000000000001E-3</v>
      </c>
      <c r="I1223" s="3">
        <f t="shared" ref="I1223:I1286" si="471">BSM_Put(B1223,B1223,F1223,H1223,G1223,$B$3,$F$3)</f>
        <v>68.9493276910937</v>
      </c>
      <c r="J1223" s="4">
        <f t="shared" si="458"/>
        <v>1647002.5691983462</v>
      </c>
      <c r="K1223" s="1">
        <f t="shared" si="459"/>
        <v>2177.1799999999998</v>
      </c>
      <c r="L1223" s="5">
        <f t="shared" si="460"/>
        <v>0.13698630136986331</v>
      </c>
      <c r="M1223" s="5">
        <f t="shared" si="461"/>
        <v>-0.73624130201169091</v>
      </c>
      <c r="N1223" s="5">
        <f t="shared" si="462"/>
        <v>101.63965143861725</v>
      </c>
      <c r="O1223" s="1">
        <f t="shared" si="463"/>
        <v>0</v>
      </c>
      <c r="P1223" s="1">
        <f t="shared" si="464"/>
        <v>2177.1799999999998</v>
      </c>
      <c r="Q1223" s="5">
        <f t="shared" si="465"/>
        <v>0.13698630136986331</v>
      </c>
      <c r="R1223" s="5">
        <f t="shared" si="466"/>
        <v>-0.73624130201169091</v>
      </c>
      <c r="S1223" s="5">
        <f t="shared" ref="S1223:S1286" si="472">BSM_Put(B1223,P1223,F1223,H1223,G1223,Q1223,$F$3)</f>
        <v>101.63965143861725</v>
      </c>
      <c r="T1223" s="5">
        <f t="shared" si="450"/>
        <v>-736.15700411385774</v>
      </c>
      <c r="U1223" s="4">
        <f t="shared" si="451"/>
        <v>1647029.1468562437</v>
      </c>
      <c r="V1223" s="4">
        <f t="shared" si="467"/>
        <v>26.578086780776093</v>
      </c>
      <c r="W1223" s="4">
        <f t="shared" si="452"/>
        <v>1572206.4055540145</v>
      </c>
      <c r="X1223" s="4">
        <f t="shared" si="456"/>
        <v>-7898.3761722987983</v>
      </c>
      <c r="Y1223" s="9">
        <f>SUM($X$6:X1223)</f>
        <v>572206.40555401449</v>
      </c>
      <c r="Z1223" s="16">
        <f t="shared" si="457"/>
        <v>0.57220640555401447</v>
      </c>
      <c r="AA1223" s="16">
        <f t="shared" si="453"/>
        <v>0.64278890576793579</v>
      </c>
      <c r="AB1223" s="16">
        <f t="shared" si="454"/>
        <v>-4.9986407633483511E-3</v>
      </c>
      <c r="AC1223" s="16">
        <f t="shared" si="455"/>
        <v>-6.525486333415295E-3</v>
      </c>
    </row>
    <row r="1224" spans="1:29" x14ac:dyDescent="0.15">
      <c r="A1224" s="8">
        <v>42677</v>
      </c>
      <c r="B1224" s="4">
        <v>2088.66</v>
      </c>
      <c r="C1224" s="1">
        <v>16.395199999999999</v>
      </c>
      <c r="D1224" s="1">
        <v>2.2200000000000002</v>
      </c>
      <c r="E1224" s="1">
        <v>0.90049999999999997</v>
      </c>
      <c r="F1224" s="4">
        <f t="shared" si="468"/>
        <v>0.16395199999999999</v>
      </c>
      <c r="G1224" s="4">
        <f t="shared" si="469"/>
        <v>2.2200000000000001E-2</v>
      </c>
      <c r="H1224" s="4">
        <f t="shared" si="470"/>
        <v>9.0049999999999991E-3</v>
      </c>
      <c r="I1224" s="3">
        <f t="shared" si="471"/>
        <v>71.406570837607802</v>
      </c>
      <c r="J1224" s="4">
        <f t="shared" si="458"/>
        <v>1647029.1468562437</v>
      </c>
      <c r="K1224" s="1">
        <f t="shared" si="459"/>
        <v>2177.1799999999998</v>
      </c>
      <c r="L1224" s="5">
        <f t="shared" si="460"/>
        <v>0.13424657534246606</v>
      </c>
      <c r="M1224" s="5">
        <f t="shared" si="461"/>
        <v>-0.75278960511494619</v>
      </c>
      <c r="N1224" s="5">
        <f t="shared" si="462"/>
        <v>109.74060938739029</v>
      </c>
      <c r="O1224" s="1">
        <f t="shared" si="463"/>
        <v>0</v>
      </c>
      <c r="P1224" s="1">
        <f t="shared" si="464"/>
        <v>2177.1799999999998</v>
      </c>
      <c r="Q1224" s="5">
        <f t="shared" si="465"/>
        <v>0.13424657534246606</v>
      </c>
      <c r="R1224" s="5">
        <f t="shared" si="466"/>
        <v>-0.75278960511494619</v>
      </c>
      <c r="S1224" s="5">
        <f t="shared" si="472"/>
        <v>109.74060938739029</v>
      </c>
      <c r="T1224" s="5">
        <f t="shared" ref="T1224:T1287" si="473">IF(O1224,-(J1224+IF(L1224&lt;=0.00001, MAX(K1224-B1224,0),N1224)*T1223)/P1224,T1223)</f>
        <v>-736.15700411385774</v>
      </c>
      <c r="U1224" s="4">
        <f t="shared" ref="U1224:U1287" si="474">IF(O1224,(J1224+IF(L1224&lt;=0.00001, MAX(K1224-B1224,0),N1224)*T1223)-(S1224*T1224),U1223)+V1223</f>
        <v>1647055.7249430246</v>
      </c>
      <c r="V1224" s="4">
        <f t="shared" si="467"/>
        <v>26.578515670998396</v>
      </c>
      <c r="W1224" s="4">
        <f t="shared" ref="W1224:W1287" si="475">S1224*T1224+U1224</f>
        <v>1566269.4067067741</v>
      </c>
      <c r="X1224" s="4">
        <f t="shared" si="456"/>
        <v>-5936.9988472403493</v>
      </c>
      <c r="Y1224" s="9">
        <f>SUM($X$6:X1224)</f>
        <v>566269.40670677414</v>
      </c>
      <c r="Z1224" s="16">
        <f t="shared" si="457"/>
        <v>0.56626940670677417</v>
      </c>
      <c r="AA1224" s="16">
        <f t="shared" ref="AA1224:AA1287" si="476">(B1224-$B$6)/$B$6</f>
        <v>0.63552221508777973</v>
      </c>
      <c r="AB1224" s="16">
        <f t="shared" ref="AB1224:AB1287" si="477">X1224/W1223</f>
        <v>-3.7762210014328675E-3</v>
      </c>
      <c r="AC1224" s="16">
        <f t="shared" ref="AC1224:AC1287" si="478">(B1224-B1223)/B1223</f>
        <v>-4.423386750812797E-3</v>
      </c>
    </row>
    <row r="1225" spans="1:29" x14ac:dyDescent="0.15">
      <c r="A1225" s="8">
        <v>42678</v>
      </c>
      <c r="B1225" s="4">
        <v>2085.1799999999998</v>
      </c>
      <c r="C1225" s="1">
        <v>16.7104</v>
      </c>
      <c r="D1225" s="1">
        <v>2.23</v>
      </c>
      <c r="E1225" s="1">
        <v>0.9022</v>
      </c>
      <c r="F1225" s="4">
        <f t="shared" si="468"/>
        <v>0.167104</v>
      </c>
      <c r="G1225" s="4">
        <f t="shared" si="469"/>
        <v>2.23E-2</v>
      </c>
      <c r="H1225" s="4">
        <f t="shared" si="470"/>
        <v>9.0220000000000005E-3</v>
      </c>
      <c r="I1225" s="3">
        <f t="shared" si="471"/>
        <v>72.610704295639863</v>
      </c>
      <c r="J1225" s="4">
        <f t="shared" si="458"/>
        <v>1647055.7249430246</v>
      </c>
      <c r="K1225" s="1">
        <f t="shared" si="459"/>
        <v>2177.1799999999998</v>
      </c>
      <c r="L1225" s="5">
        <f t="shared" si="460"/>
        <v>0.13150684931506881</v>
      </c>
      <c r="M1225" s="5">
        <f t="shared" si="461"/>
        <v>-0.75922756421741555</v>
      </c>
      <c r="N1225" s="5">
        <f t="shared" si="462"/>
        <v>112.6764168054016</v>
      </c>
      <c r="O1225" s="1">
        <f t="shared" si="463"/>
        <v>0</v>
      </c>
      <c r="P1225" s="1">
        <f t="shared" si="464"/>
        <v>2177.1799999999998</v>
      </c>
      <c r="Q1225" s="5">
        <f t="shared" si="465"/>
        <v>0.13150684931506881</v>
      </c>
      <c r="R1225" s="5">
        <f t="shared" si="466"/>
        <v>-0.75922756421741555</v>
      </c>
      <c r="S1225" s="5">
        <f t="shared" si="472"/>
        <v>112.6764168054016</v>
      </c>
      <c r="T1225" s="5">
        <f t="shared" si="473"/>
        <v>-736.15700411385774</v>
      </c>
      <c r="U1225" s="4">
        <f t="shared" si="474"/>
        <v>1647082.3034586955</v>
      </c>
      <c r="V1225" s="4">
        <f t="shared" si="467"/>
        <v>26.578944568141686</v>
      </c>
      <c r="W1225" s="4">
        <f t="shared" si="475"/>
        <v>1564134.7700289467</v>
      </c>
      <c r="X1225" s="4">
        <f t="shared" ref="X1225:X1288" si="479">W1225-W1224</f>
        <v>-2134.6366778274532</v>
      </c>
      <c r="Y1225" s="9">
        <f>SUM($X$6:X1225)</f>
        <v>564134.77002894669</v>
      </c>
      <c r="Z1225" s="16">
        <f t="shared" si="457"/>
        <v>0.56413477002894674</v>
      </c>
      <c r="AA1225" s="16">
        <f t="shared" si="476"/>
        <v>0.63279720608272116</v>
      </c>
      <c r="AB1225" s="16">
        <f t="shared" si="477"/>
        <v>-1.3628796353213101E-3</v>
      </c>
      <c r="AC1225" s="16">
        <f t="shared" si="478"/>
        <v>-1.6661400132142227E-3</v>
      </c>
    </row>
    <row r="1226" spans="1:29" x14ac:dyDescent="0.15">
      <c r="A1226" s="8">
        <v>42681</v>
      </c>
      <c r="B1226" s="4">
        <v>2131.52</v>
      </c>
      <c r="C1226" s="1">
        <v>14.245799999999999</v>
      </c>
      <c r="D1226" s="1">
        <v>2.1800000000000002</v>
      </c>
      <c r="E1226" s="1">
        <v>0.90649999999999997</v>
      </c>
      <c r="F1226" s="4">
        <f t="shared" si="468"/>
        <v>0.142458</v>
      </c>
      <c r="G1226" s="4">
        <f t="shared" si="469"/>
        <v>2.18E-2</v>
      </c>
      <c r="H1226" s="4">
        <f t="shared" si="470"/>
        <v>9.0650000000000001E-3</v>
      </c>
      <c r="I1226" s="3">
        <f t="shared" si="471"/>
        <v>63.672694283399615</v>
      </c>
      <c r="J1226" s="4">
        <f t="shared" si="458"/>
        <v>1647082.3034586955</v>
      </c>
      <c r="K1226" s="1">
        <f t="shared" si="459"/>
        <v>2177.1799999999998</v>
      </c>
      <c r="L1226" s="5">
        <f t="shared" si="460"/>
        <v>0.12328767123287704</v>
      </c>
      <c r="M1226" s="5">
        <f t="shared" si="461"/>
        <v>-0.66465285218289227</v>
      </c>
      <c r="N1226" s="5">
        <f t="shared" si="462"/>
        <v>71.746570045126461</v>
      </c>
      <c r="O1226" s="1">
        <f t="shared" si="463"/>
        <v>0</v>
      </c>
      <c r="P1226" s="1">
        <f t="shared" si="464"/>
        <v>2177.1799999999998</v>
      </c>
      <c r="Q1226" s="5">
        <f t="shared" si="465"/>
        <v>0.12328767123287704</v>
      </c>
      <c r="R1226" s="5">
        <f t="shared" si="466"/>
        <v>-0.66465285218289227</v>
      </c>
      <c r="S1226" s="5">
        <f t="shared" si="472"/>
        <v>71.746570045126461</v>
      </c>
      <c r="T1226" s="5">
        <f t="shared" si="473"/>
        <v>-736.15700411385774</v>
      </c>
      <c r="U1226" s="4">
        <f t="shared" si="474"/>
        <v>1647108.8824032636</v>
      </c>
      <c r="V1226" s="4">
        <f t="shared" si="467"/>
        <v>79.738120416618244</v>
      </c>
      <c r="W1226" s="4">
        <f t="shared" si="475"/>
        <v>1594292.1423433982</v>
      </c>
      <c r="X1226" s="4">
        <f t="shared" si="479"/>
        <v>30157.372314451495</v>
      </c>
      <c r="Y1226" s="9">
        <f>SUM($X$6:X1226)</f>
        <v>594292.14234339818</v>
      </c>
      <c r="Z1226" s="16">
        <f t="shared" si="457"/>
        <v>0.59429214234339822</v>
      </c>
      <c r="AA1226" s="16">
        <f t="shared" si="476"/>
        <v>0.66908367656962087</v>
      </c>
      <c r="AB1226" s="16">
        <f t="shared" si="477"/>
        <v>1.9280545955700088E-2</v>
      </c>
      <c r="AC1226" s="16">
        <f t="shared" si="478"/>
        <v>2.2223501088635106E-2</v>
      </c>
    </row>
    <row r="1227" spans="1:29" x14ac:dyDescent="0.15">
      <c r="A1227" s="8">
        <v>42682</v>
      </c>
      <c r="B1227" s="4">
        <v>2139.56</v>
      </c>
      <c r="C1227" s="1">
        <v>14.2126</v>
      </c>
      <c r="D1227" s="1">
        <v>2.17</v>
      </c>
      <c r="E1227" s="1">
        <v>0.90190000000000003</v>
      </c>
      <c r="F1227" s="4">
        <f t="shared" si="468"/>
        <v>0.142126</v>
      </c>
      <c r="G1227" s="4">
        <f t="shared" si="469"/>
        <v>2.1700000000000001E-2</v>
      </c>
      <c r="H1227" s="4">
        <f t="shared" si="470"/>
        <v>9.019000000000001E-3</v>
      </c>
      <c r="I1227" s="3">
        <f t="shared" si="471"/>
        <v>63.758442870773521</v>
      </c>
      <c r="J1227" s="4">
        <f t="shared" si="458"/>
        <v>1647108.8824032636</v>
      </c>
      <c r="K1227" s="1">
        <f t="shared" si="459"/>
        <v>2177.1799999999998</v>
      </c>
      <c r="L1227" s="5">
        <f t="shared" si="460"/>
        <v>0.12054794520547978</v>
      </c>
      <c r="M1227" s="5">
        <f t="shared" si="461"/>
        <v>-0.63872749488150005</v>
      </c>
      <c r="N1227" s="5">
        <f t="shared" si="462"/>
        <v>65.920776933177407</v>
      </c>
      <c r="O1227" s="1">
        <f t="shared" si="463"/>
        <v>0</v>
      </c>
      <c r="P1227" s="1">
        <f t="shared" si="464"/>
        <v>2177.1799999999998</v>
      </c>
      <c r="Q1227" s="5">
        <f t="shared" si="465"/>
        <v>0.12054794520547978</v>
      </c>
      <c r="R1227" s="5">
        <f t="shared" si="466"/>
        <v>-0.63872749488150005</v>
      </c>
      <c r="S1227" s="5">
        <f t="shared" si="472"/>
        <v>65.920776933177407</v>
      </c>
      <c r="T1227" s="5">
        <f t="shared" si="473"/>
        <v>-736.15700411385774</v>
      </c>
      <c r="U1227" s="4">
        <f t="shared" si="474"/>
        <v>1647188.6205236802</v>
      </c>
      <c r="V1227" s="4">
        <f t="shared" si="467"/>
        <v>26.580660205162946</v>
      </c>
      <c r="W1227" s="4">
        <f t="shared" si="475"/>
        <v>1598660.5788676944</v>
      </c>
      <c r="X1227" s="4">
        <f t="shared" si="479"/>
        <v>4368.4365242961794</v>
      </c>
      <c r="Y1227" s="9">
        <f>SUM($X$6:X1227)</f>
        <v>598660.57886769436</v>
      </c>
      <c r="Z1227" s="16">
        <f t="shared" si="457"/>
        <v>0.59866057886769442</v>
      </c>
      <c r="AA1227" s="16">
        <f t="shared" si="476"/>
        <v>0.67537938702958356</v>
      </c>
      <c r="AB1227" s="16">
        <f t="shared" si="477"/>
        <v>2.7400477041021835E-3</v>
      </c>
      <c r="AC1227" s="16">
        <f t="shared" si="478"/>
        <v>3.7719561627383106E-3</v>
      </c>
    </row>
    <row r="1228" spans="1:29" x14ac:dyDescent="0.15">
      <c r="A1228" s="8">
        <v>42683</v>
      </c>
      <c r="B1228" s="4">
        <v>2163.2600000000002</v>
      </c>
      <c r="C1228" s="1">
        <v>12.788</v>
      </c>
      <c r="D1228" s="1">
        <v>2.15</v>
      </c>
      <c r="E1228" s="1">
        <v>0.90620000000000001</v>
      </c>
      <c r="F1228" s="4">
        <f t="shared" si="468"/>
        <v>0.12787999999999999</v>
      </c>
      <c r="G1228" s="4">
        <f t="shared" si="469"/>
        <v>2.1499999999999998E-2</v>
      </c>
      <c r="H1228" s="4">
        <f t="shared" si="470"/>
        <v>9.0620000000000006E-3</v>
      </c>
      <c r="I1228" s="3">
        <f t="shared" si="471"/>
        <v>58.292846144353682</v>
      </c>
      <c r="J1228" s="4">
        <f t="shared" si="458"/>
        <v>1647188.6205236802</v>
      </c>
      <c r="K1228" s="1">
        <f t="shared" si="459"/>
        <v>2177.1799999999998</v>
      </c>
      <c r="L1228" s="5">
        <f t="shared" si="460"/>
        <v>0.11780821917808251</v>
      </c>
      <c r="M1228" s="5">
        <f t="shared" si="461"/>
        <v>-0.56117895858346367</v>
      </c>
      <c r="N1228" s="5">
        <f t="shared" si="462"/>
        <v>47.074583214707907</v>
      </c>
      <c r="O1228" s="1">
        <f t="shared" si="463"/>
        <v>0</v>
      </c>
      <c r="P1228" s="1">
        <f t="shared" si="464"/>
        <v>2177.1799999999998</v>
      </c>
      <c r="Q1228" s="5">
        <f t="shared" si="465"/>
        <v>0.11780821917808251</v>
      </c>
      <c r="R1228" s="5">
        <f t="shared" si="466"/>
        <v>-0.56117895858346367</v>
      </c>
      <c r="S1228" s="5">
        <f t="shared" si="472"/>
        <v>47.074583214707907</v>
      </c>
      <c r="T1228" s="5">
        <f t="shared" si="473"/>
        <v>-736.15700411385774</v>
      </c>
      <c r="U1228" s="4">
        <f t="shared" si="474"/>
        <v>1647215.2011838853</v>
      </c>
      <c r="V1228" s="4">
        <f t="shared" si="467"/>
        <v>26.581089136912556</v>
      </c>
      <c r="W1228" s="4">
        <f t="shared" si="475"/>
        <v>1612560.9170346374</v>
      </c>
      <c r="X1228" s="4">
        <f t="shared" si="479"/>
        <v>13900.338166943053</v>
      </c>
      <c r="Y1228" s="9">
        <f>SUM($X$6:X1228)</f>
        <v>612560.91703463742</v>
      </c>
      <c r="Z1228" s="16">
        <f t="shared" si="457"/>
        <v>0.61256091703463744</v>
      </c>
      <c r="AA1228" s="16">
        <f t="shared" si="476"/>
        <v>0.69393763801230979</v>
      </c>
      <c r="AB1228" s="16">
        <f t="shared" si="477"/>
        <v>8.6949902629039864E-3</v>
      </c>
      <c r="AC1228" s="16">
        <f t="shared" si="478"/>
        <v>1.1077043878180688E-2</v>
      </c>
    </row>
    <row r="1229" spans="1:29" x14ac:dyDescent="0.15">
      <c r="A1229" s="8">
        <v>42684</v>
      </c>
      <c r="B1229" s="4">
        <v>2167.48</v>
      </c>
      <c r="C1229" s="1">
        <v>13.2903</v>
      </c>
      <c r="D1229" s="1">
        <v>2.14</v>
      </c>
      <c r="E1229" s="1">
        <v>0.92210000000000003</v>
      </c>
      <c r="F1229" s="4">
        <f t="shared" si="468"/>
        <v>0.13290299999999999</v>
      </c>
      <c r="G1229" s="4">
        <f t="shared" si="469"/>
        <v>2.1400000000000002E-2</v>
      </c>
      <c r="H1229" s="4">
        <f t="shared" si="470"/>
        <v>9.221E-3</v>
      </c>
      <c r="I1229" s="3">
        <f t="shared" si="471"/>
        <v>60.490705604754773</v>
      </c>
      <c r="J1229" s="4">
        <f t="shared" si="458"/>
        <v>1647215.2011838853</v>
      </c>
      <c r="K1229" s="1">
        <f t="shared" si="459"/>
        <v>2177.1799999999998</v>
      </c>
      <c r="L1229" s="5">
        <f t="shared" si="460"/>
        <v>0.11506849315068525</v>
      </c>
      <c r="M1229" s="5">
        <f t="shared" si="461"/>
        <v>-0.54150407648708287</v>
      </c>
      <c r="N1229" s="5">
        <f t="shared" si="462"/>
        <v>45.689120936697641</v>
      </c>
      <c r="O1229" s="1">
        <f t="shared" si="463"/>
        <v>0</v>
      </c>
      <c r="P1229" s="1">
        <f t="shared" si="464"/>
        <v>2177.1799999999998</v>
      </c>
      <c r="Q1229" s="5">
        <f t="shared" si="465"/>
        <v>0.11506849315068525</v>
      </c>
      <c r="R1229" s="5">
        <f t="shared" si="466"/>
        <v>-0.54150407648708287</v>
      </c>
      <c r="S1229" s="5">
        <f t="shared" si="472"/>
        <v>45.689120936697641</v>
      </c>
      <c r="T1229" s="5">
        <f t="shared" si="473"/>
        <v>-736.15700411385774</v>
      </c>
      <c r="U1229" s="4">
        <f t="shared" si="474"/>
        <v>1647241.7822730222</v>
      </c>
      <c r="V1229" s="4">
        <f t="shared" si="467"/>
        <v>26.581518075583837</v>
      </c>
      <c r="W1229" s="4">
        <f t="shared" si="475"/>
        <v>1613607.4158836671</v>
      </c>
      <c r="X1229" s="4">
        <f t="shared" si="479"/>
        <v>1046.4988490296528</v>
      </c>
      <c r="Y1229" s="9">
        <f>SUM($X$6:X1229)</f>
        <v>613607.41588366707</v>
      </c>
      <c r="Z1229" s="16">
        <f t="shared" si="457"/>
        <v>0.61360741588366707</v>
      </c>
      <c r="AA1229" s="16">
        <f t="shared" si="476"/>
        <v>0.69724210295522537</v>
      </c>
      <c r="AB1229" s="16">
        <f t="shared" si="477"/>
        <v>6.4896701760208556E-4</v>
      </c>
      <c r="AC1229" s="16">
        <f t="shared" si="478"/>
        <v>1.9507595018628365E-3</v>
      </c>
    </row>
    <row r="1230" spans="1:29" x14ac:dyDescent="0.15">
      <c r="A1230" s="8">
        <v>42685</v>
      </c>
      <c r="B1230" s="4">
        <v>2164.4499999999998</v>
      </c>
      <c r="C1230" s="1">
        <v>13.3767</v>
      </c>
      <c r="D1230" s="1">
        <v>2.15</v>
      </c>
      <c r="E1230" s="1">
        <v>0.92579999999999996</v>
      </c>
      <c r="F1230" s="4">
        <f t="shared" si="468"/>
        <v>0.133767</v>
      </c>
      <c r="G1230" s="4">
        <f t="shared" si="469"/>
        <v>2.1499999999999998E-2</v>
      </c>
      <c r="H1230" s="4">
        <f t="shared" si="470"/>
        <v>9.2579999999999989E-3</v>
      </c>
      <c r="I1230" s="3">
        <f t="shared" si="471"/>
        <v>60.793160993106376</v>
      </c>
      <c r="J1230" s="4">
        <f t="shared" si="458"/>
        <v>1647241.7822730222</v>
      </c>
      <c r="K1230" s="1">
        <f t="shared" si="459"/>
        <v>2177.1799999999998</v>
      </c>
      <c r="L1230" s="5">
        <f t="shared" si="460"/>
        <v>0.11232876712328799</v>
      </c>
      <c r="M1230" s="5">
        <f t="shared" si="461"/>
        <v>-0.55395819534589053</v>
      </c>
      <c r="N1230" s="5">
        <f t="shared" si="462"/>
        <v>47.104341677586234</v>
      </c>
      <c r="O1230" s="1">
        <f t="shared" si="463"/>
        <v>0</v>
      </c>
      <c r="P1230" s="1">
        <f t="shared" si="464"/>
        <v>2177.1799999999998</v>
      </c>
      <c r="Q1230" s="5">
        <f t="shared" si="465"/>
        <v>0.11232876712328799</v>
      </c>
      <c r="R1230" s="5">
        <f t="shared" si="466"/>
        <v>-0.55395819534589053</v>
      </c>
      <c r="S1230" s="5">
        <f t="shared" si="472"/>
        <v>47.104341677586234</v>
      </c>
      <c r="T1230" s="5">
        <f t="shared" si="473"/>
        <v>-736.15700411385774</v>
      </c>
      <c r="U1230" s="4">
        <f t="shared" si="474"/>
        <v>1647268.3637910979</v>
      </c>
      <c r="V1230" s="4">
        <f t="shared" si="467"/>
        <v>26.581947021176894</v>
      </c>
      <c r="W1230" s="4">
        <f t="shared" si="475"/>
        <v>1612592.1727409705</v>
      </c>
      <c r="X1230" s="4">
        <f t="shared" si="479"/>
        <v>-1015.2431426965632</v>
      </c>
      <c r="Y1230" s="9">
        <f>SUM($X$6:X1230)</f>
        <v>612592.17274097051</v>
      </c>
      <c r="Z1230" s="16">
        <f t="shared" si="457"/>
        <v>0.61259217274097055</v>
      </c>
      <c r="AA1230" s="16">
        <f t="shared" si="476"/>
        <v>0.69486946580426912</v>
      </c>
      <c r="AB1230" s="16">
        <f t="shared" si="477"/>
        <v>-6.2917605156182367E-4</v>
      </c>
      <c r="AC1230" s="16">
        <f t="shared" si="478"/>
        <v>-1.3979367745032018E-3</v>
      </c>
    </row>
    <row r="1231" spans="1:29" x14ac:dyDescent="0.15">
      <c r="A1231" s="8">
        <v>42688</v>
      </c>
      <c r="B1231" s="4">
        <v>2164.1999999999998</v>
      </c>
      <c r="C1231" s="1">
        <v>13.5305</v>
      </c>
      <c r="D1231" s="1">
        <v>2.15</v>
      </c>
      <c r="E1231" s="1">
        <v>0.93149999999999999</v>
      </c>
      <c r="F1231" s="4">
        <f t="shared" si="468"/>
        <v>0.13530500000000001</v>
      </c>
      <c r="G1231" s="4">
        <f t="shared" si="469"/>
        <v>2.1499999999999998E-2</v>
      </c>
      <c r="H1231" s="4">
        <f t="shared" si="470"/>
        <v>9.3150000000000004E-3</v>
      </c>
      <c r="I1231" s="3">
        <f t="shared" si="471"/>
        <v>61.429279450262598</v>
      </c>
      <c r="J1231" s="4">
        <f t="shared" si="458"/>
        <v>1647268.3637910979</v>
      </c>
      <c r="K1231" s="1">
        <f t="shared" si="459"/>
        <v>2177.1799999999998</v>
      </c>
      <c r="L1231" s="5">
        <f t="shared" si="460"/>
        <v>0.10410958904109621</v>
      </c>
      <c r="M1231" s="5">
        <f t="shared" si="461"/>
        <v>-0.55608128782976896</v>
      </c>
      <c r="N1231" s="5">
        <f t="shared" si="462"/>
        <v>46.116179304701426</v>
      </c>
      <c r="O1231" s="1">
        <f t="shared" si="463"/>
        <v>0</v>
      </c>
      <c r="P1231" s="1">
        <f t="shared" si="464"/>
        <v>2177.1799999999998</v>
      </c>
      <c r="Q1231" s="5">
        <f t="shared" si="465"/>
        <v>0.10410958904109621</v>
      </c>
      <c r="R1231" s="5">
        <f t="shared" si="466"/>
        <v>-0.55608128782976896</v>
      </c>
      <c r="S1231" s="5">
        <f t="shared" si="472"/>
        <v>46.116179304701426</v>
      </c>
      <c r="T1231" s="5">
        <f t="shared" si="473"/>
        <v>-736.15700411385774</v>
      </c>
      <c r="U1231" s="4">
        <f t="shared" si="474"/>
        <v>1647294.9457381191</v>
      </c>
      <c r="V1231" s="4">
        <f t="shared" si="467"/>
        <v>79.747127921075503</v>
      </c>
      <c r="W1231" s="4">
        <f t="shared" si="475"/>
        <v>1613346.1973399925</v>
      </c>
      <c r="X1231" s="4">
        <f t="shared" si="479"/>
        <v>754.02459902199917</v>
      </c>
      <c r="Y1231" s="9">
        <f>SUM($X$6:X1231)</f>
        <v>613346.1973399925</v>
      </c>
      <c r="Z1231" s="16">
        <f t="shared" si="457"/>
        <v>0.61334619733999252</v>
      </c>
      <c r="AA1231" s="16">
        <f t="shared" si="476"/>
        <v>0.69467370366310111</v>
      </c>
      <c r="AB1231" s="16">
        <f t="shared" si="477"/>
        <v>4.6758542659943667E-4</v>
      </c>
      <c r="AC1231" s="16">
        <f t="shared" si="478"/>
        <v>-1.1550278361708518E-4</v>
      </c>
    </row>
    <row r="1232" spans="1:29" x14ac:dyDescent="0.15">
      <c r="A1232" s="8">
        <v>42689</v>
      </c>
      <c r="B1232" s="4">
        <v>2180.39</v>
      </c>
      <c r="C1232" s="1">
        <v>12.6729</v>
      </c>
      <c r="D1232" s="1">
        <v>2.13</v>
      </c>
      <c r="E1232" s="1">
        <v>0.9264</v>
      </c>
      <c r="F1232" s="4">
        <f t="shared" si="468"/>
        <v>0.12672900000000001</v>
      </c>
      <c r="G1232" s="4">
        <f t="shared" si="469"/>
        <v>2.1299999999999999E-2</v>
      </c>
      <c r="H1232" s="4">
        <f t="shared" si="470"/>
        <v>9.2639999999999997E-3</v>
      </c>
      <c r="I1232" s="3">
        <f t="shared" si="471"/>
        <v>58.144224817369469</v>
      </c>
      <c r="J1232" s="4">
        <f t="shared" si="458"/>
        <v>1647294.9457381191</v>
      </c>
      <c r="K1232" s="1">
        <f t="shared" si="459"/>
        <v>2177.1799999999998</v>
      </c>
      <c r="L1232" s="5">
        <f t="shared" si="460"/>
        <v>0.10136986301369895</v>
      </c>
      <c r="M1232" s="5">
        <f t="shared" si="461"/>
        <v>-0.48839356251377231</v>
      </c>
      <c r="N1232" s="5">
        <f t="shared" si="462"/>
        <v>34.740141158878721</v>
      </c>
      <c r="O1232" s="1">
        <f t="shared" si="463"/>
        <v>0</v>
      </c>
      <c r="P1232" s="1">
        <f t="shared" si="464"/>
        <v>2177.1799999999998</v>
      </c>
      <c r="Q1232" s="5">
        <f t="shared" si="465"/>
        <v>0.10136986301369895</v>
      </c>
      <c r="R1232" s="5">
        <f t="shared" si="466"/>
        <v>-0.48839356251377231</v>
      </c>
      <c r="S1232" s="5">
        <f t="shared" si="472"/>
        <v>34.740141158878721</v>
      </c>
      <c r="T1232" s="5">
        <f t="shared" si="473"/>
        <v>-736.15700411385774</v>
      </c>
      <c r="U1232" s="4">
        <f t="shared" si="474"/>
        <v>1647374.6928660402</v>
      </c>
      <c r="V1232" s="4">
        <f t="shared" si="467"/>
        <v>26.583662852002671</v>
      </c>
      <c r="W1232" s="4">
        <f t="shared" si="475"/>
        <v>1621800.4946280275</v>
      </c>
      <c r="X1232" s="4">
        <f t="shared" si="479"/>
        <v>8454.2972880350426</v>
      </c>
      <c r="Y1232" s="9">
        <f>SUM($X$6:X1232)</f>
        <v>621800.49462802755</v>
      </c>
      <c r="Z1232" s="16">
        <f t="shared" si="457"/>
        <v>0.62180049462802756</v>
      </c>
      <c r="AA1232" s="16">
        <f t="shared" si="476"/>
        <v>0.70735125992514059</v>
      </c>
      <c r="AB1232" s="16">
        <f t="shared" si="477"/>
        <v>5.2402251308330972E-3</v>
      </c>
      <c r="AC1232" s="16">
        <f t="shared" si="478"/>
        <v>7.4808243230755269E-3</v>
      </c>
    </row>
    <row r="1233" spans="1:29" x14ac:dyDescent="0.15">
      <c r="A1233" s="8">
        <v>42690</v>
      </c>
      <c r="B1233" s="4">
        <v>2176.94</v>
      </c>
      <c r="C1233" s="1">
        <v>12.9495</v>
      </c>
      <c r="D1233" s="1">
        <v>2.13</v>
      </c>
      <c r="E1233" s="1">
        <v>0.92830000000000001</v>
      </c>
      <c r="F1233" s="4">
        <f t="shared" si="468"/>
        <v>0.129495</v>
      </c>
      <c r="G1233" s="4">
        <f t="shared" si="469"/>
        <v>2.1299999999999999E-2</v>
      </c>
      <c r="H1233" s="4">
        <f t="shared" si="470"/>
        <v>9.2829999999999996E-3</v>
      </c>
      <c r="I1233" s="3">
        <f t="shared" si="471"/>
        <v>59.239723664666592</v>
      </c>
      <c r="J1233" s="4">
        <f t="shared" si="458"/>
        <v>1647374.6928660402</v>
      </c>
      <c r="K1233" s="1">
        <f t="shared" si="459"/>
        <v>2177.1799999999998</v>
      </c>
      <c r="L1233" s="5">
        <f t="shared" si="460"/>
        <v>9.8630136986301686E-2</v>
      </c>
      <c r="M1233" s="5">
        <f t="shared" si="461"/>
        <v>-0.50353691555072255</v>
      </c>
      <c r="N1233" s="5">
        <f t="shared" si="462"/>
        <v>36.69170648185797</v>
      </c>
      <c r="O1233" s="1">
        <f t="shared" si="463"/>
        <v>0</v>
      </c>
      <c r="P1233" s="1">
        <f t="shared" si="464"/>
        <v>2177.1799999999998</v>
      </c>
      <c r="Q1233" s="5">
        <f t="shared" si="465"/>
        <v>9.8630136986301686E-2</v>
      </c>
      <c r="R1233" s="5">
        <f t="shared" si="466"/>
        <v>-0.50353691555072255</v>
      </c>
      <c r="S1233" s="5">
        <f t="shared" si="472"/>
        <v>36.69170648185797</v>
      </c>
      <c r="T1233" s="5">
        <f t="shared" si="473"/>
        <v>-736.15700411385774</v>
      </c>
      <c r="U1233" s="4">
        <f t="shared" si="474"/>
        <v>1647401.2765288921</v>
      </c>
      <c r="V1233" s="4">
        <f t="shared" si="467"/>
        <v>26.584091832205957</v>
      </c>
      <c r="W1233" s="4">
        <f t="shared" si="475"/>
        <v>1620390.4198093826</v>
      </c>
      <c r="X1233" s="4">
        <f t="shared" si="479"/>
        <v>-1410.0748186449055</v>
      </c>
      <c r="Y1233" s="9">
        <f>SUM($X$6:X1233)</f>
        <v>620390.41980938264</v>
      </c>
      <c r="Z1233" s="16">
        <f t="shared" si="457"/>
        <v>0.62039041980938259</v>
      </c>
      <c r="AA1233" s="16">
        <f t="shared" si="476"/>
        <v>0.70464974237702238</v>
      </c>
      <c r="AB1233" s="16">
        <f t="shared" si="477"/>
        <v>-8.6945023343843353E-4</v>
      </c>
      <c r="AC1233" s="16">
        <f t="shared" si="478"/>
        <v>-1.5822857378724991E-3</v>
      </c>
    </row>
    <row r="1234" spans="1:29" x14ac:dyDescent="0.15">
      <c r="A1234" s="8">
        <v>42691</v>
      </c>
      <c r="B1234" s="4">
        <v>2187.12</v>
      </c>
      <c r="C1234" s="1">
        <v>12.7035</v>
      </c>
      <c r="D1234" s="1">
        <v>2.12</v>
      </c>
      <c r="E1234" s="1">
        <v>0.93149999999999999</v>
      </c>
      <c r="F1234" s="4">
        <f t="shared" si="468"/>
        <v>0.12703500000000001</v>
      </c>
      <c r="G1234" s="4">
        <f t="shared" si="469"/>
        <v>2.12E-2</v>
      </c>
      <c r="H1234" s="4">
        <f t="shared" si="470"/>
        <v>9.3150000000000004E-3</v>
      </c>
      <c r="I1234" s="3">
        <f t="shared" si="471"/>
        <v>58.414091378308981</v>
      </c>
      <c r="J1234" s="4">
        <f t="shared" si="458"/>
        <v>1647401.2765288921</v>
      </c>
      <c r="K1234" s="1">
        <f t="shared" si="459"/>
        <v>2177.1799999999998</v>
      </c>
      <c r="L1234" s="5">
        <f t="shared" si="460"/>
        <v>9.5890410958904423E-2</v>
      </c>
      <c r="M1234" s="5">
        <f t="shared" si="461"/>
        <v>-0.45666615016858569</v>
      </c>
      <c r="N1234" s="5">
        <f t="shared" si="462"/>
        <v>30.601043202460776</v>
      </c>
      <c r="O1234" s="1">
        <f t="shared" si="463"/>
        <v>0</v>
      </c>
      <c r="P1234" s="1">
        <f t="shared" si="464"/>
        <v>2177.1799999999998</v>
      </c>
      <c r="Q1234" s="5">
        <f t="shared" si="465"/>
        <v>9.5890410958904423E-2</v>
      </c>
      <c r="R1234" s="5">
        <f t="shared" si="466"/>
        <v>-0.45666615016858569</v>
      </c>
      <c r="S1234" s="5">
        <f t="shared" si="472"/>
        <v>30.601043202460776</v>
      </c>
      <c r="T1234" s="5">
        <f t="shared" si="473"/>
        <v>-736.15700411385774</v>
      </c>
      <c r="U1234" s="4">
        <f t="shared" si="474"/>
        <v>1647427.8606207243</v>
      </c>
      <c r="V1234" s="4">
        <f t="shared" si="467"/>
        <v>26.584520819331683</v>
      </c>
      <c r="W1234" s="4">
        <f t="shared" si="475"/>
        <v>1624900.688334042</v>
      </c>
      <c r="X1234" s="4">
        <f t="shared" si="479"/>
        <v>4510.2685246593319</v>
      </c>
      <c r="Y1234" s="9">
        <f>SUM($X$6:X1234)</f>
        <v>624900.68833404197</v>
      </c>
      <c r="Z1234" s="16">
        <f t="shared" ref="Z1234:Z1297" si="480">Y1234/$H$3</f>
        <v>0.624900688334042</v>
      </c>
      <c r="AA1234" s="16">
        <f t="shared" si="476"/>
        <v>0.71262117676538295</v>
      </c>
      <c r="AB1234" s="16">
        <f t="shared" si="477"/>
        <v>2.7834455631932857E-3</v>
      </c>
      <c r="AC1234" s="16">
        <f t="shared" si="478"/>
        <v>4.6762887355645249E-3</v>
      </c>
    </row>
    <row r="1235" spans="1:29" x14ac:dyDescent="0.15">
      <c r="A1235" s="8">
        <v>42692</v>
      </c>
      <c r="B1235" s="4">
        <v>2181.9</v>
      </c>
      <c r="C1235" s="1">
        <v>12.605600000000001</v>
      </c>
      <c r="D1235" s="1">
        <v>2.13</v>
      </c>
      <c r="E1235" s="1">
        <v>0.93659999999999999</v>
      </c>
      <c r="F1235" s="4">
        <f t="shared" si="468"/>
        <v>0.126056</v>
      </c>
      <c r="G1235" s="4">
        <f t="shared" si="469"/>
        <v>2.1299999999999999E-2</v>
      </c>
      <c r="H1235" s="4">
        <f t="shared" si="470"/>
        <v>9.3659999999999993E-3</v>
      </c>
      <c r="I1235" s="3">
        <f t="shared" si="471"/>
        <v>57.864152337243574</v>
      </c>
      <c r="J1235" s="4">
        <f t="shared" si="458"/>
        <v>1647427.8606207243</v>
      </c>
      <c r="K1235" s="1">
        <f t="shared" si="459"/>
        <v>2177.1799999999998</v>
      </c>
      <c r="L1235" s="5">
        <f t="shared" si="460"/>
        <v>9.3150684931507161E-2</v>
      </c>
      <c r="M1235" s="5">
        <f t="shared" si="461"/>
        <v>-0.48044959431117179</v>
      </c>
      <c r="N1235" s="5">
        <f t="shared" si="462"/>
        <v>32.268525008835596</v>
      </c>
      <c r="O1235" s="1">
        <f t="shared" si="463"/>
        <v>0</v>
      </c>
      <c r="P1235" s="1">
        <f t="shared" si="464"/>
        <v>2177.1799999999998</v>
      </c>
      <c r="Q1235" s="5">
        <f t="shared" si="465"/>
        <v>9.3150684931507161E-2</v>
      </c>
      <c r="R1235" s="5">
        <f t="shared" si="466"/>
        <v>-0.48044959431117179</v>
      </c>
      <c r="S1235" s="5">
        <f t="shared" si="472"/>
        <v>32.268525008835596</v>
      </c>
      <c r="T1235" s="5">
        <f t="shared" si="473"/>
        <v>-736.15700411385774</v>
      </c>
      <c r="U1235" s="4">
        <f t="shared" si="474"/>
        <v>1647454.4451415436</v>
      </c>
      <c r="V1235" s="4">
        <f t="shared" si="467"/>
        <v>26.584949813379975</v>
      </c>
      <c r="W1235" s="4">
        <f t="shared" si="475"/>
        <v>1623699.7444438662</v>
      </c>
      <c r="X1235" s="4">
        <f t="shared" si="479"/>
        <v>-1200.9438901757821</v>
      </c>
      <c r="Y1235" s="9">
        <f>SUM($X$6:X1235)</f>
        <v>623699.74444386619</v>
      </c>
      <c r="Z1235" s="16">
        <f t="shared" si="480"/>
        <v>0.62369974444386622</v>
      </c>
      <c r="AA1235" s="16">
        <f t="shared" si="476"/>
        <v>0.70853366325779543</v>
      </c>
      <c r="AB1235" s="16">
        <f t="shared" si="477"/>
        <v>-7.3908756319567503E-4</v>
      </c>
      <c r="AC1235" s="16">
        <f t="shared" si="478"/>
        <v>-2.3867003182266176E-3</v>
      </c>
    </row>
    <row r="1236" spans="1:29" x14ac:dyDescent="0.15">
      <c r="A1236" s="8">
        <v>42695</v>
      </c>
      <c r="B1236" s="4">
        <v>2198.1799999999998</v>
      </c>
      <c r="C1236" s="1">
        <v>12.220700000000001</v>
      </c>
      <c r="D1236" s="1">
        <v>2.11</v>
      </c>
      <c r="E1236" s="1">
        <v>0.94030000000000002</v>
      </c>
      <c r="F1236" s="4">
        <f t="shared" si="468"/>
        <v>0.12220700000000001</v>
      </c>
      <c r="G1236" s="4">
        <f t="shared" si="469"/>
        <v>2.1099999999999997E-2</v>
      </c>
      <c r="H1236" s="4">
        <f t="shared" si="470"/>
        <v>9.4029999999999999E-3</v>
      </c>
      <c r="I1236" s="3">
        <f t="shared" si="471"/>
        <v>56.553659705653409</v>
      </c>
      <c r="J1236" s="4">
        <f t="shared" si="458"/>
        <v>1647454.4451415436</v>
      </c>
      <c r="K1236" s="1">
        <f t="shared" si="459"/>
        <v>2177.1799999999998</v>
      </c>
      <c r="L1236" s="5">
        <f t="shared" si="460"/>
        <v>8.4931506849315386E-2</v>
      </c>
      <c r="M1236" s="5">
        <f t="shared" si="461"/>
        <v>-0.39693436509687446</v>
      </c>
      <c r="N1236" s="5">
        <f t="shared" si="462"/>
        <v>22.541741162906508</v>
      </c>
      <c r="O1236" s="1">
        <f t="shared" si="463"/>
        <v>0</v>
      </c>
      <c r="P1236" s="1">
        <f t="shared" si="464"/>
        <v>2177.1799999999998</v>
      </c>
      <c r="Q1236" s="5">
        <f t="shared" si="465"/>
        <v>8.4931506849315386E-2</v>
      </c>
      <c r="R1236" s="5">
        <f t="shared" si="466"/>
        <v>-0.39693436509687446</v>
      </c>
      <c r="S1236" s="5">
        <f t="shared" si="472"/>
        <v>22.541741162906508</v>
      </c>
      <c r="T1236" s="5">
        <f t="shared" si="473"/>
        <v>-736.15700411385774</v>
      </c>
      <c r="U1236" s="4">
        <f t="shared" si="474"/>
        <v>1647481.030091357</v>
      </c>
      <c r="V1236" s="4">
        <f t="shared" si="467"/>
        <v>79.75613644305281</v>
      </c>
      <c r="W1236" s="4">
        <f t="shared" si="475"/>
        <v>1630886.7694493616</v>
      </c>
      <c r="X1236" s="4">
        <f t="shared" si="479"/>
        <v>7187.0250054954085</v>
      </c>
      <c r="Y1236" s="9">
        <f>SUM($X$6:X1236)</f>
        <v>630886.7694493616</v>
      </c>
      <c r="Z1236" s="16">
        <f t="shared" si="480"/>
        <v>0.63088676944936162</v>
      </c>
      <c r="AA1236" s="16">
        <f t="shared" si="476"/>
        <v>0.721281693890655</v>
      </c>
      <c r="AB1236" s="16">
        <f t="shared" si="477"/>
        <v>4.4263263759747882E-3</v>
      </c>
      <c r="AC1236" s="16">
        <f t="shared" si="478"/>
        <v>7.4613868646591251E-3</v>
      </c>
    </row>
    <row r="1237" spans="1:29" x14ac:dyDescent="0.15">
      <c r="A1237" s="8">
        <v>42696</v>
      </c>
      <c r="B1237" s="4">
        <v>2202.94</v>
      </c>
      <c r="C1237" s="1">
        <v>12.1965</v>
      </c>
      <c r="D1237" s="1">
        <v>2.11</v>
      </c>
      <c r="E1237" s="1">
        <v>0.94489999999999996</v>
      </c>
      <c r="F1237" s="4">
        <f t="shared" si="468"/>
        <v>0.121965</v>
      </c>
      <c r="G1237" s="4">
        <f t="shared" si="469"/>
        <v>2.1099999999999997E-2</v>
      </c>
      <c r="H1237" s="4">
        <f t="shared" si="470"/>
        <v>9.4489999999999991E-3</v>
      </c>
      <c r="I1237" s="3">
        <f t="shared" si="471"/>
        <v>56.557112578835749</v>
      </c>
      <c r="J1237" s="4">
        <f t="shared" si="458"/>
        <v>1647481.030091357</v>
      </c>
      <c r="K1237" s="1">
        <f t="shared" si="459"/>
        <v>2177.1799999999998</v>
      </c>
      <c r="L1237" s="5">
        <f t="shared" si="460"/>
        <v>8.2191780821918123E-2</v>
      </c>
      <c r="M1237" s="5">
        <f t="shared" si="461"/>
        <v>-0.37138291282227104</v>
      </c>
      <c r="N1237" s="5">
        <f t="shared" si="462"/>
        <v>20.138775971741886</v>
      </c>
      <c r="O1237" s="1">
        <f t="shared" si="463"/>
        <v>0</v>
      </c>
      <c r="P1237" s="1">
        <f t="shared" si="464"/>
        <v>2177.1799999999998</v>
      </c>
      <c r="Q1237" s="5">
        <f t="shared" si="465"/>
        <v>8.2191780821918123E-2</v>
      </c>
      <c r="R1237" s="5">
        <f t="shared" si="466"/>
        <v>-0.37138291282227104</v>
      </c>
      <c r="S1237" s="5">
        <f t="shared" si="472"/>
        <v>20.138775971741886</v>
      </c>
      <c r="T1237" s="5">
        <f t="shared" si="473"/>
        <v>-736.15700411385774</v>
      </c>
      <c r="U1237" s="4">
        <f t="shared" si="474"/>
        <v>1647560.7862278</v>
      </c>
      <c r="V1237" s="4">
        <f t="shared" si="467"/>
        <v>26.586665838032168</v>
      </c>
      <c r="W1237" s="4">
        <f t="shared" si="475"/>
        <v>1632735.4852419223</v>
      </c>
      <c r="X1237" s="4">
        <f t="shared" si="479"/>
        <v>1848.7157925607171</v>
      </c>
      <c r="Y1237" s="9">
        <f>SUM($X$6:X1237)</f>
        <v>632735.48524192232</v>
      </c>
      <c r="Z1237" s="16">
        <f t="shared" si="480"/>
        <v>0.63273548524192236</v>
      </c>
      <c r="AA1237" s="16">
        <f t="shared" si="476"/>
        <v>0.72500900505849386</v>
      </c>
      <c r="AB1237" s="16">
        <f t="shared" si="477"/>
        <v>1.1335647742025043E-3</v>
      </c>
      <c r="AC1237" s="16">
        <f t="shared" si="478"/>
        <v>2.1654277629676454E-3</v>
      </c>
    </row>
    <row r="1238" spans="1:29" x14ac:dyDescent="0.15">
      <c r="A1238" s="8">
        <v>42697</v>
      </c>
      <c r="B1238" s="4">
        <v>2204.7199999999998</v>
      </c>
      <c r="C1238" s="1">
        <v>12.230600000000001</v>
      </c>
      <c r="D1238" s="1">
        <v>2.11</v>
      </c>
      <c r="E1238" s="1">
        <v>0.95030000000000003</v>
      </c>
      <c r="F1238" s="4">
        <f t="shared" si="468"/>
        <v>0.12230600000000001</v>
      </c>
      <c r="G1238" s="4">
        <f t="shared" si="469"/>
        <v>2.1099999999999997E-2</v>
      </c>
      <c r="H1238" s="4">
        <f t="shared" si="470"/>
        <v>9.503000000000001E-3</v>
      </c>
      <c r="I1238" s="3">
        <f t="shared" si="471"/>
        <v>56.736035993671351</v>
      </c>
      <c r="J1238" s="4">
        <f t="shared" si="458"/>
        <v>1647560.7862278</v>
      </c>
      <c r="K1238" s="1">
        <f t="shared" si="459"/>
        <v>2177.1799999999998</v>
      </c>
      <c r="L1238" s="5">
        <f t="shared" si="460"/>
        <v>7.945205479452086E-2</v>
      </c>
      <c r="M1238" s="5">
        <f t="shared" si="461"/>
        <v>-0.36064201837121918</v>
      </c>
      <c r="N1238" s="5">
        <f t="shared" si="462"/>
        <v>19.051333375401466</v>
      </c>
      <c r="O1238" s="1">
        <f t="shared" si="463"/>
        <v>0</v>
      </c>
      <c r="P1238" s="1">
        <f t="shared" si="464"/>
        <v>2177.1799999999998</v>
      </c>
      <c r="Q1238" s="5">
        <f t="shared" si="465"/>
        <v>7.945205479452086E-2</v>
      </c>
      <c r="R1238" s="5">
        <f t="shared" si="466"/>
        <v>-0.36064201837121918</v>
      </c>
      <c r="S1238" s="5">
        <f t="shared" si="472"/>
        <v>19.051333375401466</v>
      </c>
      <c r="T1238" s="5">
        <f t="shared" si="473"/>
        <v>-736.15700411385774</v>
      </c>
      <c r="U1238" s="4">
        <f t="shared" si="474"/>
        <v>1647587.372893638</v>
      </c>
      <c r="V1238" s="4">
        <f t="shared" si="467"/>
        <v>26.587094866694596</v>
      </c>
      <c r="W1238" s="4">
        <f t="shared" si="475"/>
        <v>1633562.600391628</v>
      </c>
      <c r="X1238" s="4">
        <f t="shared" si="479"/>
        <v>827.11514970567077</v>
      </c>
      <c r="Y1238" s="9">
        <f>SUM($X$6:X1238)</f>
        <v>633562.60039162799</v>
      </c>
      <c r="Z1238" s="16">
        <f t="shared" si="480"/>
        <v>0.63356260039162804</v>
      </c>
      <c r="AA1238" s="16">
        <f t="shared" si="476"/>
        <v>0.72640283150360974</v>
      </c>
      <c r="AB1238" s="16">
        <f t="shared" si="477"/>
        <v>5.0658245452607237E-4</v>
      </c>
      <c r="AC1238" s="16">
        <f t="shared" si="478"/>
        <v>8.0801111242237433E-4</v>
      </c>
    </row>
    <row r="1239" spans="1:29" x14ac:dyDescent="0.15">
      <c r="A1239" s="8">
        <v>42699</v>
      </c>
      <c r="B1239" s="4">
        <v>2213.35</v>
      </c>
      <c r="C1239" s="1">
        <v>12.126799999999999</v>
      </c>
      <c r="D1239" s="1">
        <v>2.1</v>
      </c>
      <c r="E1239" s="1">
        <v>0.95840000000000003</v>
      </c>
      <c r="F1239" s="4">
        <f t="shared" si="468"/>
        <v>0.12126799999999999</v>
      </c>
      <c r="G1239" s="4">
        <f t="shared" si="469"/>
        <v>2.1000000000000001E-2</v>
      </c>
      <c r="H1239" s="4">
        <f t="shared" si="470"/>
        <v>9.5840000000000005E-3</v>
      </c>
      <c r="I1239" s="3">
        <f t="shared" si="471"/>
        <v>56.451442523512846</v>
      </c>
      <c r="J1239" s="4">
        <f t="shared" si="458"/>
        <v>1647587.372893638</v>
      </c>
      <c r="K1239" s="1">
        <f t="shared" si="459"/>
        <v>2177.1799999999998</v>
      </c>
      <c r="L1239" s="5">
        <f t="shared" si="460"/>
        <v>7.3972602739726334E-2</v>
      </c>
      <c r="M1239" s="5">
        <f t="shared" si="461"/>
        <v>-0.31142366652439324</v>
      </c>
      <c r="N1239" s="5">
        <f t="shared" si="462"/>
        <v>14.893516365107633</v>
      </c>
      <c r="O1239" s="1">
        <f t="shared" si="463"/>
        <v>0</v>
      </c>
      <c r="P1239" s="1">
        <f t="shared" si="464"/>
        <v>2177.1799999999998</v>
      </c>
      <c r="Q1239" s="5">
        <f t="shared" si="465"/>
        <v>7.3972602739726334E-2</v>
      </c>
      <c r="R1239" s="5">
        <f t="shared" si="466"/>
        <v>-0.31142366652439324</v>
      </c>
      <c r="S1239" s="5">
        <f t="shared" si="472"/>
        <v>14.893516365107633</v>
      </c>
      <c r="T1239" s="5">
        <f t="shared" si="473"/>
        <v>-736.15700411385774</v>
      </c>
      <c r="U1239" s="4">
        <f t="shared" si="474"/>
        <v>1647613.9599885046</v>
      </c>
      <c r="V1239" s="4">
        <f t="shared" si="467"/>
        <v>53.175047804560499</v>
      </c>
      <c r="W1239" s="4">
        <f t="shared" si="475"/>
        <v>1636649.9936004463</v>
      </c>
      <c r="X1239" s="4">
        <f t="shared" si="479"/>
        <v>3087.3932088182773</v>
      </c>
      <c r="Y1239" s="9">
        <f>SUM($X$6:X1239)</f>
        <v>636649.99360044627</v>
      </c>
      <c r="Z1239" s="16">
        <f t="shared" si="480"/>
        <v>0.63664999360044627</v>
      </c>
      <c r="AA1239" s="16">
        <f t="shared" si="476"/>
        <v>0.73316054061672908</v>
      </c>
      <c r="AB1239" s="16">
        <f t="shared" si="477"/>
        <v>1.8899754488001317E-3</v>
      </c>
      <c r="AC1239" s="16">
        <f t="shared" si="478"/>
        <v>3.9143292572299928E-3</v>
      </c>
    </row>
    <row r="1240" spans="1:29" x14ac:dyDescent="0.15">
      <c r="A1240" s="8">
        <v>42702</v>
      </c>
      <c r="B1240" s="4">
        <v>2201.7199999999998</v>
      </c>
      <c r="C1240" s="1">
        <v>12.5459</v>
      </c>
      <c r="D1240" s="1">
        <v>2.11</v>
      </c>
      <c r="E1240" s="1">
        <v>0.95640000000000003</v>
      </c>
      <c r="F1240" s="4">
        <f t="shared" si="468"/>
        <v>0.12545899999999999</v>
      </c>
      <c r="G1240" s="4">
        <f t="shared" si="469"/>
        <v>2.1099999999999997E-2</v>
      </c>
      <c r="H1240" s="4">
        <f t="shared" si="470"/>
        <v>9.5639999999999996E-3</v>
      </c>
      <c r="I1240" s="3">
        <f t="shared" si="471"/>
        <v>58.01650951158058</v>
      </c>
      <c r="J1240" s="4">
        <f t="shared" si="458"/>
        <v>1647613.9599885046</v>
      </c>
      <c r="K1240" s="1">
        <f t="shared" si="459"/>
        <v>2177.1799999999998</v>
      </c>
      <c r="L1240" s="5">
        <f t="shared" si="460"/>
        <v>6.5753424657534559E-2</v>
      </c>
      <c r="M1240" s="5">
        <f t="shared" si="461"/>
        <v>-0.36607704273784203</v>
      </c>
      <c r="N1240" s="5">
        <f t="shared" si="462"/>
        <v>18.110163234493552</v>
      </c>
      <c r="O1240" s="1">
        <f t="shared" si="463"/>
        <v>0</v>
      </c>
      <c r="P1240" s="1">
        <f t="shared" si="464"/>
        <v>2177.1799999999998</v>
      </c>
      <c r="Q1240" s="5">
        <f t="shared" si="465"/>
        <v>6.5753424657534559E-2</v>
      </c>
      <c r="R1240" s="5">
        <f t="shared" si="466"/>
        <v>-0.36607704273784203</v>
      </c>
      <c r="S1240" s="5">
        <f t="shared" si="472"/>
        <v>18.110163234493552</v>
      </c>
      <c r="T1240" s="5">
        <f t="shared" si="473"/>
        <v>-736.15700411385774</v>
      </c>
      <c r="U1240" s="4">
        <f t="shared" si="474"/>
        <v>1647667.1350363092</v>
      </c>
      <c r="V1240" s="4">
        <f t="shared" si="467"/>
        <v>79.765145961894746</v>
      </c>
      <c r="W1240" s="4">
        <f t="shared" si="475"/>
        <v>1634335.2115255916</v>
      </c>
      <c r="X1240" s="4">
        <f t="shared" si="479"/>
        <v>-2314.7820748547092</v>
      </c>
      <c r="Y1240" s="9">
        <f>SUM($X$6:X1240)</f>
        <v>634335.21152559156</v>
      </c>
      <c r="Z1240" s="16">
        <f t="shared" si="480"/>
        <v>0.63433521152559158</v>
      </c>
      <c r="AA1240" s="16">
        <f t="shared" si="476"/>
        <v>0.72405368580959384</v>
      </c>
      <c r="AB1240" s="16">
        <f t="shared" si="477"/>
        <v>-1.4143415415060422E-3</v>
      </c>
      <c r="AC1240" s="16">
        <f t="shared" si="478"/>
        <v>-5.2544785054329905E-3</v>
      </c>
    </row>
    <row r="1241" spans="1:29" x14ac:dyDescent="0.15">
      <c r="A1241" s="8">
        <v>42703</v>
      </c>
      <c r="B1241" s="4">
        <v>2204.66</v>
      </c>
      <c r="C1241" s="1">
        <v>12.4229</v>
      </c>
      <c r="D1241" s="1">
        <v>2.11</v>
      </c>
      <c r="E1241" s="1">
        <v>0.93069999999999997</v>
      </c>
      <c r="F1241" s="4">
        <f t="shared" si="468"/>
        <v>0.12422900000000001</v>
      </c>
      <c r="G1241" s="4">
        <f t="shared" si="469"/>
        <v>2.1099999999999997E-2</v>
      </c>
      <c r="H1241" s="4">
        <f t="shared" si="470"/>
        <v>9.3069999999999993E-3</v>
      </c>
      <c r="I1241" s="3">
        <f t="shared" si="471"/>
        <v>57.631543612256252</v>
      </c>
      <c r="J1241" s="4">
        <f t="shared" si="458"/>
        <v>1647667.1350363092</v>
      </c>
      <c r="K1241" s="1">
        <f t="shared" si="459"/>
        <v>2177.1799999999998</v>
      </c>
      <c r="L1241" s="5">
        <f t="shared" si="460"/>
        <v>6.3013698630137296E-2</v>
      </c>
      <c r="M1241" s="5">
        <f t="shared" si="461"/>
        <v>-0.34633896386868956</v>
      </c>
      <c r="N1241" s="5">
        <f t="shared" si="462"/>
        <v>16.242278250439522</v>
      </c>
      <c r="O1241" s="1">
        <f t="shared" si="463"/>
        <v>0</v>
      </c>
      <c r="P1241" s="1">
        <f t="shared" si="464"/>
        <v>2177.1799999999998</v>
      </c>
      <c r="Q1241" s="5">
        <f t="shared" si="465"/>
        <v>6.3013698630137296E-2</v>
      </c>
      <c r="R1241" s="5">
        <f t="shared" si="466"/>
        <v>-0.34633896386868956</v>
      </c>
      <c r="S1241" s="5">
        <f t="shared" si="472"/>
        <v>16.242278250439522</v>
      </c>
      <c r="T1241" s="5">
        <f t="shared" si="473"/>
        <v>-736.15700411385774</v>
      </c>
      <c r="U1241" s="4">
        <f t="shared" si="474"/>
        <v>1647746.9001822711</v>
      </c>
      <c r="V1241" s="4">
        <f t="shared" si="467"/>
        <v>26.589669156365961</v>
      </c>
      <c r="W1241" s="4">
        <f t="shared" si="475"/>
        <v>1635790.0332854439</v>
      </c>
      <c r="X1241" s="4">
        <f t="shared" si="479"/>
        <v>1454.8217598523479</v>
      </c>
      <c r="Y1241" s="9">
        <f>SUM($X$6:X1241)</f>
        <v>635790.0332854439</v>
      </c>
      <c r="Z1241" s="16">
        <f t="shared" si="480"/>
        <v>0.63579003328544392</v>
      </c>
      <c r="AA1241" s="16">
        <f t="shared" si="476"/>
        <v>0.72635584858972946</v>
      </c>
      <c r="AB1241" s="16">
        <f t="shared" si="477"/>
        <v>8.9016117966052115E-4</v>
      </c>
      <c r="AC1241" s="16">
        <f t="shared" si="478"/>
        <v>1.3353196591755787E-3</v>
      </c>
    </row>
    <row r="1242" spans="1:29" x14ac:dyDescent="0.15">
      <c r="A1242" s="8">
        <v>42704</v>
      </c>
      <c r="B1242" s="4">
        <v>2198.81</v>
      </c>
      <c r="C1242" s="1">
        <v>12.6943</v>
      </c>
      <c r="D1242" s="1">
        <v>2.11</v>
      </c>
      <c r="E1242" s="1">
        <v>0.93420000000000003</v>
      </c>
      <c r="F1242" s="4">
        <f t="shared" si="468"/>
        <v>0.126943</v>
      </c>
      <c r="G1242" s="4">
        <f t="shared" si="469"/>
        <v>2.1099999999999997E-2</v>
      </c>
      <c r="H1242" s="4">
        <f t="shared" si="470"/>
        <v>9.3419999999999996E-3</v>
      </c>
      <c r="I1242" s="3">
        <f t="shared" si="471"/>
        <v>58.650800269123337</v>
      </c>
      <c r="J1242" s="4">
        <f t="shared" si="458"/>
        <v>1647746.9001822711</v>
      </c>
      <c r="K1242" s="1">
        <f t="shared" si="459"/>
        <v>2177.1799999999998</v>
      </c>
      <c r="L1242" s="5">
        <f t="shared" si="460"/>
        <v>6.0273972602740034E-2</v>
      </c>
      <c r="M1242" s="5">
        <f t="shared" si="461"/>
        <v>-0.37778153905851308</v>
      </c>
      <c r="N1242" s="5">
        <f t="shared" si="462"/>
        <v>18.317002424846933</v>
      </c>
      <c r="O1242" s="1">
        <f t="shared" si="463"/>
        <v>0</v>
      </c>
      <c r="P1242" s="1">
        <f t="shared" si="464"/>
        <v>2177.1799999999998</v>
      </c>
      <c r="Q1242" s="5">
        <f t="shared" si="465"/>
        <v>6.0273972602740034E-2</v>
      </c>
      <c r="R1242" s="5">
        <f t="shared" si="466"/>
        <v>-0.37778153905851308</v>
      </c>
      <c r="S1242" s="5">
        <f t="shared" si="472"/>
        <v>18.317002424846933</v>
      </c>
      <c r="T1242" s="5">
        <f t="shared" si="473"/>
        <v>-736.15700411385774</v>
      </c>
      <c r="U1242" s="4">
        <f t="shared" si="474"/>
        <v>1647773.4898514275</v>
      </c>
      <c r="V1242" s="4">
        <f t="shared" si="467"/>
        <v>26.590098233492899</v>
      </c>
      <c r="W1242" s="4">
        <f t="shared" si="475"/>
        <v>1634289.3002220059</v>
      </c>
      <c r="X1242" s="4">
        <f t="shared" si="479"/>
        <v>-1500.7330634379759</v>
      </c>
      <c r="Y1242" s="9">
        <f>SUM($X$6:X1242)</f>
        <v>634289.30022200593</v>
      </c>
      <c r="Z1242" s="16">
        <f t="shared" si="480"/>
        <v>0.63428930022200591</v>
      </c>
      <c r="AA1242" s="16">
        <f t="shared" si="476"/>
        <v>0.72177501448639847</v>
      </c>
      <c r="AB1242" s="16">
        <f t="shared" si="477"/>
        <v>-9.174362435891547E-4</v>
      </c>
      <c r="AC1242" s="16">
        <f t="shared" si="478"/>
        <v>-2.6534703763845262E-3</v>
      </c>
    </row>
    <row r="1243" spans="1:29" x14ac:dyDescent="0.15">
      <c r="A1243" s="8">
        <v>42705</v>
      </c>
      <c r="B1243" s="4">
        <v>2191.08</v>
      </c>
      <c r="C1243" s="1">
        <v>13.118499999999999</v>
      </c>
      <c r="D1243" s="1">
        <v>2.12</v>
      </c>
      <c r="E1243" s="1">
        <v>0.94169999999999998</v>
      </c>
      <c r="F1243" s="4">
        <f t="shared" si="468"/>
        <v>0.131185</v>
      </c>
      <c r="G1243" s="4">
        <f t="shared" si="469"/>
        <v>2.12E-2</v>
      </c>
      <c r="H1243" s="4">
        <f t="shared" si="470"/>
        <v>9.417E-3</v>
      </c>
      <c r="I1243" s="3">
        <f t="shared" si="471"/>
        <v>60.291920105654008</v>
      </c>
      <c r="J1243" s="4">
        <f t="shared" si="458"/>
        <v>1647773.4898514275</v>
      </c>
      <c r="K1243" s="1">
        <f t="shared" si="459"/>
        <v>2177.1799999999998</v>
      </c>
      <c r="L1243" s="5">
        <f t="shared" si="460"/>
        <v>5.7534246575342771E-2</v>
      </c>
      <c r="M1243" s="5">
        <f t="shared" si="461"/>
        <v>-0.42161845887728333</v>
      </c>
      <c r="N1243" s="5">
        <f t="shared" si="462"/>
        <v>21.634521038726227</v>
      </c>
      <c r="O1243" s="1">
        <f t="shared" si="463"/>
        <v>0</v>
      </c>
      <c r="P1243" s="1">
        <f t="shared" si="464"/>
        <v>2177.1799999999998</v>
      </c>
      <c r="Q1243" s="5">
        <f t="shared" si="465"/>
        <v>5.7534246575342771E-2</v>
      </c>
      <c r="R1243" s="5">
        <f t="shared" si="466"/>
        <v>-0.42161845887728333</v>
      </c>
      <c r="S1243" s="5">
        <f t="shared" si="472"/>
        <v>21.634521038726227</v>
      </c>
      <c r="T1243" s="5">
        <f t="shared" si="473"/>
        <v>-736.15700411385774</v>
      </c>
      <c r="U1243" s="4">
        <f t="shared" si="474"/>
        <v>1647800.0799496609</v>
      </c>
      <c r="V1243" s="4">
        <f t="shared" si="467"/>
        <v>26.590527317543838</v>
      </c>
      <c r="W1243" s="4">
        <f t="shared" si="475"/>
        <v>1631873.6757563539</v>
      </c>
      <c r="X1243" s="4">
        <f t="shared" si="479"/>
        <v>-2415.624465652043</v>
      </c>
      <c r="Y1243" s="9">
        <f>SUM($X$6:X1243)</f>
        <v>631873.67575635388</v>
      </c>
      <c r="Z1243" s="16">
        <f t="shared" si="480"/>
        <v>0.63187367575635389</v>
      </c>
      <c r="AA1243" s="16">
        <f t="shared" si="476"/>
        <v>0.71572204908148407</v>
      </c>
      <c r="AB1243" s="16">
        <f t="shared" si="477"/>
        <v>-1.4780886501085816E-3</v>
      </c>
      <c r="AC1243" s="16">
        <f t="shared" si="478"/>
        <v>-3.5155379500730025E-3</v>
      </c>
    </row>
    <row r="1244" spans="1:29" x14ac:dyDescent="0.15">
      <c r="A1244" s="8">
        <v>42706</v>
      </c>
      <c r="B1244" s="4">
        <v>2191.9499999999998</v>
      </c>
      <c r="C1244" s="1">
        <v>13.1289</v>
      </c>
      <c r="D1244" s="1">
        <v>2.12</v>
      </c>
      <c r="E1244" s="1">
        <v>0.94640000000000002</v>
      </c>
      <c r="F1244" s="4">
        <f t="shared" si="468"/>
        <v>0.13128899999999999</v>
      </c>
      <c r="G1244" s="4">
        <f t="shared" si="469"/>
        <v>2.12E-2</v>
      </c>
      <c r="H1244" s="4">
        <f t="shared" si="470"/>
        <v>9.4640000000000002E-3</v>
      </c>
      <c r="I1244" s="3">
        <f t="shared" si="471"/>
        <v>60.347423178110269</v>
      </c>
      <c r="J1244" s="4">
        <f t="shared" ref="J1244:J1307" si="481">U1243</f>
        <v>1647800.0799496609</v>
      </c>
      <c r="K1244" s="1">
        <f t="shared" ref="K1244:K1307" si="482">P1243</f>
        <v>2177.1799999999998</v>
      </c>
      <c r="L1244" s="5">
        <f t="shared" ref="L1244:L1307" si="483">Q1243-(A1244-A1243)/365</f>
        <v>5.4794520547945508E-2</v>
      </c>
      <c r="M1244" s="5">
        <f t="shared" ref="M1244:M1307" si="484">BSM_Put(B1244,K1244,F1244,H1244,G1244,L1244,$G$3)</f>
        <v>-0.4146199605508164</v>
      </c>
      <c r="N1244" s="5">
        <f t="shared" ref="N1244:N1307" si="485">BSM_Put(B1244,K1244,F1244,H1244,G1244,L1244,$F$3)</f>
        <v>20.611707652112372</v>
      </c>
      <c r="O1244" s="1">
        <f t="shared" ref="O1244:O1307" si="486">IF(OR(M1244&gt;-0.05,L1244&lt;=0.00001),1,0)</f>
        <v>0</v>
      </c>
      <c r="P1244" s="1">
        <f t="shared" ref="P1244:P1307" si="487">IF(O1244,B1244,K1244)</f>
        <v>2177.1799999999998</v>
      </c>
      <c r="Q1244" s="5">
        <f t="shared" ref="Q1244:Q1307" si="488">IF(O1244,$B$3,L1244)</f>
        <v>5.4794520547945508E-2</v>
      </c>
      <c r="R1244" s="5">
        <f t="shared" ref="R1244:R1307" si="489">IF(O1244,BSM_Put(B1244,P1244,F1244,H1244,G1244,Q1244,$G$3),M1244)</f>
        <v>-0.4146199605508164</v>
      </c>
      <c r="S1244" s="5">
        <f t="shared" si="472"/>
        <v>20.611707652112372</v>
      </c>
      <c r="T1244" s="5">
        <f t="shared" si="473"/>
        <v>-736.15700411385774</v>
      </c>
      <c r="U1244" s="4">
        <f t="shared" si="474"/>
        <v>1647826.6704769784</v>
      </c>
      <c r="V1244" s="4">
        <f t="shared" ref="V1244:V1307" si="490">U1244*$H$6*(A1244-A1243)/365</f>
        <v>26.590956408518906</v>
      </c>
      <c r="W1244" s="4">
        <f t="shared" si="475"/>
        <v>1632653.2175221287</v>
      </c>
      <c r="X1244" s="4">
        <f t="shared" si="479"/>
        <v>779.54176577483304</v>
      </c>
      <c r="Y1244" s="9">
        <f>SUM($X$6:X1244)</f>
        <v>632653.21752212872</v>
      </c>
      <c r="Z1244" s="16">
        <f t="shared" si="480"/>
        <v>0.63265321752212866</v>
      </c>
      <c r="AA1244" s="16">
        <f t="shared" si="476"/>
        <v>0.71640330133274854</v>
      </c>
      <c r="AB1244" s="16">
        <f t="shared" si="477"/>
        <v>4.776973716507344E-4</v>
      </c>
      <c r="AC1244" s="16">
        <f t="shared" si="478"/>
        <v>3.9706446136147054E-4</v>
      </c>
    </row>
    <row r="1245" spans="1:29" x14ac:dyDescent="0.15">
      <c r="A1245" s="8">
        <v>42709</v>
      </c>
      <c r="B1245" s="4">
        <v>2204.71</v>
      </c>
      <c r="C1245" s="1">
        <v>12.5375</v>
      </c>
      <c r="D1245" s="1">
        <v>2.11</v>
      </c>
      <c r="E1245" s="1">
        <v>0.94810000000000005</v>
      </c>
      <c r="F1245" s="4">
        <f t="shared" si="468"/>
        <v>0.12537499999999999</v>
      </c>
      <c r="G1245" s="4">
        <f t="shared" si="469"/>
        <v>2.1099999999999997E-2</v>
      </c>
      <c r="H1245" s="4">
        <f t="shared" si="470"/>
        <v>9.4809999999999998E-3</v>
      </c>
      <c r="I1245" s="3">
        <f t="shared" si="471"/>
        <v>58.082765813143716</v>
      </c>
      <c r="J1245" s="4">
        <f t="shared" si="481"/>
        <v>1647826.6704769784</v>
      </c>
      <c r="K1245" s="1">
        <f t="shared" si="482"/>
        <v>2177.1799999999998</v>
      </c>
      <c r="L1245" s="5">
        <f t="shared" si="483"/>
        <v>4.6575342465753726E-2</v>
      </c>
      <c r="M1245" s="5">
        <f t="shared" si="484"/>
        <v>-0.3231844176268161</v>
      </c>
      <c r="N1245" s="5">
        <f t="shared" si="485"/>
        <v>12.76531945599141</v>
      </c>
      <c r="O1245" s="1">
        <f t="shared" si="486"/>
        <v>0</v>
      </c>
      <c r="P1245" s="1">
        <f t="shared" si="487"/>
        <v>2177.1799999999998</v>
      </c>
      <c r="Q1245" s="5">
        <f t="shared" si="488"/>
        <v>4.6575342465753726E-2</v>
      </c>
      <c r="R1245" s="5">
        <f t="shared" si="489"/>
        <v>-0.3231844176268161</v>
      </c>
      <c r="S1245" s="5">
        <f t="shared" si="472"/>
        <v>12.76531945599141</v>
      </c>
      <c r="T1245" s="5">
        <f t="shared" si="473"/>
        <v>-736.15700411385774</v>
      </c>
      <c r="U1245" s="4">
        <f t="shared" si="474"/>
        <v>1647853.2614333869</v>
      </c>
      <c r="V1245" s="4">
        <f t="shared" si="490"/>
        <v>79.774156519254646</v>
      </c>
      <c r="W1245" s="4">
        <f t="shared" si="475"/>
        <v>1638455.982106108</v>
      </c>
      <c r="X1245" s="4">
        <f t="shared" si="479"/>
        <v>5802.7645839792676</v>
      </c>
      <c r="Y1245" s="9">
        <f>SUM($X$6:X1245)</f>
        <v>638455.98210610799</v>
      </c>
      <c r="Z1245" s="16">
        <f t="shared" si="480"/>
        <v>0.63845598210610799</v>
      </c>
      <c r="AA1245" s="16">
        <f t="shared" si="476"/>
        <v>0.72639500101796328</v>
      </c>
      <c r="AB1245" s="16">
        <f t="shared" si="477"/>
        <v>3.5541929674362204E-3</v>
      </c>
      <c r="AC1245" s="16">
        <f t="shared" si="478"/>
        <v>5.821300668354761E-3</v>
      </c>
    </row>
    <row r="1246" spans="1:29" x14ac:dyDescent="0.15">
      <c r="A1246" s="8">
        <v>42710</v>
      </c>
      <c r="B1246" s="4">
        <v>2212.23</v>
      </c>
      <c r="C1246" s="1">
        <v>12.2872</v>
      </c>
      <c r="D1246" s="1">
        <v>2.1</v>
      </c>
      <c r="E1246" s="1">
        <v>0.95079999999999998</v>
      </c>
      <c r="F1246" s="4">
        <f t="shared" si="468"/>
        <v>0.12287200000000001</v>
      </c>
      <c r="G1246" s="4">
        <f t="shared" si="469"/>
        <v>2.1000000000000001E-2</v>
      </c>
      <c r="H1246" s="4">
        <f t="shared" si="470"/>
        <v>9.5079999999999991E-3</v>
      </c>
      <c r="I1246" s="3">
        <f t="shared" si="471"/>
        <v>57.148125646463853</v>
      </c>
      <c r="J1246" s="4">
        <f t="shared" si="481"/>
        <v>1647853.2614333869</v>
      </c>
      <c r="K1246" s="1">
        <f t="shared" si="482"/>
        <v>2177.1799999999998</v>
      </c>
      <c r="L1246" s="5">
        <f t="shared" si="483"/>
        <v>4.3835616438356463E-2</v>
      </c>
      <c r="M1246" s="5">
        <f t="shared" si="484"/>
        <v>-0.26933152731860782</v>
      </c>
      <c r="N1246" s="5">
        <f t="shared" si="485"/>
        <v>9.4973110235397975</v>
      </c>
      <c r="O1246" s="1">
        <f t="shared" si="486"/>
        <v>0</v>
      </c>
      <c r="P1246" s="1">
        <f t="shared" si="487"/>
        <v>2177.1799999999998</v>
      </c>
      <c r="Q1246" s="5">
        <f t="shared" si="488"/>
        <v>4.3835616438356463E-2</v>
      </c>
      <c r="R1246" s="5">
        <f t="shared" si="489"/>
        <v>-0.26933152731860782</v>
      </c>
      <c r="S1246" s="5">
        <f t="shared" si="472"/>
        <v>9.4973110235397975</v>
      </c>
      <c r="T1246" s="5">
        <f t="shared" si="473"/>
        <v>-736.15700411385774</v>
      </c>
      <c r="U1246" s="4">
        <f t="shared" si="474"/>
        <v>1647933.0355899062</v>
      </c>
      <c r="V1246" s="4">
        <f t="shared" si="490"/>
        <v>26.59267282088917</v>
      </c>
      <c r="W1246" s="4">
        <f t="shared" si="475"/>
        <v>1640941.5235596795</v>
      </c>
      <c r="X1246" s="4">
        <f t="shared" si="479"/>
        <v>2485.5414535715245</v>
      </c>
      <c r="Y1246" s="9">
        <f>SUM($X$6:X1246)</f>
        <v>640941.52355967951</v>
      </c>
      <c r="Z1246" s="16">
        <f t="shared" si="480"/>
        <v>0.64094152355967948</v>
      </c>
      <c r="AA1246" s="16">
        <f t="shared" si="476"/>
        <v>0.73228352622429649</v>
      </c>
      <c r="AB1246" s="16">
        <f t="shared" si="477"/>
        <v>1.5170022757502182E-3</v>
      </c>
      <c r="AC1246" s="16">
        <f t="shared" si="478"/>
        <v>3.4108794353905872E-3</v>
      </c>
    </row>
    <row r="1247" spans="1:29" x14ac:dyDescent="0.15">
      <c r="A1247" s="8">
        <v>42711</v>
      </c>
      <c r="B1247" s="4">
        <v>2241.35</v>
      </c>
      <c r="C1247" s="1">
        <v>12.156000000000001</v>
      </c>
      <c r="D1247" s="1">
        <v>2.0699999999999998</v>
      </c>
      <c r="E1247" s="1">
        <v>0.95079999999999998</v>
      </c>
      <c r="F1247" s="4">
        <f t="shared" si="468"/>
        <v>0.12156</v>
      </c>
      <c r="G1247" s="4">
        <f t="shared" si="469"/>
        <v>2.07E-2</v>
      </c>
      <c r="H1247" s="4">
        <f t="shared" si="470"/>
        <v>9.5079999999999991E-3</v>
      </c>
      <c r="I1247" s="3">
        <f t="shared" si="471"/>
        <v>57.233277650588455</v>
      </c>
      <c r="J1247" s="4">
        <f t="shared" si="481"/>
        <v>1647933.0355899062</v>
      </c>
      <c r="K1247" s="1">
        <f t="shared" si="482"/>
        <v>2177.1799999999998</v>
      </c>
      <c r="L1247" s="5">
        <f t="shared" si="483"/>
        <v>4.10958904109592E-2</v>
      </c>
      <c r="M1247" s="5">
        <f t="shared" si="484"/>
        <v>-0.12041266259166628</v>
      </c>
      <c r="N1247" s="5">
        <f t="shared" si="485"/>
        <v>3.3103329317787913</v>
      </c>
      <c r="O1247" s="1">
        <f t="shared" si="486"/>
        <v>0</v>
      </c>
      <c r="P1247" s="1">
        <f t="shared" si="487"/>
        <v>2177.1799999999998</v>
      </c>
      <c r="Q1247" s="5">
        <f t="shared" si="488"/>
        <v>4.10958904109592E-2</v>
      </c>
      <c r="R1247" s="5">
        <f t="shared" si="489"/>
        <v>-0.12041266259166628</v>
      </c>
      <c r="S1247" s="5">
        <f t="shared" si="472"/>
        <v>3.3103329317787913</v>
      </c>
      <c r="T1247" s="5">
        <f t="shared" si="473"/>
        <v>-736.15700411385774</v>
      </c>
      <c r="U1247" s="4">
        <f t="shared" si="474"/>
        <v>1647959.6282627271</v>
      </c>
      <c r="V1247" s="4">
        <f t="shared" si="490"/>
        <v>26.593101946486197</v>
      </c>
      <c r="W1247" s="4">
        <f t="shared" si="475"/>
        <v>1645522.7034890493</v>
      </c>
      <c r="X1247" s="4">
        <f t="shared" si="479"/>
        <v>4581.1799293698277</v>
      </c>
      <c r="Y1247" s="9">
        <f>SUM($X$6:X1247)</f>
        <v>645522.70348904934</v>
      </c>
      <c r="Z1247" s="16">
        <f t="shared" si="480"/>
        <v>0.64552270348904939</v>
      </c>
      <c r="AA1247" s="16">
        <f t="shared" si="476"/>
        <v>0.75508590042754453</v>
      </c>
      <c r="AB1247" s="16">
        <f t="shared" si="477"/>
        <v>2.7917996245423273E-3</v>
      </c>
      <c r="AC1247" s="16">
        <f t="shared" si="478"/>
        <v>1.316318827608336E-2</v>
      </c>
    </row>
    <row r="1248" spans="1:29" x14ac:dyDescent="0.15">
      <c r="A1248" s="8">
        <v>42712</v>
      </c>
      <c r="B1248" s="4">
        <v>2246.19</v>
      </c>
      <c r="C1248" s="1">
        <v>12.5566</v>
      </c>
      <c r="D1248" s="1">
        <v>2.0699999999999998</v>
      </c>
      <c r="E1248" s="1">
        <v>0.95309999999999995</v>
      </c>
      <c r="F1248" s="4">
        <f t="shared" si="468"/>
        <v>0.12556599999999998</v>
      </c>
      <c r="G1248" s="4">
        <f t="shared" si="469"/>
        <v>2.07E-2</v>
      </c>
      <c r="H1248" s="4">
        <f t="shared" si="470"/>
        <v>9.5309999999999995E-3</v>
      </c>
      <c r="I1248" s="3">
        <f t="shared" si="471"/>
        <v>59.133071593254478</v>
      </c>
      <c r="J1248" s="4">
        <f t="shared" si="481"/>
        <v>1647959.6282627271</v>
      </c>
      <c r="K1248" s="1">
        <f t="shared" si="482"/>
        <v>2177.1799999999998</v>
      </c>
      <c r="L1248" s="5">
        <f t="shared" si="483"/>
        <v>3.8356164383561937E-2</v>
      </c>
      <c r="M1248" s="5">
        <f t="shared" si="484"/>
        <v>-0.10306981115636538</v>
      </c>
      <c r="N1248" s="5">
        <f t="shared" si="485"/>
        <v>2.7407087723063301</v>
      </c>
      <c r="O1248" s="1">
        <f t="shared" si="486"/>
        <v>0</v>
      </c>
      <c r="P1248" s="1">
        <f t="shared" si="487"/>
        <v>2177.1799999999998</v>
      </c>
      <c r="Q1248" s="5">
        <f t="shared" si="488"/>
        <v>3.8356164383561937E-2</v>
      </c>
      <c r="R1248" s="5">
        <f t="shared" si="489"/>
        <v>-0.10306981115636538</v>
      </c>
      <c r="S1248" s="5">
        <f t="shared" si="472"/>
        <v>2.7407087723063301</v>
      </c>
      <c r="T1248" s="5">
        <f t="shared" si="473"/>
        <v>-736.15700411385774</v>
      </c>
      <c r="U1248" s="4">
        <f t="shared" si="474"/>
        <v>1647986.2213646735</v>
      </c>
      <c r="V1248" s="4">
        <f t="shared" si="490"/>
        <v>26.593531079008013</v>
      </c>
      <c r="W1248" s="4">
        <f t="shared" si="475"/>
        <v>1645968.6294057039</v>
      </c>
      <c r="X1248" s="4">
        <f t="shared" si="479"/>
        <v>445.92591665452346</v>
      </c>
      <c r="Y1248" s="9">
        <f>SUM($X$6:X1248)</f>
        <v>645968.62940570386</v>
      </c>
      <c r="Z1248" s="16">
        <f t="shared" si="480"/>
        <v>0.64596862940570388</v>
      </c>
      <c r="AA1248" s="16">
        <f t="shared" si="476"/>
        <v>0.75887585548055703</v>
      </c>
      <c r="AB1248" s="16">
        <f t="shared" si="477"/>
        <v>2.7099347563483254E-4</v>
      </c>
      <c r="AC1248" s="16">
        <f t="shared" si="478"/>
        <v>2.1594128538604618E-3</v>
      </c>
    </row>
    <row r="1249" spans="1:29" x14ac:dyDescent="0.15">
      <c r="A1249" s="8">
        <v>42713</v>
      </c>
      <c r="B1249" s="4">
        <v>2259.5300000000002</v>
      </c>
      <c r="C1249" s="1">
        <v>12.189500000000001</v>
      </c>
      <c r="D1249" s="1">
        <v>2.06</v>
      </c>
      <c r="E1249" s="1">
        <v>0.95650000000000002</v>
      </c>
      <c r="F1249" s="4">
        <f t="shared" si="468"/>
        <v>0.121895</v>
      </c>
      <c r="G1249" s="4">
        <f t="shared" si="469"/>
        <v>2.06E-2</v>
      </c>
      <c r="H1249" s="4">
        <f t="shared" si="470"/>
        <v>9.5650000000000006E-3</v>
      </c>
      <c r="I1249" s="3">
        <f t="shared" si="471"/>
        <v>57.802148049899166</v>
      </c>
      <c r="J1249" s="4">
        <f t="shared" si="481"/>
        <v>1647986.2213646735</v>
      </c>
      <c r="K1249" s="1">
        <f t="shared" si="482"/>
        <v>2177.1799999999998</v>
      </c>
      <c r="L1249" s="5">
        <f t="shared" si="483"/>
        <v>3.5616438356164674E-2</v>
      </c>
      <c r="M1249" s="5">
        <f t="shared" si="484"/>
        <v>-5.384549083856361E-2</v>
      </c>
      <c r="N1249" s="5">
        <f t="shared" si="485"/>
        <v>1.1941681433374121</v>
      </c>
      <c r="O1249" s="1">
        <f t="shared" si="486"/>
        <v>0</v>
      </c>
      <c r="P1249" s="1">
        <f t="shared" si="487"/>
        <v>2177.1799999999998</v>
      </c>
      <c r="Q1249" s="5">
        <f t="shared" si="488"/>
        <v>3.5616438356164674E-2</v>
      </c>
      <c r="R1249" s="5">
        <f t="shared" si="489"/>
        <v>-5.384549083856361E-2</v>
      </c>
      <c r="S1249" s="5">
        <f t="shared" si="472"/>
        <v>1.1941681433374121</v>
      </c>
      <c r="T1249" s="5">
        <f t="shared" si="473"/>
        <v>-736.15700411385774</v>
      </c>
      <c r="U1249" s="4">
        <f t="shared" si="474"/>
        <v>1648012.8148957524</v>
      </c>
      <c r="V1249" s="4">
        <f t="shared" si="490"/>
        <v>26.59396021845474</v>
      </c>
      <c r="W1249" s="4">
        <f t="shared" si="475"/>
        <v>1647133.7196529449</v>
      </c>
      <c r="X1249" s="4">
        <f t="shared" si="479"/>
        <v>1165.0902472410817</v>
      </c>
      <c r="Y1249" s="9">
        <f>SUM($X$6:X1249)</f>
        <v>647133.71965294494</v>
      </c>
      <c r="Z1249" s="16">
        <f t="shared" si="480"/>
        <v>0.64713371965294497</v>
      </c>
      <c r="AA1249" s="16">
        <f t="shared" si="476"/>
        <v>0.76932172333328142</v>
      </c>
      <c r="AB1249" s="16">
        <f t="shared" si="477"/>
        <v>7.0784474650756324E-4</v>
      </c>
      <c r="AC1249" s="16">
        <f t="shared" si="478"/>
        <v>5.9389455032744986E-3</v>
      </c>
    </row>
    <row r="1250" spans="1:29" x14ac:dyDescent="0.15">
      <c r="A1250" s="8">
        <v>42716</v>
      </c>
      <c r="B1250" s="4">
        <v>2256.96</v>
      </c>
      <c r="C1250" s="1">
        <v>12.6515</v>
      </c>
      <c r="D1250" s="1">
        <v>2.06</v>
      </c>
      <c r="E1250" s="1">
        <v>0.9587</v>
      </c>
      <c r="F1250" s="4">
        <f t="shared" si="468"/>
        <v>0.12651500000000002</v>
      </c>
      <c r="G1250" s="4">
        <f t="shared" si="469"/>
        <v>2.06E-2</v>
      </c>
      <c r="H1250" s="4">
        <f t="shared" si="470"/>
        <v>9.587E-3</v>
      </c>
      <c r="I1250" s="3">
        <f t="shared" si="471"/>
        <v>59.796099229512528</v>
      </c>
      <c r="J1250" s="4">
        <f t="shared" si="481"/>
        <v>1648012.8148957524</v>
      </c>
      <c r="K1250" s="1">
        <f t="shared" si="482"/>
        <v>2177.1799999999998</v>
      </c>
      <c r="L1250" s="5">
        <f t="shared" si="483"/>
        <v>2.7397260273972893E-2</v>
      </c>
      <c r="M1250" s="5">
        <f t="shared" si="484"/>
        <v>-4.3182458097438398E-2</v>
      </c>
      <c r="N1250" s="5">
        <f t="shared" si="485"/>
        <v>0.83997562391340486</v>
      </c>
      <c r="O1250" s="1">
        <f t="shared" si="486"/>
        <v>1</v>
      </c>
      <c r="P1250" s="1">
        <f t="shared" si="487"/>
        <v>2256.96</v>
      </c>
      <c r="Q1250" s="5">
        <f t="shared" si="488"/>
        <v>0.24931506849315069</v>
      </c>
      <c r="R1250" s="5">
        <f t="shared" si="489"/>
        <v>-0.50215345484795193</v>
      </c>
      <c r="S1250" s="5">
        <f t="shared" si="472"/>
        <v>59.796099229512528</v>
      </c>
      <c r="T1250" s="5">
        <f t="shared" si="473"/>
        <v>-729.91743803918712</v>
      </c>
      <c r="U1250" s="4">
        <f t="shared" si="474"/>
        <v>1691067.2704714849</v>
      </c>
      <c r="V1250" s="4">
        <f t="shared" si="490"/>
        <v>81.86618813487982</v>
      </c>
      <c r="W1250" s="4">
        <f t="shared" si="475"/>
        <v>1647421.054917142</v>
      </c>
      <c r="X1250" s="4">
        <f t="shared" si="479"/>
        <v>287.33526419708505</v>
      </c>
      <c r="Y1250" s="9">
        <f>SUM($X$6:X1250)</f>
        <v>647421.05491714203</v>
      </c>
      <c r="Z1250" s="16">
        <f t="shared" si="480"/>
        <v>0.64742105491714208</v>
      </c>
      <c r="AA1250" s="16">
        <f t="shared" si="476"/>
        <v>0.76730928852207425</v>
      </c>
      <c r="AB1250" s="16">
        <f t="shared" si="477"/>
        <v>1.7444562075848177E-4</v>
      </c>
      <c r="AC1250" s="16">
        <f t="shared" si="478"/>
        <v>-1.137404681504633E-3</v>
      </c>
    </row>
    <row r="1251" spans="1:29" x14ac:dyDescent="0.15">
      <c r="A1251" s="8">
        <v>42717</v>
      </c>
      <c r="B1251" s="4">
        <v>2271.7199999999998</v>
      </c>
      <c r="C1251" s="1">
        <v>12.753500000000001</v>
      </c>
      <c r="D1251" s="1">
        <v>2.0499999999999998</v>
      </c>
      <c r="E1251" s="1">
        <v>0.96340000000000003</v>
      </c>
      <c r="F1251" s="4">
        <f t="shared" si="468"/>
        <v>0.12753500000000001</v>
      </c>
      <c r="G1251" s="4">
        <f t="shared" si="469"/>
        <v>2.0499999999999997E-2</v>
      </c>
      <c r="H1251" s="4">
        <f t="shared" si="470"/>
        <v>9.6340000000000002E-3</v>
      </c>
      <c r="I1251" s="3">
        <f t="shared" si="471"/>
        <v>60.603839247004181</v>
      </c>
      <c r="J1251" s="4">
        <f t="shared" si="481"/>
        <v>1691067.2704714849</v>
      </c>
      <c r="K1251" s="1">
        <f t="shared" si="482"/>
        <v>2256.96</v>
      </c>
      <c r="L1251" s="5">
        <f t="shared" si="483"/>
        <v>0.24657534246575344</v>
      </c>
      <c r="M1251" s="5">
        <f t="shared" si="484"/>
        <v>-0.46089922045833259</v>
      </c>
      <c r="N1251" s="5">
        <f t="shared" si="485"/>
        <v>52.760195143390554</v>
      </c>
      <c r="O1251" s="1">
        <f t="shared" si="486"/>
        <v>0</v>
      </c>
      <c r="P1251" s="1">
        <f t="shared" si="487"/>
        <v>2256.96</v>
      </c>
      <c r="Q1251" s="5">
        <f t="shared" si="488"/>
        <v>0.24657534246575344</v>
      </c>
      <c r="R1251" s="5">
        <f t="shared" si="489"/>
        <v>-0.46089922045833259</v>
      </c>
      <c r="S1251" s="5">
        <f t="shared" si="472"/>
        <v>52.760195143390554</v>
      </c>
      <c r="T1251" s="5">
        <f t="shared" si="473"/>
        <v>-729.91743803918712</v>
      </c>
      <c r="U1251" s="4">
        <f t="shared" si="474"/>
        <v>1691149.1366596196</v>
      </c>
      <c r="V1251" s="4">
        <f t="shared" si="490"/>
        <v>27.290050451849748</v>
      </c>
      <c r="W1251" s="4">
        <f t="shared" si="475"/>
        <v>1652638.5501901084</v>
      </c>
      <c r="X1251" s="4">
        <f t="shared" si="479"/>
        <v>5217.4952729663346</v>
      </c>
      <c r="Y1251" s="9">
        <f>SUM($X$6:X1251)</f>
        <v>652638.55019010836</v>
      </c>
      <c r="Z1251" s="16">
        <f t="shared" si="480"/>
        <v>0.65263855019010841</v>
      </c>
      <c r="AA1251" s="16">
        <f t="shared" si="476"/>
        <v>0.77886708533663251</v>
      </c>
      <c r="AB1251" s="16">
        <f t="shared" si="477"/>
        <v>3.1670684658262737E-3</v>
      </c>
      <c r="AC1251" s="16">
        <f t="shared" si="478"/>
        <v>6.539770310506063E-3</v>
      </c>
    </row>
    <row r="1252" spans="1:29" x14ac:dyDescent="0.15">
      <c r="A1252" s="8">
        <v>42718</v>
      </c>
      <c r="B1252" s="4">
        <v>2253.2800000000002</v>
      </c>
      <c r="C1252" s="1">
        <v>12.724500000000001</v>
      </c>
      <c r="D1252" s="1">
        <v>2.0699999999999998</v>
      </c>
      <c r="E1252" s="1">
        <v>0.97040000000000004</v>
      </c>
      <c r="F1252" s="4">
        <f t="shared" si="468"/>
        <v>0.127245</v>
      </c>
      <c r="G1252" s="4">
        <f t="shared" si="469"/>
        <v>2.07E-2</v>
      </c>
      <c r="H1252" s="4">
        <f t="shared" si="470"/>
        <v>9.7040000000000008E-3</v>
      </c>
      <c r="I1252" s="3">
        <f t="shared" si="471"/>
        <v>60.018014830707124</v>
      </c>
      <c r="J1252" s="4">
        <f t="shared" si="481"/>
        <v>1691149.1366596196</v>
      </c>
      <c r="K1252" s="1">
        <f t="shared" si="482"/>
        <v>2256.96</v>
      </c>
      <c r="L1252" s="5">
        <f t="shared" si="483"/>
        <v>0.24383561643835619</v>
      </c>
      <c r="M1252" s="5">
        <f t="shared" si="484"/>
        <v>-0.51225564848781702</v>
      </c>
      <c r="N1252" s="5">
        <f t="shared" si="485"/>
        <v>61.288208390496386</v>
      </c>
      <c r="O1252" s="1">
        <f t="shared" si="486"/>
        <v>0</v>
      </c>
      <c r="P1252" s="1">
        <f t="shared" si="487"/>
        <v>2256.96</v>
      </c>
      <c r="Q1252" s="5">
        <f t="shared" si="488"/>
        <v>0.24383561643835619</v>
      </c>
      <c r="R1252" s="5">
        <f t="shared" si="489"/>
        <v>-0.51225564848781702</v>
      </c>
      <c r="S1252" s="5">
        <f t="shared" si="472"/>
        <v>61.288208390496386</v>
      </c>
      <c r="T1252" s="5">
        <f t="shared" si="473"/>
        <v>-729.91743803918712</v>
      </c>
      <c r="U1252" s="4">
        <f t="shared" si="474"/>
        <v>1691176.4267100715</v>
      </c>
      <c r="V1252" s="4">
        <f t="shared" si="490"/>
        <v>27.290490831020058</v>
      </c>
      <c r="W1252" s="4">
        <f t="shared" si="475"/>
        <v>1646441.0946596686</v>
      </c>
      <c r="X1252" s="4">
        <f t="shared" si="479"/>
        <v>-6197.4555304397363</v>
      </c>
      <c r="Y1252" s="9">
        <f>SUM($X$6:X1252)</f>
        <v>646441.09465966863</v>
      </c>
      <c r="Z1252" s="16">
        <f t="shared" si="480"/>
        <v>0.64644109465966859</v>
      </c>
      <c r="AA1252" s="16">
        <f t="shared" si="476"/>
        <v>0.7644276698040815</v>
      </c>
      <c r="AB1252" s="16">
        <f t="shared" si="477"/>
        <v>-3.7500368908415108E-3</v>
      </c>
      <c r="AC1252" s="16">
        <f t="shared" si="478"/>
        <v>-8.1171975419504164E-3</v>
      </c>
    </row>
    <row r="1253" spans="1:29" x14ac:dyDescent="0.15">
      <c r="A1253" s="8">
        <v>42719</v>
      </c>
      <c r="B1253" s="4">
        <v>2262.0300000000002</v>
      </c>
      <c r="C1253" s="1">
        <v>12.3832</v>
      </c>
      <c r="D1253" s="1">
        <v>2.06</v>
      </c>
      <c r="E1253" s="1">
        <v>0.99319999999999997</v>
      </c>
      <c r="F1253" s="4">
        <f t="shared" si="468"/>
        <v>0.123832</v>
      </c>
      <c r="G1253" s="4">
        <f t="shared" si="469"/>
        <v>2.06E-2</v>
      </c>
      <c r="H1253" s="4">
        <f t="shared" si="470"/>
        <v>9.9319999999999999E-3</v>
      </c>
      <c r="I1253" s="3">
        <f t="shared" si="471"/>
        <v>58.624958532372098</v>
      </c>
      <c r="J1253" s="4">
        <f t="shared" si="481"/>
        <v>1691176.4267100715</v>
      </c>
      <c r="K1253" s="1">
        <f t="shared" si="482"/>
        <v>2256.96</v>
      </c>
      <c r="L1253" s="5">
        <f t="shared" si="483"/>
        <v>0.24109589041095894</v>
      </c>
      <c r="M1253" s="5">
        <f t="shared" si="484"/>
        <v>-0.48759782807881552</v>
      </c>
      <c r="N1253" s="5">
        <f t="shared" si="485"/>
        <v>54.969021063564277</v>
      </c>
      <c r="O1253" s="1">
        <f t="shared" si="486"/>
        <v>0</v>
      </c>
      <c r="P1253" s="1">
        <f t="shared" si="487"/>
        <v>2256.96</v>
      </c>
      <c r="Q1253" s="5">
        <f t="shared" si="488"/>
        <v>0.24109589041095894</v>
      </c>
      <c r="R1253" s="5">
        <f t="shared" si="489"/>
        <v>-0.48759782807881552</v>
      </c>
      <c r="S1253" s="5">
        <f t="shared" si="472"/>
        <v>54.969021063564277</v>
      </c>
      <c r="T1253" s="5">
        <f t="shared" si="473"/>
        <v>-729.91743803918712</v>
      </c>
      <c r="U1253" s="4">
        <f t="shared" si="474"/>
        <v>1691203.7172009025</v>
      </c>
      <c r="V1253" s="4">
        <f t="shared" si="490"/>
        <v>27.290931217296752</v>
      </c>
      <c r="W1253" s="4">
        <f t="shared" si="475"/>
        <v>1651080.8701746636</v>
      </c>
      <c r="X1253" s="4">
        <f t="shared" si="479"/>
        <v>4639.7755149949808</v>
      </c>
      <c r="Y1253" s="9">
        <f>SUM($X$6:X1253)</f>
        <v>651080.87017466361</v>
      </c>
      <c r="Z1253" s="16">
        <f t="shared" si="480"/>
        <v>0.65108087017466365</v>
      </c>
      <c r="AA1253" s="16">
        <f t="shared" si="476"/>
        <v>0.77127934474496129</v>
      </c>
      <c r="AB1253" s="16">
        <f t="shared" si="477"/>
        <v>2.8180634764549874E-3</v>
      </c>
      <c r="AC1253" s="16">
        <f t="shared" si="478"/>
        <v>3.8832280053965771E-3</v>
      </c>
    </row>
    <row r="1254" spans="1:29" x14ac:dyDescent="0.15">
      <c r="A1254" s="8">
        <v>42720</v>
      </c>
      <c r="B1254" s="4">
        <v>2258.0700000000002</v>
      </c>
      <c r="C1254" s="1">
        <v>12.1731</v>
      </c>
      <c r="D1254" s="1">
        <v>2.06</v>
      </c>
      <c r="E1254" s="1">
        <v>0.99729999999999996</v>
      </c>
      <c r="F1254" s="4">
        <f t="shared" si="468"/>
        <v>0.12173099999999999</v>
      </c>
      <c r="G1254" s="4">
        <f t="shared" si="469"/>
        <v>2.06E-2</v>
      </c>
      <c r="H1254" s="4">
        <f t="shared" si="470"/>
        <v>9.9729999999999992E-3</v>
      </c>
      <c r="I1254" s="3">
        <f t="shared" si="471"/>
        <v>57.570017985581018</v>
      </c>
      <c r="J1254" s="4">
        <f t="shared" si="481"/>
        <v>1691203.7172009025</v>
      </c>
      <c r="K1254" s="1">
        <f t="shared" si="482"/>
        <v>2256.96</v>
      </c>
      <c r="L1254" s="5">
        <f t="shared" si="483"/>
        <v>0.23835616438356169</v>
      </c>
      <c r="M1254" s="5">
        <f t="shared" si="484"/>
        <v>-0.49938980384796039</v>
      </c>
      <c r="N1254" s="5">
        <f t="shared" si="485"/>
        <v>55.649530501631816</v>
      </c>
      <c r="O1254" s="1">
        <f t="shared" si="486"/>
        <v>0</v>
      </c>
      <c r="P1254" s="1">
        <f t="shared" si="487"/>
        <v>2256.96</v>
      </c>
      <c r="Q1254" s="5">
        <f t="shared" si="488"/>
        <v>0.23835616438356169</v>
      </c>
      <c r="R1254" s="5">
        <f t="shared" si="489"/>
        <v>-0.49938980384796039</v>
      </c>
      <c r="S1254" s="5">
        <f t="shared" si="472"/>
        <v>55.649530501631816</v>
      </c>
      <c r="T1254" s="5">
        <f t="shared" si="473"/>
        <v>-729.91743803918712</v>
      </c>
      <c r="U1254" s="4">
        <f t="shared" si="474"/>
        <v>1691231.0081321199</v>
      </c>
      <c r="V1254" s="4">
        <f t="shared" si="490"/>
        <v>27.29137161067996</v>
      </c>
      <c r="W1254" s="4">
        <f t="shared" si="475"/>
        <v>1650611.4454002853</v>
      </c>
      <c r="X1254" s="4">
        <f t="shared" si="479"/>
        <v>-469.4247743783053</v>
      </c>
      <c r="Y1254" s="9">
        <f>SUM($X$6:X1254)</f>
        <v>650611.4454002853</v>
      </c>
      <c r="Z1254" s="16">
        <f t="shared" si="480"/>
        <v>0.65061144540028526</v>
      </c>
      <c r="AA1254" s="16">
        <f t="shared" si="476"/>
        <v>0.76817847242886028</v>
      </c>
      <c r="AB1254" s="16">
        <f t="shared" si="477"/>
        <v>-2.8431361713290642E-4</v>
      </c>
      <c r="AC1254" s="16">
        <f t="shared" si="478"/>
        <v>-1.7506399119375233E-3</v>
      </c>
    </row>
    <row r="1255" spans="1:29" x14ac:dyDescent="0.15">
      <c r="A1255" s="8">
        <v>42723</v>
      </c>
      <c r="B1255" s="4">
        <v>2262.5300000000002</v>
      </c>
      <c r="C1255" s="1">
        <v>12.0936</v>
      </c>
      <c r="D1255" s="1">
        <v>2.06</v>
      </c>
      <c r="E1255" s="1">
        <v>0.99429999999999996</v>
      </c>
      <c r="F1255" s="4">
        <f t="shared" si="468"/>
        <v>0.120936</v>
      </c>
      <c r="G1255" s="4">
        <f t="shared" si="469"/>
        <v>2.06E-2</v>
      </c>
      <c r="H1255" s="4">
        <f t="shared" si="470"/>
        <v>9.9430000000000004E-3</v>
      </c>
      <c r="I1255" s="3">
        <f t="shared" si="471"/>
        <v>57.336234243182581</v>
      </c>
      <c r="J1255" s="4">
        <f t="shared" si="481"/>
        <v>1691231.0081321199</v>
      </c>
      <c r="K1255" s="1">
        <f t="shared" si="482"/>
        <v>2256.96</v>
      </c>
      <c r="L1255" s="5">
        <f t="shared" si="483"/>
        <v>0.23013698630136992</v>
      </c>
      <c r="M1255" s="5">
        <f t="shared" si="484"/>
        <v>-0.48603478142871637</v>
      </c>
      <c r="N1255" s="5">
        <f t="shared" si="485"/>
        <v>52.097298881350177</v>
      </c>
      <c r="O1255" s="1">
        <f t="shared" si="486"/>
        <v>0</v>
      </c>
      <c r="P1255" s="1">
        <f t="shared" si="487"/>
        <v>2256.96</v>
      </c>
      <c r="Q1255" s="5">
        <f t="shared" si="488"/>
        <v>0.23013698630136992</v>
      </c>
      <c r="R1255" s="5">
        <f t="shared" si="489"/>
        <v>-0.48603478142871637</v>
      </c>
      <c r="S1255" s="5">
        <f t="shared" si="472"/>
        <v>52.097298881350177</v>
      </c>
      <c r="T1255" s="5">
        <f t="shared" si="473"/>
        <v>-729.91743803918712</v>
      </c>
      <c r="U1255" s="4">
        <f t="shared" si="474"/>
        <v>1691258.2995037306</v>
      </c>
      <c r="V1255" s="4">
        <f t="shared" si="490"/>
        <v>81.875436033509359</v>
      </c>
      <c r="W1255" s="4">
        <f t="shared" si="475"/>
        <v>1653231.5725754937</v>
      </c>
      <c r="X1255" s="4">
        <f t="shared" si="479"/>
        <v>2620.127175208414</v>
      </c>
      <c r="Y1255" s="9">
        <f>SUM($X$6:X1255)</f>
        <v>653231.57257549372</v>
      </c>
      <c r="Z1255" s="16">
        <f t="shared" si="480"/>
        <v>0.65323157257549369</v>
      </c>
      <c r="AA1255" s="16">
        <f t="shared" si="476"/>
        <v>0.77167086902729731</v>
      </c>
      <c r="AB1255" s="16">
        <f t="shared" si="477"/>
        <v>1.5873676282264079E-3</v>
      </c>
      <c r="AC1255" s="16">
        <f t="shared" si="478"/>
        <v>1.9751380603790121E-3</v>
      </c>
    </row>
    <row r="1256" spans="1:29" x14ac:dyDescent="0.15">
      <c r="A1256" s="8">
        <v>42724</v>
      </c>
      <c r="B1256" s="4">
        <v>2270.7600000000002</v>
      </c>
      <c r="C1256" s="1">
        <v>12.0054</v>
      </c>
      <c r="D1256" s="1">
        <v>2.0499999999999998</v>
      </c>
      <c r="E1256" s="1">
        <v>0.99619999999999997</v>
      </c>
      <c r="F1256" s="4">
        <f t="shared" si="468"/>
        <v>0.12005399999999999</v>
      </c>
      <c r="G1256" s="4">
        <f t="shared" si="469"/>
        <v>2.0499999999999997E-2</v>
      </c>
      <c r="H1256" s="4">
        <f t="shared" si="470"/>
        <v>9.9620000000000004E-3</v>
      </c>
      <c r="I1256" s="3">
        <f t="shared" si="471"/>
        <v>57.113763240317091</v>
      </c>
      <c r="J1256" s="4">
        <f t="shared" si="481"/>
        <v>1691258.2995037306</v>
      </c>
      <c r="K1256" s="1">
        <f t="shared" si="482"/>
        <v>2256.96</v>
      </c>
      <c r="L1256" s="5">
        <f t="shared" si="483"/>
        <v>0.22739726027397267</v>
      </c>
      <c r="M1256" s="5">
        <f t="shared" si="484"/>
        <v>-0.46070165226985782</v>
      </c>
      <c r="N1256" s="5">
        <f t="shared" si="485"/>
        <v>47.453041004872105</v>
      </c>
      <c r="O1256" s="1">
        <f t="shared" si="486"/>
        <v>0</v>
      </c>
      <c r="P1256" s="1">
        <f t="shared" si="487"/>
        <v>2256.96</v>
      </c>
      <c r="Q1256" s="5">
        <f t="shared" si="488"/>
        <v>0.22739726027397267</v>
      </c>
      <c r="R1256" s="5">
        <f t="shared" si="489"/>
        <v>-0.46070165226985782</v>
      </c>
      <c r="S1256" s="5">
        <f t="shared" si="472"/>
        <v>47.453041004872105</v>
      </c>
      <c r="T1256" s="5">
        <f t="shared" si="473"/>
        <v>-729.91743803918712</v>
      </c>
      <c r="U1256" s="4">
        <f t="shared" si="474"/>
        <v>1691340.1749397642</v>
      </c>
      <c r="V1256" s="4">
        <f t="shared" si="490"/>
        <v>27.29313323395948</v>
      </c>
      <c r="W1256" s="4">
        <f t="shared" si="475"/>
        <v>1656703.3728223194</v>
      </c>
      <c r="X1256" s="4">
        <f t="shared" si="479"/>
        <v>3471.8002468256745</v>
      </c>
      <c r="Y1256" s="9">
        <f>SUM($X$6:X1256)</f>
        <v>656703.37282231939</v>
      </c>
      <c r="Z1256" s="16">
        <f t="shared" si="480"/>
        <v>0.65670337282231939</v>
      </c>
      <c r="AA1256" s="16">
        <f t="shared" si="476"/>
        <v>0.77811535871454773</v>
      </c>
      <c r="AB1256" s="16">
        <f t="shared" si="477"/>
        <v>2.1000084346424115E-3</v>
      </c>
      <c r="AC1256" s="16">
        <f t="shared" si="478"/>
        <v>3.6375208284531112E-3</v>
      </c>
    </row>
    <row r="1257" spans="1:29" x14ac:dyDescent="0.15">
      <c r="A1257" s="8">
        <v>42725</v>
      </c>
      <c r="B1257" s="4">
        <v>2265.1799999999998</v>
      </c>
      <c r="C1257" s="1">
        <v>12.091100000000001</v>
      </c>
      <c r="D1257" s="1">
        <v>2.06</v>
      </c>
      <c r="E1257" s="1">
        <v>0.99760000000000004</v>
      </c>
      <c r="F1257" s="4">
        <f t="shared" si="468"/>
        <v>0.120911</v>
      </c>
      <c r="G1257" s="4">
        <f t="shared" si="469"/>
        <v>2.06E-2</v>
      </c>
      <c r="H1257" s="4">
        <f t="shared" si="470"/>
        <v>9.9760000000000005E-3</v>
      </c>
      <c r="I1257" s="3">
        <f t="shared" si="471"/>
        <v>57.382323577531302</v>
      </c>
      <c r="J1257" s="4">
        <f t="shared" si="481"/>
        <v>1691340.1749397642</v>
      </c>
      <c r="K1257" s="1">
        <f t="shared" si="482"/>
        <v>2256.96</v>
      </c>
      <c r="L1257" s="5">
        <f t="shared" si="483"/>
        <v>0.22465753424657542</v>
      </c>
      <c r="M1257" s="5">
        <f t="shared" si="484"/>
        <v>-0.47766883070947458</v>
      </c>
      <c r="N1257" s="5">
        <f t="shared" si="485"/>
        <v>50.116227561106101</v>
      </c>
      <c r="O1257" s="1">
        <f t="shared" si="486"/>
        <v>0</v>
      </c>
      <c r="P1257" s="1">
        <f t="shared" si="487"/>
        <v>2256.96</v>
      </c>
      <c r="Q1257" s="5">
        <f t="shared" si="488"/>
        <v>0.22465753424657542</v>
      </c>
      <c r="R1257" s="5">
        <f t="shared" si="489"/>
        <v>-0.47766883070947458</v>
      </c>
      <c r="S1257" s="5">
        <f t="shared" si="472"/>
        <v>50.116227561106101</v>
      </c>
      <c r="T1257" s="5">
        <f t="shared" si="473"/>
        <v>-729.91743803918712</v>
      </c>
      <c r="U1257" s="4">
        <f t="shared" si="474"/>
        <v>1691367.4680729981</v>
      </c>
      <c r="V1257" s="4">
        <f t="shared" si="490"/>
        <v>27.293573662876597</v>
      </c>
      <c r="W1257" s="4">
        <f t="shared" si="475"/>
        <v>1654786.7596474066</v>
      </c>
      <c r="X1257" s="4">
        <f t="shared" si="479"/>
        <v>-1916.6131749127526</v>
      </c>
      <c r="Y1257" s="9">
        <f>SUM($X$6:X1257)</f>
        <v>654786.75964740664</v>
      </c>
      <c r="Z1257" s="16">
        <f t="shared" si="480"/>
        <v>0.65478675964740662</v>
      </c>
      <c r="AA1257" s="16">
        <f t="shared" si="476"/>
        <v>0.77374594772367777</v>
      </c>
      <c r="AB1257" s="16">
        <f t="shared" si="477"/>
        <v>-1.1568837284659215E-3</v>
      </c>
      <c r="AC1257" s="16">
        <f t="shared" si="478"/>
        <v>-2.4573270623052994E-3</v>
      </c>
    </row>
    <row r="1258" spans="1:29" x14ac:dyDescent="0.15">
      <c r="A1258" s="8">
        <v>42726</v>
      </c>
      <c r="B1258" s="4">
        <v>2260.96</v>
      </c>
      <c r="C1258" s="1">
        <v>12.182700000000001</v>
      </c>
      <c r="D1258" s="1">
        <v>2.06</v>
      </c>
      <c r="E1258" s="1">
        <v>0.99709999999999999</v>
      </c>
      <c r="F1258" s="4">
        <f t="shared" si="468"/>
        <v>0.121827</v>
      </c>
      <c r="G1258" s="4">
        <f t="shared" si="469"/>
        <v>2.06E-2</v>
      </c>
      <c r="H1258" s="4">
        <f t="shared" si="470"/>
        <v>9.9710000000000007E-3</v>
      </c>
      <c r="I1258" s="3">
        <f t="shared" si="471"/>
        <v>57.687305729479512</v>
      </c>
      <c r="J1258" s="4">
        <f t="shared" si="481"/>
        <v>1691367.4680729981</v>
      </c>
      <c r="K1258" s="1">
        <f t="shared" si="482"/>
        <v>2256.96</v>
      </c>
      <c r="L1258" s="5">
        <f t="shared" si="483"/>
        <v>0.22191780821917817</v>
      </c>
      <c r="M1258" s="5">
        <f t="shared" si="484"/>
        <v>-0.49039337732319316</v>
      </c>
      <c r="N1258" s="5">
        <f t="shared" si="485"/>
        <v>52.202363968204452</v>
      </c>
      <c r="O1258" s="1">
        <f t="shared" si="486"/>
        <v>0</v>
      </c>
      <c r="P1258" s="1">
        <f t="shared" si="487"/>
        <v>2256.96</v>
      </c>
      <c r="Q1258" s="5">
        <f t="shared" si="488"/>
        <v>0.22191780821917817</v>
      </c>
      <c r="R1258" s="5">
        <f t="shared" si="489"/>
        <v>-0.49039337732319316</v>
      </c>
      <c r="S1258" s="5">
        <f t="shared" si="472"/>
        <v>52.202363968204452</v>
      </c>
      <c r="T1258" s="5">
        <f t="shared" si="473"/>
        <v>-729.91743803918712</v>
      </c>
      <c r="U1258" s="4">
        <f t="shared" si="474"/>
        <v>1691394.761646661</v>
      </c>
      <c r="V1258" s="4">
        <f t="shared" si="490"/>
        <v>27.294014098900909</v>
      </c>
      <c r="W1258" s="4">
        <f t="shared" si="475"/>
        <v>1653291.3458793999</v>
      </c>
      <c r="X1258" s="4">
        <f t="shared" si="479"/>
        <v>-1495.4137680067215</v>
      </c>
      <c r="Y1258" s="9">
        <f>SUM($X$6:X1258)</f>
        <v>653291.34587939992</v>
      </c>
      <c r="Z1258" s="16">
        <f t="shared" si="480"/>
        <v>0.65329134587939997</v>
      </c>
      <c r="AA1258" s="16">
        <f t="shared" si="476"/>
        <v>0.77044148278076219</v>
      </c>
      <c r="AB1258" s="16">
        <f t="shared" si="477"/>
        <v>-9.0368971064607535E-4</v>
      </c>
      <c r="AC1258" s="16">
        <f t="shared" si="478"/>
        <v>-1.8629866059208541E-3</v>
      </c>
    </row>
    <row r="1259" spans="1:29" x14ac:dyDescent="0.15">
      <c r="A1259" s="8">
        <v>42727</v>
      </c>
      <c r="B1259" s="4">
        <v>2263.79</v>
      </c>
      <c r="C1259" s="1">
        <v>12.1539</v>
      </c>
      <c r="D1259" s="1">
        <v>2.06</v>
      </c>
      <c r="E1259" s="1">
        <v>0.99709999999999999</v>
      </c>
      <c r="F1259" s="4">
        <f t="shared" si="468"/>
        <v>0.12153900000000001</v>
      </c>
      <c r="G1259" s="4">
        <f t="shared" si="469"/>
        <v>2.06E-2</v>
      </c>
      <c r="H1259" s="4">
        <f t="shared" si="470"/>
        <v>9.9710000000000007E-3</v>
      </c>
      <c r="I1259" s="3">
        <f t="shared" si="471"/>
        <v>57.630317198710166</v>
      </c>
      <c r="J1259" s="4">
        <f t="shared" si="481"/>
        <v>1691394.761646661</v>
      </c>
      <c r="K1259" s="1">
        <f t="shared" si="482"/>
        <v>2256.96</v>
      </c>
      <c r="L1259" s="5">
        <f t="shared" si="483"/>
        <v>0.21917808219178092</v>
      </c>
      <c r="M1259" s="5">
        <f t="shared" si="484"/>
        <v>-0.48162335844267601</v>
      </c>
      <c r="N1259" s="5">
        <f t="shared" si="485"/>
        <v>50.356087493998267</v>
      </c>
      <c r="O1259" s="1">
        <f t="shared" si="486"/>
        <v>0</v>
      </c>
      <c r="P1259" s="1">
        <f t="shared" si="487"/>
        <v>2256.96</v>
      </c>
      <c r="Q1259" s="5">
        <f t="shared" si="488"/>
        <v>0.21917808219178092</v>
      </c>
      <c r="R1259" s="5">
        <f t="shared" si="489"/>
        <v>-0.48162335844267601</v>
      </c>
      <c r="S1259" s="5">
        <f t="shared" si="472"/>
        <v>50.356087493998267</v>
      </c>
      <c r="T1259" s="5">
        <f t="shared" si="473"/>
        <v>-729.91743803918712</v>
      </c>
      <c r="U1259" s="4">
        <f t="shared" si="474"/>
        <v>1691422.0556607598</v>
      </c>
      <c r="V1259" s="4">
        <f t="shared" si="490"/>
        <v>27.294454542032533</v>
      </c>
      <c r="W1259" s="4">
        <f t="shared" si="475"/>
        <v>1654666.2692874635</v>
      </c>
      <c r="X1259" s="4">
        <f t="shared" si="479"/>
        <v>1374.9234080635943</v>
      </c>
      <c r="Y1259" s="9">
        <f>SUM($X$6:X1259)</f>
        <v>654666.26928746351</v>
      </c>
      <c r="Z1259" s="16">
        <f t="shared" si="480"/>
        <v>0.65466626928746352</v>
      </c>
      <c r="AA1259" s="16">
        <f t="shared" si="476"/>
        <v>0.77265751021878382</v>
      </c>
      <c r="AB1259" s="16">
        <f t="shared" si="477"/>
        <v>8.3162801976215551E-4</v>
      </c>
      <c r="AC1259" s="16">
        <f t="shared" si="478"/>
        <v>1.251680702002657E-3</v>
      </c>
    </row>
    <row r="1260" spans="1:29" x14ac:dyDescent="0.15">
      <c r="A1260" s="8">
        <v>42731</v>
      </c>
      <c r="B1260" s="4">
        <v>2268.88</v>
      </c>
      <c r="C1260" s="1">
        <v>12.316000000000001</v>
      </c>
      <c r="D1260" s="1">
        <v>2.0499999999999998</v>
      </c>
      <c r="E1260" s="1">
        <v>0.99709999999999999</v>
      </c>
      <c r="F1260" s="4">
        <f t="shared" si="468"/>
        <v>0.12316000000000001</v>
      </c>
      <c r="G1260" s="4">
        <f t="shared" si="469"/>
        <v>2.0499999999999997E-2</v>
      </c>
      <c r="H1260" s="4">
        <f t="shared" si="470"/>
        <v>9.9710000000000007E-3</v>
      </c>
      <c r="I1260" s="3">
        <f t="shared" si="471"/>
        <v>58.460291379286922</v>
      </c>
      <c r="J1260" s="4">
        <f t="shared" si="481"/>
        <v>1691422.0556607598</v>
      </c>
      <c r="K1260" s="1">
        <f t="shared" si="482"/>
        <v>2256.96</v>
      </c>
      <c r="L1260" s="5">
        <f t="shared" si="483"/>
        <v>0.20821917808219187</v>
      </c>
      <c r="M1260" s="5">
        <f t="shared" si="484"/>
        <v>-0.46500848463299249</v>
      </c>
      <c r="N1260" s="5">
        <f t="shared" si="485"/>
        <v>47.174957894310808</v>
      </c>
      <c r="O1260" s="1">
        <f t="shared" si="486"/>
        <v>0</v>
      </c>
      <c r="P1260" s="1">
        <f t="shared" si="487"/>
        <v>2256.96</v>
      </c>
      <c r="Q1260" s="5">
        <f t="shared" si="488"/>
        <v>0.20821917808219187</v>
      </c>
      <c r="R1260" s="5">
        <f t="shared" si="489"/>
        <v>-0.46500848463299249</v>
      </c>
      <c r="S1260" s="5">
        <f t="shared" si="472"/>
        <v>47.174957894310808</v>
      </c>
      <c r="T1260" s="5">
        <f t="shared" si="473"/>
        <v>-729.91743803918712</v>
      </c>
      <c r="U1260" s="4">
        <f t="shared" si="474"/>
        <v>1691449.3501153018</v>
      </c>
      <c r="V1260" s="4">
        <f t="shared" si="490"/>
        <v>109.17957996908633</v>
      </c>
      <c r="W1260" s="4">
        <f t="shared" si="475"/>
        <v>1657015.5257094798</v>
      </c>
      <c r="X1260" s="4">
        <f t="shared" si="479"/>
        <v>2349.256422016304</v>
      </c>
      <c r="Y1260" s="9">
        <f>SUM($X$6:X1260)</f>
        <v>657015.52570947981</v>
      </c>
      <c r="Z1260" s="16">
        <f t="shared" si="480"/>
        <v>0.65701552570947985</v>
      </c>
      <c r="AA1260" s="16">
        <f t="shared" si="476"/>
        <v>0.77664322741296432</v>
      </c>
      <c r="AB1260" s="16">
        <f t="shared" si="477"/>
        <v>1.4197765831220736E-3</v>
      </c>
      <c r="AC1260" s="16">
        <f t="shared" si="478"/>
        <v>2.2484417724259521E-3</v>
      </c>
    </row>
    <row r="1261" spans="1:29" x14ac:dyDescent="0.15">
      <c r="A1261" s="8">
        <v>42732</v>
      </c>
      <c r="B1261" s="4">
        <v>2249.92</v>
      </c>
      <c r="C1261" s="1">
        <v>12.8674</v>
      </c>
      <c r="D1261" s="1">
        <v>2.0699999999999998</v>
      </c>
      <c r="E1261" s="1">
        <v>0.99819999999999998</v>
      </c>
      <c r="F1261" s="4">
        <f t="shared" si="468"/>
        <v>0.12867400000000001</v>
      </c>
      <c r="G1261" s="4">
        <f t="shared" si="469"/>
        <v>2.07E-2</v>
      </c>
      <c r="H1261" s="4">
        <f t="shared" si="470"/>
        <v>9.9819999999999996E-3</v>
      </c>
      <c r="I1261" s="3">
        <f t="shared" si="471"/>
        <v>60.483247676245796</v>
      </c>
      <c r="J1261" s="4">
        <f t="shared" si="481"/>
        <v>1691449.3501153018</v>
      </c>
      <c r="K1261" s="1">
        <f t="shared" si="482"/>
        <v>2256.96</v>
      </c>
      <c r="L1261" s="5">
        <f t="shared" si="483"/>
        <v>0.20547945205479462</v>
      </c>
      <c r="M1261" s="5">
        <f t="shared" si="484"/>
        <v>-0.52255308331901162</v>
      </c>
      <c r="N1261" s="5">
        <f t="shared" si="485"/>
        <v>58.464091204262104</v>
      </c>
      <c r="O1261" s="1">
        <f t="shared" si="486"/>
        <v>0</v>
      </c>
      <c r="P1261" s="1">
        <f t="shared" si="487"/>
        <v>2256.96</v>
      </c>
      <c r="Q1261" s="5">
        <f t="shared" si="488"/>
        <v>0.20547945205479462</v>
      </c>
      <c r="R1261" s="5">
        <f t="shared" si="489"/>
        <v>-0.52255308331901162</v>
      </c>
      <c r="S1261" s="5">
        <f t="shared" si="472"/>
        <v>58.464091204262104</v>
      </c>
      <c r="T1261" s="5">
        <f t="shared" si="473"/>
        <v>-729.91743803918712</v>
      </c>
      <c r="U1261" s="4">
        <f t="shared" si="474"/>
        <v>1691558.5296952708</v>
      </c>
      <c r="V1261" s="4">
        <f t="shared" si="490"/>
        <v>27.296656821657926</v>
      </c>
      <c r="W1261" s="4">
        <f t="shared" si="475"/>
        <v>1648884.5700261665</v>
      </c>
      <c r="X1261" s="4">
        <f t="shared" si="479"/>
        <v>-8130.9556833133101</v>
      </c>
      <c r="Y1261" s="9">
        <f>SUM($X$6:X1261)</f>
        <v>648884.5700261665</v>
      </c>
      <c r="Z1261" s="16">
        <f t="shared" si="480"/>
        <v>0.64888457002616651</v>
      </c>
      <c r="AA1261" s="16">
        <f t="shared" si="476"/>
        <v>0.76179662662678349</v>
      </c>
      <c r="AB1261" s="16">
        <f t="shared" si="477"/>
        <v>-4.9069882310438222E-3</v>
      </c>
      <c r="AC1261" s="16">
        <f t="shared" si="478"/>
        <v>-8.3565459610028016E-3</v>
      </c>
    </row>
    <row r="1262" spans="1:29" x14ac:dyDescent="0.15">
      <c r="A1262" s="8">
        <v>42733</v>
      </c>
      <c r="B1262" s="4">
        <v>2249.2600000000002</v>
      </c>
      <c r="C1262" s="1">
        <v>13.1052</v>
      </c>
      <c r="D1262" s="1">
        <v>2.0699999999999998</v>
      </c>
      <c r="E1262" s="1">
        <v>0.99790000000000001</v>
      </c>
      <c r="F1262" s="4">
        <f t="shared" si="468"/>
        <v>0.131052</v>
      </c>
      <c r="G1262" s="4">
        <f t="shared" si="469"/>
        <v>2.07E-2</v>
      </c>
      <c r="H1262" s="4">
        <f t="shared" si="470"/>
        <v>9.979E-3</v>
      </c>
      <c r="I1262" s="3">
        <f t="shared" si="471"/>
        <v>61.526324857246557</v>
      </c>
      <c r="J1262" s="4">
        <f t="shared" si="481"/>
        <v>1691558.5296952708</v>
      </c>
      <c r="K1262" s="1">
        <f t="shared" si="482"/>
        <v>2256.96</v>
      </c>
      <c r="L1262" s="5">
        <f t="shared" si="483"/>
        <v>0.20273972602739737</v>
      </c>
      <c r="M1262" s="5">
        <f t="shared" si="484"/>
        <v>-0.52380823914483932</v>
      </c>
      <c r="N1262" s="5">
        <f t="shared" si="485"/>
        <v>59.384174693661876</v>
      </c>
      <c r="O1262" s="1">
        <f t="shared" si="486"/>
        <v>0</v>
      </c>
      <c r="P1262" s="1">
        <f t="shared" si="487"/>
        <v>2256.96</v>
      </c>
      <c r="Q1262" s="5">
        <f t="shared" si="488"/>
        <v>0.20273972602739737</v>
      </c>
      <c r="R1262" s="5">
        <f t="shared" si="489"/>
        <v>-0.52380823914483932</v>
      </c>
      <c r="S1262" s="5">
        <f t="shared" si="472"/>
        <v>59.384174693661876</v>
      </c>
      <c r="T1262" s="5">
        <f t="shared" si="473"/>
        <v>-729.91743803918712</v>
      </c>
      <c r="U1262" s="4">
        <f t="shared" si="474"/>
        <v>1691585.8263520924</v>
      </c>
      <c r="V1262" s="4">
        <f t="shared" si="490"/>
        <v>27.297097307435131</v>
      </c>
      <c r="W1262" s="4">
        <f t="shared" si="475"/>
        <v>1648240.2816996232</v>
      </c>
      <c r="X1262" s="4">
        <f t="shared" si="479"/>
        <v>-644.28832654329017</v>
      </c>
      <c r="Y1262" s="9">
        <f>SUM($X$6:X1262)</f>
        <v>648240.28169962321</v>
      </c>
      <c r="Z1262" s="16">
        <f t="shared" si="480"/>
        <v>0.64824028169962322</v>
      </c>
      <c r="AA1262" s="16">
        <f t="shared" si="476"/>
        <v>0.7612798145741001</v>
      </c>
      <c r="AB1262" s="16">
        <f t="shared" si="477"/>
        <v>-3.9074192230027712E-4</v>
      </c>
      <c r="AC1262" s="16">
        <f t="shared" si="478"/>
        <v>-2.9334376333374273E-4</v>
      </c>
    </row>
    <row r="1263" spans="1:29" x14ac:dyDescent="0.15">
      <c r="A1263" s="8">
        <v>42734</v>
      </c>
      <c r="B1263" s="4">
        <v>2238.83</v>
      </c>
      <c r="C1263" s="1">
        <v>13.464700000000001</v>
      </c>
      <c r="D1263" s="1">
        <v>2.08</v>
      </c>
      <c r="E1263" s="1">
        <v>0.99790000000000001</v>
      </c>
      <c r="F1263" s="4">
        <f t="shared" si="468"/>
        <v>0.13464700000000002</v>
      </c>
      <c r="G1263" s="4">
        <f t="shared" si="469"/>
        <v>2.0799999999999999E-2</v>
      </c>
      <c r="H1263" s="4">
        <f t="shared" si="470"/>
        <v>9.979E-3</v>
      </c>
      <c r="I1263" s="3">
        <f t="shared" si="471"/>
        <v>62.8638949565376</v>
      </c>
      <c r="J1263" s="4">
        <f t="shared" si="481"/>
        <v>1691585.8263520924</v>
      </c>
      <c r="K1263" s="1">
        <f t="shared" si="482"/>
        <v>2256.96</v>
      </c>
      <c r="L1263" s="5">
        <f t="shared" si="483"/>
        <v>0.20000000000000012</v>
      </c>
      <c r="M1263" s="5">
        <f t="shared" si="484"/>
        <v>-0.55327403703093725</v>
      </c>
      <c r="N1263" s="5">
        <f t="shared" si="485"/>
        <v>66.063403621293347</v>
      </c>
      <c r="O1263" s="1">
        <f t="shared" si="486"/>
        <v>0</v>
      </c>
      <c r="P1263" s="1">
        <f t="shared" si="487"/>
        <v>2256.96</v>
      </c>
      <c r="Q1263" s="5">
        <f t="shared" si="488"/>
        <v>0.20000000000000012</v>
      </c>
      <c r="R1263" s="5">
        <f t="shared" si="489"/>
        <v>-0.55327403703093725</v>
      </c>
      <c r="S1263" s="5">
        <f t="shared" si="472"/>
        <v>66.063403621293347</v>
      </c>
      <c r="T1263" s="5">
        <f t="shared" si="473"/>
        <v>-729.91743803918712</v>
      </c>
      <c r="U1263" s="4">
        <f t="shared" si="474"/>
        <v>1691613.1234493998</v>
      </c>
      <c r="V1263" s="4">
        <f t="shared" si="490"/>
        <v>27.297537800320448</v>
      </c>
      <c r="W1263" s="4">
        <f t="shared" si="475"/>
        <v>1643392.2931299966</v>
      </c>
      <c r="X1263" s="4">
        <f t="shared" si="479"/>
        <v>-4847.9885696265846</v>
      </c>
      <c r="Y1263" s="9">
        <f>SUM($X$6:X1263)</f>
        <v>643392.29312999663</v>
      </c>
      <c r="Z1263" s="16">
        <f t="shared" si="480"/>
        <v>0.64339229312999668</v>
      </c>
      <c r="AA1263" s="16">
        <f t="shared" si="476"/>
        <v>0.75311261804457119</v>
      </c>
      <c r="AB1263" s="16">
        <f t="shared" si="477"/>
        <v>-2.9413117877615893E-3</v>
      </c>
      <c r="AC1263" s="16">
        <f t="shared" si="478"/>
        <v>-4.6370806398550145E-3</v>
      </c>
    </row>
    <row r="1264" spans="1:29" x14ac:dyDescent="0.15">
      <c r="A1264" s="8">
        <v>42738</v>
      </c>
      <c r="B1264" s="4">
        <v>2257.83</v>
      </c>
      <c r="C1264" s="1">
        <v>12.631399999999999</v>
      </c>
      <c r="D1264" s="1">
        <v>2.14</v>
      </c>
      <c r="E1264" s="1">
        <v>0.99870000000000003</v>
      </c>
      <c r="F1264" s="4">
        <f t="shared" si="468"/>
        <v>0.12631399999999998</v>
      </c>
      <c r="G1264" s="4">
        <f t="shared" si="469"/>
        <v>2.1400000000000002E-2</v>
      </c>
      <c r="H1264" s="4">
        <f t="shared" si="470"/>
        <v>9.9870000000000011E-3</v>
      </c>
      <c r="I1264" s="3">
        <f t="shared" si="471"/>
        <v>59.836393145086667</v>
      </c>
      <c r="J1264" s="4">
        <f t="shared" si="481"/>
        <v>1691613.1234493998</v>
      </c>
      <c r="K1264" s="1">
        <f t="shared" si="482"/>
        <v>2256.96</v>
      </c>
      <c r="L1264" s="5">
        <f t="shared" si="483"/>
        <v>0.18904109589041107</v>
      </c>
      <c r="M1264" s="5">
        <f t="shared" si="484"/>
        <v>-0.49989152471941944</v>
      </c>
      <c r="N1264" s="5">
        <f t="shared" si="485"/>
        <v>51.326452812406046</v>
      </c>
      <c r="O1264" s="1">
        <f t="shared" si="486"/>
        <v>0</v>
      </c>
      <c r="P1264" s="1">
        <f t="shared" si="487"/>
        <v>2256.96</v>
      </c>
      <c r="Q1264" s="5">
        <f t="shared" si="488"/>
        <v>0.18904109589041107</v>
      </c>
      <c r="R1264" s="5">
        <f t="shared" si="489"/>
        <v>-0.49989152471941944</v>
      </c>
      <c r="S1264" s="5">
        <f t="shared" si="472"/>
        <v>51.326452812406046</v>
      </c>
      <c r="T1264" s="5">
        <f t="shared" si="473"/>
        <v>-729.91743803918712</v>
      </c>
      <c r="U1264" s="4">
        <f t="shared" si="474"/>
        <v>1691640.4209872002</v>
      </c>
      <c r="V1264" s="4">
        <f t="shared" si="490"/>
        <v>109.19191320125597</v>
      </c>
      <c r="W1264" s="4">
        <f t="shared" si="475"/>
        <v>1654176.3480467296</v>
      </c>
      <c r="X1264" s="4">
        <f t="shared" si="479"/>
        <v>10784.054916732945</v>
      </c>
      <c r="Y1264" s="9">
        <f>SUM($X$6:X1264)</f>
        <v>654176.34804672957</v>
      </c>
      <c r="Z1264" s="16">
        <f t="shared" si="480"/>
        <v>0.65417634804672953</v>
      </c>
      <c r="AA1264" s="16">
        <f t="shared" si="476"/>
        <v>0.76799054077333873</v>
      </c>
      <c r="AB1264" s="16">
        <f t="shared" si="477"/>
        <v>6.5620697880928282E-3</v>
      </c>
      <c r="AC1264" s="16">
        <f t="shared" si="478"/>
        <v>8.4865755774221358E-3</v>
      </c>
    </row>
    <row r="1265" spans="1:29" x14ac:dyDescent="0.15">
      <c r="A1265" s="8">
        <v>42739</v>
      </c>
      <c r="B1265" s="4">
        <v>2270.75</v>
      </c>
      <c r="C1265" s="1">
        <v>11.972099999999999</v>
      </c>
      <c r="D1265" s="1">
        <v>2.13</v>
      </c>
      <c r="E1265" s="1">
        <v>1.0051000000000001</v>
      </c>
      <c r="F1265" s="4">
        <f t="shared" si="468"/>
        <v>0.11972099999999999</v>
      </c>
      <c r="G1265" s="4">
        <f t="shared" si="469"/>
        <v>2.1299999999999999E-2</v>
      </c>
      <c r="H1265" s="4">
        <f t="shared" si="470"/>
        <v>1.0051000000000001E-2</v>
      </c>
      <c r="I1265" s="3">
        <f t="shared" si="471"/>
        <v>57.165099699174434</v>
      </c>
      <c r="J1265" s="4">
        <f t="shared" si="481"/>
        <v>1691640.4209872002</v>
      </c>
      <c r="K1265" s="1">
        <f t="shared" si="482"/>
        <v>2256.96</v>
      </c>
      <c r="L1265" s="5">
        <f t="shared" si="483"/>
        <v>0.18630136986301382</v>
      </c>
      <c r="M1265" s="5">
        <f t="shared" si="484"/>
        <v>-0.45710000107980131</v>
      </c>
      <c r="N1265" s="5">
        <f t="shared" si="485"/>
        <v>42.157890223396002</v>
      </c>
      <c r="O1265" s="1">
        <f t="shared" si="486"/>
        <v>0</v>
      </c>
      <c r="P1265" s="1">
        <f t="shared" si="487"/>
        <v>2256.96</v>
      </c>
      <c r="Q1265" s="5">
        <f t="shared" si="488"/>
        <v>0.18630136986301382</v>
      </c>
      <c r="R1265" s="5">
        <f t="shared" si="489"/>
        <v>-0.45710000107980131</v>
      </c>
      <c r="S1265" s="5">
        <f t="shared" si="472"/>
        <v>42.157890223396002</v>
      </c>
      <c r="T1265" s="5">
        <f t="shared" si="473"/>
        <v>-729.91743803918712</v>
      </c>
      <c r="U1265" s="4">
        <f t="shared" si="474"/>
        <v>1691749.6129004015</v>
      </c>
      <c r="V1265" s="4">
        <f t="shared" si="490"/>
        <v>27.299740328721544</v>
      </c>
      <c r="W1265" s="4">
        <f t="shared" si="475"/>
        <v>1660977.8336754029</v>
      </c>
      <c r="X1265" s="4">
        <f t="shared" si="479"/>
        <v>6801.4856286733411</v>
      </c>
      <c r="Y1265" s="9">
        <f>SUM($X$6:X1265)</f>
        <v>660977.83367540292</v>
      </c>
      <c r="Z1265" s="16">
        <f t="shared" si="480"/>
        <v>0.66097783367540297</v>
      </c>
      <c r="AA1265" s="16">
        <f t="shared" si="476"/>
        <v>0.77810752822890084</v>
      </c>
      <c r="AB1265" s="16">
        <f t="shared" si="477"/>
        <v>4.1117052826348376E-3</v>
      </c>
      <c r="AC1265" s="16">
        <f t="shared" si="478"/>
        <v>5.7223085883348493E-3</v>
      </c>
    </row>
    <row r="1266" spans="1:29" x14ac:dyDescent="0.15">
      <c r="A1266" s="8">
        <v>42740</v>
      </c>
      <c r="B1266" s="4">
        <v>2269</v>
      </c>
      <c r="C1266" s="1">
        <v>11.821</v>
      </c>
      <c r="D1266" s="1">
        <v>2.13</v>
      </c>
      <c r="E1266" s="1">
        <v>1.0093000000000001</v>
      </c>
      <c r="F1266" s="4">
        <f t="shared" si="468"/>
        <v>0.11821</v>
      </c>
      <c r="G1266" s="4">
        <f t="shared" si="469"/>
        <v>2.1299999999999999E-2</v>
      </c>
      <c r="H1266" s="4">
        <f t="shared" si="470"/>
        <v>1.0093000000000001E-2</v>
      </c>
      <c r="I1266" s="3">
        <f t="shared" si="471"/>
        <v>56.42924782741521</v>
      </c>
      <c r="J1266" s="4">
        <f t="shared" si="481"/>
        <v>1691749.6129004015</v>
      </c>
      <c r="K1266" s="1">
        <f t="shared" si="482"/>
        <v>2256.96</v>
      </c>
      <c r="L1266" s="5">
        <f t="shared" si="483"/>
        <v>0.18356164383561657</v>
      </c>
      <c r="M1266" s="5">
        <f t="shared" si="484"/>
        <v>-0.46242912807364117</v>
      </c>
      <c r="N1266" s="5">
        <f t="shared" si="485"/>
        <v>41.999476189756848</v>
      </c>
      <c r="O1266" s="1">
        <f t="shared" si="486"/>
        <v>0</v>
      </c>
      <c r="P1266" s="1">
        <f t="shared" si="487"/>
        <v>2256.96</v>
      </c>
      <c r="Q1266" s="5">
        <f t="shared" si="488"/>
        <v>0.18356164383561657</v>
      </c>
      <c r="R1266" s="5">
        <f t="shared" si="489"/>
        <v>-0.46242912807364117</v>
      </c>
      <c r="S1266" s="5">
        <f t="shared" si="472"/>
        <v>41.999476189756848</v>
      </c>
      <c r="T1266" s="5">
        <f t="shared" si="473"/>
        <v>-729.91743803918712</v>
      </c>
      <c r="U1266" s="4">
        <f t="shared" si="474"/>
        <v>1691776.9126407302</v>
      </c>
      <c r="V1266" s="4">
        <f t="shared" si="490"/>
        <v>27.300180864257261</v>
      </c>
      <c r="W1266" s="4">
        <f t="shared" si="475"/>
        <v>1661120.7625813149</v>
      </c>
      <c r="X1266" s="4">
        <f t="shared" si="479"/>
        <v>142.92890591197647</v>
      </c>
      <c r="Y1266" s="9">
        <f>SUM($X$6:X1266)</f>
        <v>661120.76258131489</v>
      </c>
      <c r="Z1266" s="16">
        <f t="shared" si="480"/>
        <v>0.66112076258131491</v>
      </c>
      <c r="AA1266" s="16">
        <f t="shared" si="476"/>
        <v>0.77673719324072488</v>
      </c>
      <c r="AB1266" s="16">
        <f t="shared" si="477"/>
        <v>8.6051061618145827E-5</v>
      </c>
      <c r="AC1266" s="16">
        <f t="shared" si="478"/>
        <v>-7.7067048332048887E-4</v>
      </c>
    </row>
    <row r="1267" spans="1:29" x14ac:dyDescent="0.15">
      <c r="A1267" s="8">
        <v>42741</v>
      </c>
      <c r="B1267" s="4">
        <v>2276.98</v>
      </c>
      <c r="C1267" s="1">
        <v>11.6785</v>
      </c>
      <c r="D1267" s="1">
        <v>2.13</v>
      </c>
      <c r="E1267" s="1">
        <v>1.0101</v>
      </c>
      <c r="F1267" s="4">
        <f t="shared" si="468"/>
        <v>0.116785</v>
      </c>
      <c r="G1267" s="4">
        <f t="shared" si="469"/>
        <v>2.1299999999999999E-2</v>
      </c>
      <c r="H1267" s="4">
        <f t="shared" si="470"/>
        <v>1.0101000000000001E-2</v>
      </c>
      <c r="I1267" s="3">
        <f t="shared" si="471"/>
        <v>55.982498210102442</v>
      </c>
      <c r="J1267" s="4">
        <f t="shared" si="481"/>
        <v>1691776.9126407302</v>
      </c>
      <c r="K1267" s="1">
        <f t="shared" si="482"/>
        <v>2256.96</v>
      </c>
      <c r="L1267" s="5">
        <f t="shared" si="483"/>
        <v>0.18082191780821932</v>
      </c>
      <c r="M1267" s="5">
        <f t="shared" si="484"/>
        <v>-0.43402352183318188</v>
      </c>
      <c r="N1267" s="5">
        <f t="shared" si="485"/>
        <v>37.507551453493519</v>
      </c>
      <c r="O1267" s="1">
        <f t="shared" si="486"/>
        <v>0</v>
      </c>
      <c r="P1267" s="1">
        <f t="shared" si="487"/>
        <v>2256.96</v>
      </c>
      <c r="Q1267" s="5">
        <f t="shared" si="488"/>
        <v>0.18082191780821932</v>
      </c>
      <c r="R1267" s="5">
        <f t="shared" si="489"/>
        <v>-0.43402352183318188</v>
      </c>
      <c r="S1267" s="5">
        <f t="shared" si="472"/>
        <v>37.507551453493519</v>
      </c>
      <c r="T1267" s="5">
        <f t="shared" si="473"/>
        <v>-729.91743803918712</v>
      </c>
      <c r="U1267" s="4">
        <f t="shared" si="474"/>
        <v>1691804.2128215944</v>
      </c>
      <c r="V1267" s="4">
        <f t="shared" si="490"/>
        <v>27.30062140690189</v>
      </c>
      <c r="W1267" s="4">
        <f t="shared" si="475"/>
        <v>1664426.7969575375</v>
      </c>
      <c r="X1267" s="4">
        <f t="shared" si="479"/>
        <v>3306.0343762226403</v>
      </c>
      <c r="Y1267" s="9">
        <f>SUM($X$6:X1267)</f>
        <v>664426.79695753753</v>
      </c>
      <c r="Z1267" s="16">
        <f t="shared" si="480"/>
        <v>0.66442679695753748</v>
      </c>
      <c r="AA1267" s="16">
        <f t="shared" si="476"/>
        <v>0.78298592078680729</v>
      </c>
      <c r="AB1267" s="16">
        <f t="shared" si="477"/>
        <v>1.9902432446182875E-3</v>
      </c>
      <c r="AC1267" s="16">
        <f t="shared" si="478"/>
        <v>3.516967827236676E-3</v>
      </c>
    </row>
    <row r="1268" spans="1:29" x14ac:dyDescent="0.15">
      <c r="A1268" s="8">
        <v>42744</v>
      </c>
      <c r="B1268" s="4">
        <v>2268.9</v>
      </c>
      <c r="C1268" s="1">
        <v>11.894500000000001</v>
      </c>
      <c r="D1268" s="1">
        <v>2.13</v>
      </c>
      <c r="E1268" s="1">
        <v>1.0147999999999999</v>
      </c>
      <c r="F1268" s="4">
        <f t="shared" si="468"/>
        <v>0.11894500000000001</v>
      </c>
      <c r="G1268" s="4">
        <f t="shared" si="469"/>
        <v>2.1299999999999999E-2</v>
      </c>
      <c r="H1268" s="4">
        <f t="shared" si="470"/>
        <v>1.0147999999999999E-2</v>
      </c>
      <c r="I1268" s="3">
        <f t="shared" si="471"/>
        <v>56.740676234578181</v>
      </c>
      <c r="J1268" s="4">
        <f t="shared" si="481"/>
        <v>1691804.2128215944</v>
      </c>
      <c r="K1268" s="1">
        <f t="shared" si="482"/>
        <v>2256.96</v>
      </c>
      <c r="L1268" s="5">
        <f t="shared" si="483"/>
        <v>0.17260273972602755</v>
      </c>
      <c r="M1268" s="5">
        <f t="shared" si="484"/>
        <v>-0.46143900210968086</v>
      </c>
      <c r="N1268" s="5">
        <f t="shared" si="485"/>
        <v>40.806866615674835</v>
      </c>
      <c r="O1268" s="1">
        <f t="shared" si="486"/>
        <v>0</v>
      </c>
      <c r="P1268" s="1">
        <f t="shared" si="487"/>
        <v>2256.96</v>
      </c>
      <c r="Q1268" s="5">
        <f t="shared" si="488"/>
        <v>0.17260273972602755</v>
      </c>
      <c r="R1268" s="5">
        <f t="shared" si="489"/>
        <v>-0.46143900210968086</v>
      </c>
      <c r="S1268" s="5">
        <f t="shared" si="472"/>
        <v>40.806866615674835</v>
      </c>
      <c r="T1268" s="5">
        <f t="shared" si="473"/>
        <v>-729.91743803918712</v>
      </c>
      <c r="U1268" s="4">
        <f t="shared" si="474"/>
        <v>1691831.5134430013</v>
      </c>
      <c r="V1268" s="4">
        <f t="shared" si="490"/>
        <v>81.903185869966663</v>
      </c>
      <c r="W1268" s="4">
        <f t="shared" si="475"/>
        <v>1662045.8699084811</v>
      </c>
      <c r="X1268" s="4">
        <f t="shared" si="479"/>
        <v>-2380.927049056394</v>
      </c>
      <c r="Y1268" s="9">
        <f>SUM($X$6:X1268)</f>
        <v>662045.86990848114</v>
      </c>
      <c r="Z1268" s="16">
        <f t="shared" si="480"/>
        <v>0.66204586990848113</v>
      </c>
      <c r="AA1268" s="16">
        <f t="shared" si="476"/>
        <v>0.77665888838425778</v>
      </c>
      <c r="AB1268" s="16">
        <f t="shared" si="477"/>
        <v>-1.4304786809540507E-3</v>
      </c>
      <c r="AC1268" s="16">
        <f t="shared" si="478"/>
        <v>-3.5485599346502506E-3</v>
      </c>
    </row>
    <row r="1269" spans="1:29" x14ac:dyDescent="0.15">
      <c r="A1269" s="8">
        <v>42745</v>
      </c>
      <c r="B1269" s="4">
        <v>2268.9</v>
      </c>
      <c r="C1269" s="1">
        <v>11.9171</v>
      </c>
      <c r="D1269" s="1">
        <v>2.13</v>
      </c>
      <c r="E1269" s="1">
        <v>1.0179</v>
      </c>
      <c r="F1269" s="4">
        <f t="shared" si="468"/>
        <v>0.119171</v>
      </c>
      <c r="G1269" s="4">
        <f t="shared" si="469"/>
        <v>2.1299999999999999E-2</v>
      </c>
      <c r="H1269" s="4">
        <f t="shared" si="470"/>
        <v>1.0179000000000001E-2</v>
      </c>
      <c r="I1269" s="3">
        <f t="shared" si="471"/>
        <v>56.832984970990218</v>
      </c>
      <c r="J1269" s="4">
        <f t="shared" si="481"/>
        <v>1691831.5134430013</v>
      </c>
      <c r="K1269" s="1">
        <f t="shared" si="482"/>
        <v>2256.96</v>
      </c>
      <c r="L1269" s="5">
        <f t="shared" si="483"/>
        <v>0.1698630136986303</v>
      </c>
      <c r="M1269" s="5">
        <f t="shared" si="484"/>
        <v>-0.46107248772356946</v>
      </c>
      <c r="N1269" s="5">
        <f t="shared" si="485"/>
        <v>40.500351286443916</v>
      </c>
      <c r="O1269" s="1">
        <f t="shared" si="486"/>
        <v>0</v>
      </c>
      <c r="P1269" s="1">
        <f t="shared" si="487"/>
        <v>2256.96</v>
      </c>
      <c r="Q1269" s="5">
        <f t="shared" si="488"/>
        <v>0.1698630136986303</v>
      </c>
      <c r="R1269" s="5">
        <f t="shared" si="489"/>
        <v>-0.46107248772356946</v>
      </c>
      <c r="S1269" s="5">
        <f t="shared" si="472"/>
        <v>40.500351286443916</v>
      </c>
      <c r="T1269" s="5">
        <f t="shared" si="473"/>
        <v>-729.91743803918712</v>
      </c>
      <c r="U1269" s="4">
        <f t="shared" si="474"/>
        <v>1691913.4166288713</v>
      </c>
      <c r="V1269" s="4">
        <f t="shared" si="490"/>
        <v>27.302383627243977</v>
      </c>
      <c r="W1269" s="4">
        <f t="shared" si="475"/>
        <v>1662351.503978183</v>
      </c>
      <c r="X1269" s="4">
        <f t="shared" si="479"/>
        <v>305.63406970188953</v>
      </c>
      <c r="Y1269" s="9">
        <f>SUM($X$6:X1269)</f>
        <v>662351.50397818303</v>
      </c>
      <c r="Z1269" s="16">
        <f t="shared" si="480"/>
        <v>0.66235150397818299</v>
      </c>
      <c r="AA1269" s="16">
        <f t="shared" si="476"/>
        <v>0.77665888838425778</v>
      </c>
      <c r="AB1269" s="16">
        <f t="shared" si="477"/>
        <v>1.8389027356911574E-4</v>
      </c>
      <c r="AC1269" s="16">
        <f t="shared" si="478"/>
        <v>0</v>
      </c>
    </row>
    <row r="1270" spans="1:29" x14ac:dyDescent="0.15">
      <c r="A1270" s="8">
        <v>42746</v>
      </c>
      <c r="B1270" s="4">
        <v>2275.3200000000002</v>
      </c>
      <c r="C1270" s="1">
        <v>11.758100000000001</v>
      </c>
      <c r="D1270" s="1">
        <v>2.13</v>
      </c>
      <c r="E1270" s="1">
        <v>1.0218</v>
      </c>
      <c r="F1270" s="4">
        <f t="shared" si="468"/>
        <v>0.117581</v>
      </c>
      <c r="G1270" s="4">
        <f t="shared" si="469"/>
        <v>2.1299999999999999E-2</v>
      </c>
      <c r="H1270" s="4">
        <f t="shared" si="470"/>
        <v>1.0218E-2</v>
      </c>
      <c r="I1270" s="3">
        <f t="shared" si="471"/>
        <v>56.265366627789518</v>
      </c>
      <c r="J1270" s="4">
        <f t="shared" si="481"/>
        <v>1691913.4166288713</v>
      </c>
      <c r="K1270" s="1">
        <f t="shared" si="482"/>
        <v>2256.96</v>
      </c>
      <c r="L1270" s="5">
        <f t="shared" si="483"/>
        <v>0.16712328767123305</v>
      </c>
      <c r="M1270" s="5">
        <f t="shared" si="484"/>
        <v>-0.43722383364063511</v>
      </c>
      <c r="N1270" s="5">
        <f t="shared" si="485"/>
        <v>36.640526121999514</v>
      </c>
      <c r="O1270" s="1">
        <f t="shared" si="486"/>
        <v>0</v>
      </c>
      <c r="P1270" s="1">
        <f t="shared" si="487"/>
        <v>2256.96</v>
      </c>
      <c r="Q1270" s="5">
        <f t="shared" si="488"/>
        <v>0.16712328767123305</v>
      </c>
      <c r="R1270" s="5">
        <f t="shared" si="489"/>
        <v>-0.43722383364063511</v>
      </c>
      <c r="S1270" s="5">
        <f t="shared" si="472"/>
        <v>36.640526121999514</v>
      </c>
      <c r="T1270" s="5">
        <f t="shared" si="473"/>
        <v>-729.91743803918712</v>
      </c>
      <c r="U1270" s="4">
        <f t="shared" si="474"/>
        <v>1691940.7190124986</v>
      </c>
      <c r="V1270" s="4">
        <f t="shared" si="490"/>
        <v>27.302824205434565</v>
      </c>
      <c r="W1270" s="4">
        <f t="shared" si="475"/>
        <v>1665196.1600571207</v>
      </c>
      <c r="X1270" s="4">
        <f t="shared" si="479"/>
        <v>2844.6560789376963</v>
      </c>
      <c r="Y1270" s="9">
        <f>SUM($X$6:X1270)</f>
        <v>665196.16005712072</v>
      </c>
      <c r="Z1270" s="16">
        <f t="shared" si="480"/>
        <v>0.66519616005712068</v>
      </c>
      <c r="AA1270" s="16">
        <f t="shared" si="476"/>
        <v>0.78168606016945197</v>
      </c>
      <c r="AB1270" s="16">
        <f t="shared" si="477"/>
        <v>1.7112241737864305E-3</v>
      </c>
      <c r="AC1270" s="16">
        <f t="shared" si="478"/>
        <v>2.8295649874388791E-3</v>
      </c>
    </row>
    <row r="1271" spans="1:29" x14ac:dyDescent="0.15">
      <c r="A1271" s="8">
        <v>42747</v>
      </c>
      <c r="B1271" s="4">
        <v>2270.44</v>
      </c>
      <c r="C1271" s="1">
        <v>11.789300000000001</v>
      </c>
      <c r="D1271" s="1">
        <v>2.13</v>
      </c>
      <c r="E1271" s="1">
        <v>1.0218</v>
      </c>
      <c r="F1271" s="4">
        <f t="shared" si="468"/>
        <v>0.11789300000000001</v>
      </c>
      <c r="G1271" s="4">
        <f t="shared" si="469"/>
        <v>2.1299999999999999E-2</v>
      </c>
      <c r="H1271" s="4">
        <f t="shared" si="470"/>
        <v>1.0218E-2</v>
      </c>
      <c r="I1271" s="3">
        <f t="shared" si="471"/>
        <v>56.285029328781171</v>
      </c>
      <c r="J1271" s="4">
        <f t="shared" si="481"/>
        <v>1691940.7190124986</v>
      </c>
      <c r="K1271" s="1">
        <f t="shared" si="482"/>
        <v>2256.96</v>
      </c>
      <c r="L1271" s="5">
        <f t="shared" si="483"/>
        <v>0.1643835616438358</v>
      </c>
      <c r="M1271" s="5">
        <f t="shared" si="484"/>
        <v>-0.454464108551072</v>
      </c>
      <c r="N1271" s="5">
        <f t="shared" si="485"/>
        <v>38.545360992152837</v>
      </c>
      <c r="O1271" s="1">
        <f t="shared" si="486"/>
        <v>0</v>
      </c>
      <c r="P1271" s="1">
        <f t="shared" si="487"/>
        <v>2256.96</v>
      </c>
      <c r="Q1271" s="5">
        <f t="shared" si="488"/>
        <v>0.1643835616438358</v>
      </c>
      <c r="R1271" s="5">
        <f t="shared" si="489"/>
        <v>-0.454464108551072</v>
      </c>
      <c r="S1271" s="5">
        <f t="shared" si="472"/>
        <v>38.545360992152837</v>
      </c>
      <c r="T1271" s="5">
        <f t="shared" si="473"/>
        <v>-729.91743803918712</v>
      </c>
      <c r="U1271" s="4">
        <f t="shared" si="474"/>
        <v>1691968.0218367041</v>
      </c>
      <c r="V1271" s="4">
        <f t="shared" si="490"/>
        <v>27.303264790734755</v>
      </c>
      <c r="W1271" s="4">
        <f t="shared" si="475"/>
        <v>1663833.0906930163</v>
      </c>
      <c r="X1271" s="4">
        <f t="shared" si="479"/>
        <v>-1363.0693641044199</v>
      </c>
      <c r="Y1271" s="9">
        <f>SUM($X$6:X1271)</f>
        <v>663833.0906930163</v>
      </c>
      <c r="Z1271" s="16">
        <f t="shared" si="480"/>
        <v>0.66383309069301633</v>
      </c>
      <c r="AA1271" s="16">
        <f t="shared" si="476"/>
        <v>0.77786478317385255</v>
      </c>
      <c r="AB1271" s="16">
        <f t="shared" si="477"/>
        <v>-8.1856384058540165E-4</v>
      </c>
      <c r="AC1271" s="16">
        <f t="shared" si="478"/>
        <v>-2.1447532654747942E-3</v>
      </c>
    </row>
    <row r="1272" spans="1:29" x14ac:dyDescent="0.15">
      <c r="A1272" s="8">
        <v>42748</v>
      </c>
      <c r="B1272" s="4">
        <v>2274.64</v>
      </c>
      <c r="C1272" s="1">
        <v>11.5402</v>
      </c>
      <c r="D1272" s="1">
        <v>2.13</v>
      </c>
      <c r="E1272" s="1">
        <v>1.0232000000000001</v>
      </c>
      <c r="F1272" s="4">
        <f t="shared" si="468"/>
        <v>0.115402</v>
      </c>
      <c r="G1272" s="4">
        <f t="shared" si="469"/>
        <v>2.1299999999999999E-2</v>
      </c>
      <c r="H1272" s="4">
        <f t="shared" si="470"/>
        <v>1.0232000000000002E-2</v>
      </c>
      <c r="I1272" s="3">
        <f t="shared" si="471"/>
        <v>55.262433640615683</v>
      </c>
      <c r="J1272" s="4">
        <f t="shared" si="481"/>
        <v>1691968.0218367041</v>
      </c>
      <c r="K1272" s="1">
        <f t="shared" si="482"/>
        <v>2256.96</v>
      </c>
      <c r="L1272" s="5">
        <f t="shared" si="483"/>
        <v>0.16164383561643855</v>
      </c>
      <c r="M1272" s="5">
        <f t="shared" si="484"/>
        <v>-0.43776143373573084</v>
      </c>
      <c r="N1272" s="5">
        <f t="shared" si="485"/>
        <v>35.384005783311828</v>
      </c>
      <c r="O1272" s="1">
        <f t="shared" si="486"/>
        <v>0</v>
      </c>
      <c r="P1272" s="1">
        <f t="shared" si="487"/>
        <v>2256.96</v>
      </c>
      <c r="Q1272" s="5">
        <f t="shared" si="488"/>
        <v>0.16164383561643855</v>
      </c>
      <c r="R1272" s="5">
        <f t="shared" si="489"/>
        <v>-0.43776143373573084</v>
      </c>
      <c r="S1272" s="5">
        <f t="shared" si="472"/>
        <v>35.384005783311828</v>
      </c>
      <c r="T1272" s="5">
        <f t="shared" si="473"/>
        <v>-729.91743803918712</v>
      </c>
      <c r="U1272" s="4">
        <f t="shared" si="474"/>
        <v>1691995.3251014948</v>
      </c>
      <c r="V1272" s="4">
        <f t="shared" si="490"/>
        <v>27.303705383144667</v>
      </c>
      <c r="W1272" s="4">
        <f t="shared" si="475"/>
        <v>1666167.9222525761</v>
      </c>
      <c r="X1272" s="4">
        <f t="shared" si="479"/>
        <v>2334.831559559796</v>
      </c>
      <c r="Y1272" s="9">
        <f>SUM($X$6:X1272)</f>
        <v>666167.9222525761</v>
      </c>
      <c r="Z1272" s="16">
        <f t="shared" si="480"/>
        <v>0.66616792225257615</v>
      </c>
      <c r="AA1272" s="16">
        <f t="shared" si="476"/>
        <v>0.78115358714547478</v>
      </c>
      <c r="AB1272" s="16">
        <f t="shared" si="477"/>
        <v>1.4032847240628547E-3</v>
      </c>
      <c r="AC1272" s="16">
        <f t="shared" si="478"/>
        <v>1.8498617008156208E-3</v>
      </c>
    </row>
    <row r="1273" spans="1:29" x14ac:dyDescent="0.15">
      <c r="A1273" s="8">
        <v>42752</v>
      </c>
      <c r="B1273" s="4">
        <v>2267.89</v>
      </c>
      <c r="C1273" s="1">
        <v>11.664199999999999</v>
      </c>
      <c r="D1273" s="1">
        <v>2.14</v>
      </c>
      <c r="E1273" s="1">
        <v>1.0247999999999999</v>
      </c>
      <c r="F1273" s="4">
        <f t="shared" si="468"/>
        <v>0.116642</v>
      </c>
      <c r="G1273" s="4">
        <f t="shared" si="469"/>
        <v>2.1400000000000002E-2</v>
      </c>
      <c r="H1273" s="4">
        <f t="shared" si="470"/>
        <v>1.0248E-2</v>
      </c>
      <c r="I1273" s="3">
        <f t="shared" si="471"/>
        <v>55.679305721775592</v>
      </c>
      <c r="J1273" s="4">
        <f t="shared" si="481"/>
        <v>1691995.3251014948</v>
      </c>
      <c r="K1273" s="1">
        <f t="shared" si="482"/>
        <v>2256.96</v>
      </c>
      <c r="L1273" s="5">
        <f t="shared" si="483"/>
        <v>0.1506849315068495</v>
      </c>
      <c r="M1273" s="5">
        <f t="shared" si="484"/>
        <v>-0.46176869199960968</v>
      </c>
      <c r="N1273" s="5">
        <f t="shared" si="485"/>
        <v>37.309307077508585</v>
      </c>
      <c r="O1273" s="1">
        <f t="shared" si="486"/>
        <v>0</v>
      </c>
      <c r="P1273" s="1">
        <f t="shared" si="487"/>
        <v>2256.96</v>
      </c>
      <c r="Q1273" s="5">
        <f t="shared" si="488"/>
        <v>0.1506849315068495</v>
      </c>
      <c r="R1273" s="5">
        <f t="shared" si="489"/>
        <v>-0.46176869199960968</v>
      </c>
      <c r="S1273" s="5">
        <f t="shared" si="472"/>
        <v>37.309307077508585</v>
      </c>
      <c r="T1273" s="5">
        <f t="shared" si="473"/>
        <v>-729.91743803918712</v>
      </c>
      <c r="U1273" s="4">
        <f t="shared" si="474"/>
        <v>1692022.6288068779</v>
      </c>
      <c r="V1273" s="4">
        <f t="shared" si="490"/>
        <v>109.21658393065763</v>
      </c>
      <c r="W1273" s="4">
        <f t="shared" si="475"/>
        <v>1664789.9149698454</v>
      </c>
      <c r="X1273" s="4">
        <f t="shared" si="479"/>
        <v>-1378.0072827306576</v>
      </c>
      <c r="Y1273" s="9">
        <f>SUM($X$6:X1273)</f>
        <v>664789.91496984544</v>
      </c>
      <c r="Z1273" s="16">
        <f t="shared" si="480"/>
        <v>0.66478991496984541</v>
      </c>
      <c r="AA1273" s="16">
        <f t="shared" si="476"/>
        <v>0.77586800933393885</v>
      </c>
      <c r="AB1273" s="16">
        <f t="shared" si="477"/>
        <v>-8.2705186213623673E-4</v>
      </c>
      <c r="AC1273" s="16">
        <f t="shared" si="478"/>
        <v>-2.9675025498540428E-3</v>
      </c>
    </row>
    <row r="1274" spans="1:29" x14ac:dyDescent="0.15">
      <c r="A1274" s="8">
        <v>42753</v>
      </c>
      <c r="B1274" s="4">
        <v>2271.89</v>
      </c>
      <c r="C1274" s="1">
        <v>11.549900000000001</v>
      </c>
      <c r="D1274" s="1">
        <v>2.14</v>
      </c>
      <c r="E1274" s="1">
        <v>1.0301</v>
      </c>
      <c r="F1274" s="4">
        <f t="shared" si="468"/>
        <v>0.115499</v>
      </c>
      <c r="G1274" s="4">
        <f t="shared" si="469"/>
        <v>2.1400000000000002E-2</v>
      </c>
      <c r="H1274" s="4">
        <f t="shared" si="470"/>
        <v>1.0300999999999999E-2</v>
      </c>
      <c r="I1274" s="3">
        <f t="shared" si="471"/>
        <v>55.247195218692987</v>
      </c>
      <c r="J1274" s="4">
        <f t="shared" si="481"/>
        <v>1692022.6288068779</v>
      </c>
      <c r="K1274" s="1">
        <f t="shared" si="482"/>
        <v>2256.96</v>
      </c>
      <c r="L1274" s="5">
        <f t="shared" si="483"/>
        <v>0.14794520547945225</v>
      </c>
      <c r="M1274" s="5">
        <f t="shared" si="484"/>
        <v>-0.44542149703239275</v>
      </c>
      <c r="N1274" s="5">
        <f t="shared" si="485"/>
        <v>34.690776001911296</v>
      </c>
      <c r="O1274" s="1">
        <f t="shared" si="486"/>
        <v>0</v>
      </c>
      <c r="P1274" s="1">
        <f t="shared" si="487"/>
        <v>2256.96</v>
      </c>
      <c r="Q1274" s="5">
        <f t="shared" si="488"/>
        <v>0.14794520547945225</v>
      </c>
      <c r="R1274" s="5">
        <f t="shared" si="489"/>
        <v>-0.44542149703239275</v>
      </c>
      <c r="S1274" s="5">
        <f t="shared" si="472"/>
        <v>34.690776001911296</v>
      </c>
      <c r="T1274" s="5">
        <f t="shared" si="473"/>
        <v>-729.91743803918712</v>
      </c>
      <c r="U1274" s="4">
        <f t="shared" si="474"/>
        <v>1692131.8453908085</v>
      </c>
      <c r="V1274" s="4">
        <f t="shared" si="490"/>
        <v>27.305908409183179</v>
      </c>
      <c r="W1274" s="4">
        <f t="shared" si="475"/>
        <v>1666810.4430479021</v>
      </c>
      <c r="X1274" s="4">
        <f t="shared" si="479"/>
        <v>2020.5280780566391</v>
      </c>
      <c r="Y1274" s="9">
        <f>SUM($X$6:X1274)</f>
        <v>666810.44304790208</v>
      </c>
      <c r="Z1274" s="16">
        <f t="shared" si="480"/>
        <v>0.66681044304790205</v>
      </c>
      <c r="AA1274" s="16">
        <f t="shared" si="476"/>
        <v>0.77900020359262678</v>
      </c>
      <c r="AB1274" s="16">
        <f t="shared" si="477"/>
        <v>1.2136835163932605E-3</v>
      </c>
      <c r="AC1274" s="16">
        <f t="shared" si="478"/>
        <v>1.7637539739581726E-3</v>
      </c>
    </row>
    <row r="1275" spans="1:29" x14ac:dyDescent="0.15">
      <c r="A1275" s="8">
        <v>42754</v>
      </c>
      <c r="B1275" s="4">
        <v>2263.69</v>
      </c>
      <c r="C1275" s="1">
        <v>11.6899</v>
      </c>
      <c r="D1275" s="1">
        <v>2.14</v>
      </c>
      <c r="E1275" s="1">
        <v>1.0411999999999999</v>
      </c>
      <c r="F1275" s="4">
        <f t="shared" si="468"/>
        <v>0.116899</v>
      </c>
      <c r="G1275" s="4">
        <f t="shared" si="469"/>
        <v>2.1400000000000002E-2</v>
      </c>
      <c r="H1275" s="4">
        <f t="shared" si="470"/>
        <v>1.0411999999999999E-2</v>
      </c>
      <c r="I1275" s="3">
        <f t="shared" si="471"/>
        <v>55.64246831068197</v>
      </c>
      <c r="J1275" s="4">
        <f t="shared" si="481"/>
        <v>1692131.8453908085</v>
      </c>
      <c r="K1275" s="1">
        <f t="shared" si="482"/>
        <v>2256.96</v>
      </c>
      <c r="L1275" s="5">
        <f t="shared" si="483"/>
        <v>0.145205479452055</v>
      </c>
      <c r="M1275" s="5">
        <f t="shared" si="484"/>
        <v>-0.47726279349368878</v>
      </c>
      <c r="N1275" s="5">
        <f t="shared" si="485"/>
        <v>38.533341645212388</v>
      </c>
      <c r="O1275" s="1">
        <f t="shared" si="486"/>
        <v>0</v>
      </c>
      <c r="P1275" s="1">
        <f t="shared" si="487"/>
        <v>2256.96</v>
      </c>
      <c r="Q1275" s="5">
        <f t="shared" si="488"/>
        <v>0.145205479452055</v>
      </c>
      <c r="R1275" s="5">
        <f t="shared" si="489"/>
        <v>-0.47726279349368878</v>
      </c>
      <c r="S1275" s="5">
        <f t="shared" si="472"/>
        <v>38.533341645212388</v>
      </c>
      <c r="T1275" s="5">
        <f t="shared" si="473"/>
        <v>-729.91743803918712</v>
      </c>
      <c r="U1275" s="4">
        <f t="shared" si="474"/>
        <v>1692159.1512992177</v>
      </c>
      <c r="V1275" s="4">
        <f t="shared" si="490"/>
        <v>27.306349044253128</v>
      </c>
      <c r="W1275" s="4">
        <f t="shared" si="475"/>
        <v>1664032.9932864555</v>
      </c>
      <c r="X1275" s="4">
        <f t="shared" si="479"/>
        <v>-2777.4497614465654</v>
      </c>
      <c r="Y1275" s="9">
        <f>SUM($X$6:X1275)</f>
        <v>664032.99328645552</v>
      </c>
      <c r="Z1275" s="16">
        <f t="shared" si="480"/>
        <v>0.66403299328645549</v>
      </c>
      <c r="AA1275" s="16">
        <f t="shared" si="476"/>
        <v>0.77257920536231672</v>
      </c>
      <c r="AB1275" s="16">
        <f t="shared" si="477"/>
        <v>-1.6663261098651186E-3</v>
      </c>
      <c r="AC1275" s="16">
        <f t="shared" si="478"/>
        <v>-3.6093296770529464E-3</v>
      </c>
    </row>
    <row r="1276" spans="1:29" x14ac:dyDescent="0.15">
      <c r="A1276" s="8">
        <v>42755</v>
      </c>
      <c r="B1276" s="4">
        <v>2271.31</v>
      </c>
      <c r="C1276" s="1">
        <v>11.248900000000001</v>
      </c>
      <c r="D1276" s="1">
        <v>2.14</v>
      </c>
      <c r="E1276" s="1">
        <v>1.0434000000000001</v>
      </c>
      <c r="F1276" s="4">
        <f t="shared" si="468"/>
        <v>0.11248900000000001</v>
      </c>
      <c r="G1276" s="4">
        <f t="shared" si="469"/>
        <v>2.1400000000000002E-2</v>
      </c>
      <c r="H1276" s="4">
        <f t="shared" si="470"/>
        <v>1.0434000000000001E-2</v>
      </c>
      <c r="I1276" s="3">
        <f t="shared" si="471"/>
        <v>53.838902540951501</v>
      </c>
      <c r="J1276" s="4">
        <f t="shared" si="481"/>
        <v>1692159.1512992177</v>
      </c>
      <c r="K1276" s="1">
        <f t="shared" si="482"/>
        <v>2256.96</v>
      </c>
      <c r="L1276" s="5">
        <f t="shared" si="483"/>
        <v>0.14246575342465775</v>
      </c>
      <c r="M1276" s="5">
        <f t="shared" si="484"/>
        <v>-0.44545640412161136</v>
      </c>
      <c r="N1276" s="5">
        <f t="shared" si="485"/>
        <v>33.108852854740199</v>
      </c>
      <c r="O1276" s="1">
        <f t="shared" si="486"/>
        <v>0</v>
      </c>
      <c r="P1276" s="1">
        <f t="shared" si="487"/>
        <v>2256.96</v>
      </c>
      <c r="Q1276" s="5">
        <f t="shared" si="488"/>
        <v>0.14246575342465775</v>
      </c>
      <c r="R1276" s="5">
        <f t="shared" si="489"/>
        <v>-0.44545640412161136</v>
      </c>
      <c r="S1276" s="5">
        <f t="shared" si="472"/>
        <v>33.108852854740199</v>
      </c>
      <c r="T1276" s="5">
        <f t="shared" si="473"/>
        <v>-729.91743803918712</v>
      </c>
      <c r="U1276" s="4">
        <f t="shared" si="474"/>
        <v>1692186.4576482619</v>
      </c>
      <c r="V1276" s="4">
        <f t="shared" si="490"/>
        <v>27.306789686433596</v>
      </c>
      <c r="W1276" s="4">
        <f t="shared" si="475"/>
        <v>1668019.7285961136</v>
      </c>
      <c r="X1276" s="4">
        <f t="shared" si="479"/>
        <v>3986.7353096581064</v>
      </c>
      <c r="Y1276" s="9">
        <f>SUM($X$6:X1276)</f>
        <v>668019.72859611362</v>
      </c>
      <c r="Z1276" s="16">
        <f t="shared" si="480"/>
        <v>0.66801972859611358</v>
      </c>
      <c r="AA1276" s="16">
        <f t="shared" si="476"/>
        <v>0.77854603542511713</v>
      </c>
      <c r="AB1276" s="16">
        <f t="shared" si="477"/>
        <v>2.3958270813995864E-3</v>
      </c>
      <c r="AC1276" s="16">
        <f t="shared" si="478"/>
        <v>3.3661852992237853E-3</v>
      </c>
    </row>
    <row r="1277" spans="1:29" x14ac:dyDescent="0.15">
      <c r="A1277" s="8">
        <v>42758</v>
      </c>
      <c r="B1277" s="4">
        <v>2265.1999999999998</v>
      </c>
      <c r="C1277" s="1">
        <v>11.4016</v>
      </c>
      <c r="D1277" s="1">
        <v>2.15</v>
      </c>
      <c r="E1277" s="1">
        <v>1.0379</v>
      </c>
      <c r="F1277" s="4">
        <f t="shared" si="468"/>
        <v>0.11401600000000001</v>
      </c>
      <c r="G1277" s="4">
        <f t="shared" si="469"/>
        <v>2.1499999999999998E-2</v>
      </c>
      <c r="H1277" s="4">
        <f t="shared" si="470"/>
        <v>1.0379000000000001E-2</v>
      </c>
      <c r="I1277" s="3">
        <f t="shared" si="471"/>
        <v>54.424255913682018</v>
      </c>
      <c r="J1277" s="4">
        <f t="shared" si="481"/>
        <v>1692186.4576482619</v>
      </c>
      <c r="K1277" s="1">
        <f t="shared" si="482"/>
        <v>2256.96</v>
      </c>
      <c r="L1277" s="5">
        <f t="shared" si="483"/>
        <v>0.13424657534246598</v>
      </c>
      <c r="M1277" s="5">
        <f t="shared" si="484"/>
        <v>-0.46978972173408645</v>
      </c>
      <c r="N1277" s="5">
        <f t="shared" si="485"/>
        <v>35.22238101889856</v>
      </c>
      <c r="O1277" s="1">
        <f t="shared" si="486"/>
        <v>0</v>
      </c>
      <c r="P1277" s="1">
        <f t="shared" si="487"/>
        <v>2256.96</v>
      </c>
      <c r="Q1277" s="5">
        <f t="shared" si="488"/>
        <v>0.13424657534246598</v>
      </c>
      <c r="R1277" s="5">
        <f t="shared" si="489"/>
        <v>-0.46978972173408645</v>
      </c>
      <c r="S1277" s="5">
        <f t="shared" si="472"/>
        <v>35.22238101889856</v>
      </c>
      <c r="T1277" s="5">
        <f t="shared" si="473"/>
        <v>-729.91743803918712</v>
      </c>
      <c r="U1277" s="4">
        <f t="shared" si="474"/>
        <v>1692213.7644379484</v>
      </c>
      <c r="V1277" s="4">
        <f t="shared" si="490"/>
        <v>81.92169100717409</v>
      </c>
      <c r="W1277" s="4">
        <f t="shared" si="475"/>
        <v>1666504.3343229939</v>
      </c>
      <c r="X1277" s="4">
        <f t="shared" si="479"/>
        <v>-1515.3942731197458</v>
      </c>
      <c r="Y1277" s="9">
        <f>SUM($X$6:X1277)</f>
        <v>666504.33432299388</v>
      </c>
      <c r="Z1277" s="16">
        <f t="shared" si="480"/>
        <v>0.66650433432299383</v>
      </c>
      <c r="AA1277" s="16">
        <f t="shared" si="476"/>
        <v>0.77376160869497124</v>
      </c>
      <c r="AB1277" s="16">
        <f t="shared" si="477"/>
        <v>-9.0849901061732354E-4</v>
      </c>
      <c r="AC1277" s="16">
        <f t="shared" si="478"/>
        <v>-2.6900775323492289E-3</v>
      </c>
    </row>
    <row r="1278" spans="1:29" x14ac:dyDescent="0.15">
      <c r="A1278" s="8">
        <v>42759</v>
      </c>
      <c r="B1278" s="4">
        <v>2280.0700000000002</v>
      </c>
      <c r="C1278" s="1">
        <v>10.8902</v>
      </c>
      <c r="D1278" s="1">
        <v>2.13</v>
      </c>
      <c r="E1278" s="1">
        <v>1.0318000000000001</v>
      </c>
      <c r="F1278" s="4">
        <f t="shared" si="468"/>
        <v>0.108902</v>
      </c>
      <c r="G1278" s="4">
        <f t="shared" si="469"/>
        <v>2.1299999999999999E-2</v>
      </c>
      <c r="H1278" s="4">
        <f t="shared" si="470"/>
        <v>1.0318000000000001E-2</v>
      </c>
      <c r="I1278" s="3">
        <f t="shared" si="471"/>
        <v>52.432566975817736</v>
      </c>
      <c r="J1278" s="4">
        <f t="shared" si="481"/>
        <v>1692213.7644379484</v>
      </c>
      <c r="K1278" s="1">
        <f t="shared" si="482"/>
        <v>2256.96</v>
      </c>
      <c r="L1278" s="5">
        <f t="shared" si="483"/>
        <v>0.13150684931506873</v>
      </c>
      <c r="M1278" s="5">
        <f t="shared" si="484"/>
        <v>-0.40359266775674185</v>
      </c>
      <c r="N1278" s="5">
        <f t="shared" si="485"/>
        <v>26.637960683769915</v>
      </c>
      <c r="O1278" s="1">
        <f t="shared" si="486"/>
        <v>0</v>
      </c>
      <c r="P1278" s="1">
        <f t="shared" si="487"/>
        <v>2256.96</v>
      </c>
      <c r="Q1278" s="5">
        <f t="shared" si="488"/>
        <v>0.13150684931506873</v>
      </c>
      <c r="R1278" s="5">
        <f t="shared" si="489"/>
        <v>-0.40359266775674185</v>
      </c>
      <c r="S1278" s="5">
        <f t="shared" si="472"/>
        <v>26.637960683769915</v>
      </c>
      <c r="T1278" s="5">
        <f t="shared" si="473"/>
        <v>-729.91743803918712</v>
      </c>
      <c r="U1278" s="4">
        <f t="shared" si="474"/>
        <v>1692295.6861289556</v>
      </c>
      <c r="V1278" s="4">
        <f t="shared" si="490"/>
        <v>27.308552304930267</v>
      </c>
      <c r="W1278" s="4">
        <f t="shared" si="475"/>
        <v>1672852.1741120697</v>
      </c>
      <c r="X1278" s="4">
        <f t="shared" si="479"/>
        <v>6347.8397890757769</v>
      </c>
      <c r="Y1278" s="9">
        <f>SUM($X$6:X1278)</f>
        <v>672852.17411206965</v>
      </c>
      <c r="Z1278" s="16">
        <f t="shared" si="480"/>
        <v>0.67285217411206966</v>
      </c>
      <c r="AA1278" s="16">
        <f t="shared" si="476"/>
        <v>0.78540554085164382</v>
      </c>
      <c r="AB1278" s="16">
        <f t="shared" si="477"/>
        <v>3.8090748750764839E-3</v>
      </c>
      <c r="AC1278" s="16">
        <f t="shared" si="478"/>
        <v>6.5645417623169467E-3</v>
      </c>
    </row>
    <row r="1279" spans="1:29" x14ac:dyDescent="0.15">
      <c r="A1279" s="8">
        <v>42760</v>
      </c>
      <c r="B1279" s="4">
        <v>2298.37</v>
      </c>
      <c r="C1279" s="1">
        <v>10.7872</v>
      </c>
      <c r="D1279" s="1">
        <v>2.11</v>
      </c>
      <c r="E1279" s="1">
        <v>1.0373000000000001</v>
      </c>
      <c r="F1279" s="4">
        <f t="shared" si="468"/>
        <v>0.10787200000000001</v>
      </c>
      <c r="G1279" s="4">
        <f t="shared" si="469"/>
        <v>2.1099999999999997E-2</v>
      </c>
      <c r="H1279" s="4">
        <f t="shared" si="470"/>
        <v>1.0373E-2</v>
      </c>
      <c r="I1279" s="3">
        <f t="shared" si="471"/>
        <v>52.309712767129547</v>
      </c>
      <c r="J1279" s="4">
        <f t="shared" si="481"/>
        <v>1692295.6861289556</v>
      </c>
      <c r="K1279" s="1">
        <f t="shared" si="482"/>
        <v>2256.96</v>
      </c>
      <c r="L1279" s="5">
        <f t="shared" si="483"/>
        <v>0.12876712328767148</v>
      </c>
      <c r="M1279" s="5">
        <f t="shared" si="484"/>
        <v>-0.32426047550369269</v>
      </c>
      <c r="N1279" s="5">
        <f t="shared" si="485"/>
        <v>19.260656594763546</v>
      </c>
      <c r="O1279" s="1">
        <f t="shared" si="486"/>
        <v>0</v>
      </c>
      <c r="P1279" s="1">
        <f t="shared" si="487"/>
        <v>2256.96</v>
      </c>
      <c r="Q1279" s="5">
        <f t="shared" si="488"/>
        <v>0.12876712328767148</v>
      </c>
      <c r="R1279" s="5">
        <f t="shared" si="489"/>
        <v>-0.32426047550369269</v>
      </c>
      <c r="S1279" s="5">
        <f t="shared" si="472"/>
        <v>19.260656594763546</v>
      </c>
      <c r="T1279" s="5">
        <f t="shared" si="473"/>
        <v>-729.91743803918712</v>
      </c>
      <c r="U1279" s="4">
        <f t="shared" si="474"/>
        <v>1692322.9946812605</v>
      </c>
      <c r="V1279" s="4">
        <f t="shared" si="490"/>
        <v>27.308992982664723</v>
      </c>
      <c r="W1279" s="4">
        <f t="shared" si="475"/>
        <v>1678264.3055646583</v>
      </c>
      <c r="X1279" s="4">
        <f t="shared" si="479"/>
        <v>5412.1314525885973</v>
      </c>
      <c r="Y1279" s="9">
        <f>SUM($X$6:X1279)</f>
        <v>678264.30556465825</v>
      </c>
      <c r="Z1279" s="16">
        <f t="shared" si="480"/>
        <v>0.67826430556465822</v>
      </c>
      <c r="AA1279" s="16">
        <f t="shared" si="476"/>
        <v>0.79973532958514082</v>
      </c>
      <c r="AB1279" s="16">
        <f t="shared" si="477"/>
        <v>3.2352717928954442E-3</v>
      </c>
      <c r="AC1279" s="16">
        <f t="shared" si="478"/>
        <v>8.0260693750629254E-3</v>
      </c>
    </row>
    <row r="1280" spans="1:29" x14ac:dyDescent="0.15">
      <c r="A1280" s="8">
        <v>42761</v>
      </c>
      <c r="B1280" s="4">
        <v>2296.6799999999998</v>
      </c>
      <c r="C1280" s="1">
        <v>10.792999999999999</v>
      </c>
      <c r="D1280" s="1">
        <v>2.11</v>
      </c>
      <c r="E1280" s="1">
        <v>1.0389999999999999</v>
      </c>
      <c r="F1280" s="4">
        <f t="shared" si="468"/>
        <v>0.10793</v>
      </c>
      <c r="G1280" s="4">
        <f t="shared" si="469"/>
        <v>2.1099999999999997E-2</v>
      </c>
      <c r="H1280" s="4">
        <f t="shared" si="470"/>
        <v>1.039E-2</v>
      </c>
      <c r="I1280" s="3">
        <f t="shared" si="471"/>
        <v>52.292487198354316</v>
      </c>
      <c r="J1280" s="4">
        <f t="shared" si="481"/>
        <v>1692322.9946812605</v>
      </c>
      <c r="K1280" s="1">
        <f t="shared" si="482"/>
        <v>2256.96</v>
      </c>
      <c r="L1280" s="5">
        <f t="shared" si="483"/>
        <v>0.12602739726027423</v>
      </c>
      <c r="M1280" s="5">
        <f t="shared" si="484"/>
        <v>-0.32936298172266815</v>
      </c>
      <c r="N1280" s="5">
        <f t="shared" si="485"/>
        <v>19.464246795161362</v>
      </c>
      <c r="O1280" s="1">
        <f t="shared" si="486"/>
        <v>0</v>
      </c>
      <c r="P1280" s="1">
        <f t="shared" si="487"/>
        <v>2256.96</v>
      </c>
      <c r="Q1280" s="5">
        <f t="shared" si="488"/>
        <v>0.12602739726027423</v>
      </c>
      <c r="R1280" s="5">
        <f t="shared" si="489"/>
        <v>-0.32936298172266815</v>
      </c>
      <c r="S1280" s="5">
        <f t="shared" si="472"/>
        <v>19.464246795161362</v>
      </c>
      <c r="T1280" s="5">
        <f t="shared" si="473"/>
        <v>-729.91743803918712</v>
      </c>
      <c r="U1280" s="4">
        <f t="shared" si="474"/>
        <v>1692350.3036742432</v>
      </c>
      <c r="V1280" s="4">
        <f t="shared" si="490"/>
        <v>27.309433667510387</v>
      </c>
      <c r="W1280" s="4">
        <f t="shared" si="475"/>
        <v>1678143.0105201565</v>
      </c>
      <c r="X1280" s="4">
        <f t="shared" si="479"/>
        <v>-121.29504450177774</v>
      </c>
      <c r="Y1280" s="9">
        <f>SUM($X$6:X1280)</f>
        <v>678143.01052015647</v>
      </c>
      <c r="Z1280" s="16">
        <f t="shared" si="480"/>
        <v>0.67814301052015646</v>
      </c>
      <c r="AA1280" s="16">
        <f t="shared" si="476"/>
        <v>0.79841197751084514</v>
      </c>
      <c r="AB1280" s="16">
        <f t="shared" si="477"/>
        <v>-7.2274101343630475E-5</v>
      </c>
      <c r="AC1280" s="16">
        <f t="shared" si="478"/>
        <v>-7.3530371524169506E-4</v>
      </c>
    </row>
    <row r="1281" spans="1:29" x14ac:dyDescent="0.15">
      <c r="A1281" s="8">
        <v>42762</v>
      </c>
      <c r="B1281" s="4">
        <v>2294.69</v>
      </c>
      <c r="C1281" s="1">
        <v>10.823700000000001</v>
      </c>
      <c r="D1281" s="1">
        <v>2.11</v>
      </c>
      <c r="E1281" s="1">
        <v>1.0271999999999999</v>
      </c>
      <c r="F1281" s="4">
        <f t="shared" si="468"/>
        <v>0.108237</v>
      </c>
      <c r="G1281" s="4">
        <f t="shared" si="469"/>
        <v>2.1099999999999997E-2</v>
      </c>
      <c r="H1281" s="4">
        <f t="shared" si="470"/>
        <v>1.0271999999999998E-2</v>
      </c>
      <c r="I1281" s="3">
        <f t="shared" si="471"/>
        <v>52.422460108618814</v>
      </c>
      <c r="J1281" s="4">
        <f t="shared" si="481"/>
        <v>1692350.3036742432</v>
      </c>
      <c r="K1281" s="1">
        <f t="shared" si="482"/>
        <v>2256.96</v>
      </c>
      <c r="L1281" s="5">
        <f t="shared" si="483"/>
        <v>0.12328767123287697</v>
      </c>
      <c r="M1281" s="5">
        <f t="shared" si="484"/>
        <v>-0.33632548049178845</v>
      </c>
      <c r="N1281" s="5">
        <f t="shared" si="485"/>
        <v>19.857123780783706</v>
      </c>
      <c r="O1281" s="1">
        <f t="shared" si="486"/>
        <v>0</v>
      </c>
      <c r="P1281" s="1">
        <f t="shared" si="487"/>
        <v>2256.96</v>
      </c>
      <c r="Q1281" s="5">
        <f t="shared" si="488"/>
        <v>0.12328767123287697</v>
      </c>
      <c r="R1281" s="5">
        <f t="shared" si="489"/>
        <v>-0.33632548049178845</v>
      </c>
      <c r="S1281" s="5">
        <f t="shared" si="472"/>
        <v>19.857123780783706</v>
      </c>
      <c r="T1281" s="5">
        <f t="shared" si="473"/>
        <v>-729.91743803918712</v>
      </c>
      <c r="U1281" s="4">
        <f t="shared" si="474"/>
        <v>1692377.6131079106</v>
      </c>
      <c r="V1281" s="4">
        <f t="shared" si="490"/>
        <v>27.309874359467379</v>
      </c>
      <c r="W1281" s="4">
        <f t="shared" si="475"/>
        <v>1677883.5521910139</v>
      </c>
      <c r="X1281" s="4">
        <f t="shared" si="479"/>
        <v>-259.45832914253697</v>
      </c>
      <c r="Y1281" s="9">
        <f>SUM($X$6:X1281)</f>
        <v>677883.55219101394</v>
      </c>
      <c r="Z1281" s="16">
        <f t="shared" si="480"/>
        <v>0.67788355219101393</v>
      </c>
      <c r="AA1281" s="16">
        <f t="shared" si="476"/>
        <v>0.79685371086714807</v>
      </c>
      <c r="AB1281" s="16">
        <f t="shared" si="477"/>
        <v>-1.5461038035257519E-4</v>
      </c>
      <c r="AC1281" s="16">
        <f t="shared" si="478"/>
        <v>-8.6646811919805194E-4</v>
      </c>
    </row>
    <row r="1282" spans="1:29" x14ac:dyDescent="0.15">
      <c r="A1282" s="8">
        <v>42765</v>
      </c>
      <c r="B1282" s="4">
        <v>2280.9</v>
      </c>
      <c r="C1282" s="1">
        <v>11.440300000000001</v>
      </c>
      <c r="D1282" s="1">
        <v>2.13</v>
      </c>
      <c r="E1282" s="1">
        <v>1.0226</v>
      </c>
      <c r="F1282" s="4">
        <f t="shared" si="468"/>
        <v>0.114403</v>
      </c>
      <c r="G1282" s="4">
        <f t="shared" si="469"/>
        <v>2.1299999999999999E-2</v>
      </c>
      <c r="H1282" s="4">
        <f t="shared" si="470"/>
        <v>1.0225999999999999E-2</v>
      </c>
      <c r="I1282" s="3">
        <f t="shared" si="471"/>
        <v>54.964919759058745</v>
      </c>
      <c r="J1282" s="4">
        <f t="shared" si="481"/>
        <v>1692377.6131079106</v>
      </c>
      <c r="K1282" s="1">
        <f t="shared" si="482"/>
        <v>2256.96</v>
      </c>
      <c r="L1282" s="5">
        <f t="shared" si="483"/>
        <v>0.11506849315068519</v>
      </c>
      <c r="M1282" s="5">
        <f t="shared" si="484"/>
        <v>-0.39705276007965667</v>
      </c>
      <c r="N1282" s="5">
        <f t="shared" si="485"/>
        <v>25.553120260924882</v>
      </c>
      <c r="O1282" s="1">
        <f t="shared" si="486"/>
        <v>0</v>
      </c>
      <c r="P1282" s="1">
        <f t="shared" si="487"/>
        <v>2256.96</v>
      </c>
      <c r="Q1282" s="5">
        <f t="shared" si="488"/>
        <v>0.11506849315068519</v>
      </c>
      <c r="R1282" s="5">
        <f t="shared" si="489"/>
        <v>-0.39705276007965667</v>
      </c>
      <c r="S1282" s="5">
        <f t="shared" si="472"/>
        <v>25.553120260924882</v>
      </c>
      <c r="T1282" s="5">
        <f t="shared" si="473"/>
        <v>-729.91743803918712</v>
      </c>
      <c r="U1282" s="4">
        <f t="shared" si="474"/>
        <v>1692404.9229822701</v>
      </c>
      <c r="V1282" s="4">
        <f t="shared" si="490"/>
        <v>81.93094517560742</v>
      </c>
      <c r="W1282" s="4">
        <f t="shared" si="475"/>
        <v>1673753.2549075086</v>
      </c>
      <c r="X1282" s="4">
        <f t="shared" si="479"/>
        <v>-4130.2972835053224</v>
      </c>
      <c r="Y1282" s="9">
        <f>SUM($X$6:X1282)</f>
        <v>673753.25490750861</v>
      </c>
      <c r="Z1282" s="16">
        <f t="shared" si="480"/>
        <v>0.67375325490750859</v>
      </c>
      <c r="AA1282" s="16">
        <f t="shared" si="476"/>
        <v>0.78605547116032148</v>
      </c>
      <c r="AB1282" s="16">
        <f t="shared" si="477"/>
        <v>-2.4616114021213794E-3</v>
      </c>
      <c r="AC1282" s="16">
        <f t="shared" si="478"/>
        <v>-6.0095263412486928E-3</v>
      </c>
    </row>
    <row r="1283" spans="1:29" x14ac:dyDescent="0.15">
      <c r="A1283" s="8">
        <v>42766</v>
      </c>
      <c r="B1283" s="4">
        <v>2278.87</v>
      </c>
      <c r="C1283" s="1">
        <v>11.4308</v>
      </c>
      <c r="D1283" s="1">
        <v>2.13</v>
      </c>
      <c r="E1283" s="1">
        <v>1.0230999999999999</v>
      </c>
      <c r="F1283" s="4">
        <f t="shared" si="468"/>
        <v>0.11430799999999999</v>
      </c>
      <c r="G1283" s="4">
        <f t="shared" si="469"/>
        <v>2.1299999999999999E-2</v>
      </c>
      <c r="H1283" s="4">
        <f t="shared" si="470"/>
        <v>1.0230999999999999E-2</v>
      </c>
      <c r="I1283" s="3">
        <f t="shared" si="471"/>
        <v>54.871609361972155</v>
      </c>
      <c r="J1283" s="4">
        <f t="shared" si="481"/>
        <v>1692404.9229822701</v>
      </c>
      <c r="K1283" s="1">
        <f t="shared" si="482"/>
        <v>2256.96</v>
      </c>
      <c r="L1283" s="5">
        <f t="shared" si="483"/>
        <v>0.11232876712328793</v>
      </c>
      <c r="M1283" s="5">
        <f t="shared" si="484"/>
        <v>-0.40463283821592166</v>
      </c>
      <c r="N1283" s="5">
        <f t="shared" si="485"/>
        <v>25.902386589224047</v>
      </c>
      <c r="O1283" s="1">
        <f t="shared" si="486"/>
        <v>0</v>
      </c>
      <c r="P1283" s="1">
        <f t="shared" si="487"/>
        <v>2256.96</v>
      </c>
      <c r="Q1283" s="5">
        <f t="shared" si="488"/>
        <v>0.11232876712328793</v>
      </c>
      <c r="R1283" s="5">
        <f t="shared" si="489"/>
        <v>-0.40463283821592166</v>
      </c>
      <c r="S1283" s="5">
        <f t="shared" si="472"/>
        <v>25.902386589224047</v>
      </c>
      <c r="T1283" s="5">
        <f t="shared" si="473"/>
        <v>-729.91743803918712</v>
      </c>
      <c r="U1283" s="4">
        <f t="shared" si="474"/>
        <v>1692486.8539274458</v>
      </c>
      <c r="V1283" s="4">
        <f t="shared" si="490"/>
        <v>27.311637177075767</v>
      </c>
      <c r="W1283" s="4">
        <f t="shared" si="475"/>
        <v>1673580.2502691387</v>
      </c>
      <c r="X1283" s="4">
        <f t="shared" si="479"/>
        <v>-173.00463836989366</v>
      </c>
      <c r="Y1283" s="9">
        <f>SUM($X$6:X1283)</f>
        <v>673580.25026913872</v>
      </c>
      <c r="Z1283" s="16">
        <f t="shared" si="480"/>
        <v>0.6735802502691387</v>
      </c>
      <c r="AA1283" s="16">
        <f t="shared" si="476"/>
        <v>0.78446588257403727</v>
      </c>
      <c r="AB1283" s="16">
        <f t="shared" si="477"/>
        <v>-1.033632871886208E-4</v>
      </c>
      <c r="AC1283" s="16">
        <f t="shared" si="478"/>
        <v>-8.8999956157665837E-4</v>
      </c>
    </row>
    <row r="1284" spans="1:29" x14ac:dyDescent="0.15">
      <c r="A1284" s="8">
        <v>42767</v>
      </c>
      <c r="B1284" s="4">
        <v>2279.5500000000002</v>
      </c>
      <c r="C1284" s="1">
        <v>11.3277</v>
      </c>
      <c r="D1284" s="1">
        <v>2.14</v>
      </c>
      <c r="E1284" s="1">
        <v>1.0230999999999999</v>
      </c>
      <c r="F1284" s="4">
        <f t="shared" si="468"/>
        <v>0.113277</v>
      </c>
      <c r="G1284" s="4">
        <f t="shared" si="469"/>
        <v>2.1400000000000002E-2</v>
      </c>
      <c r="H1284" s="4">
        <f t="shared" si="470"/>
        <v>1.0230999999999999E-2</v>
      </c>
      <c r="I1284" s="3">
        <f t="shared" si="471"/>
        <v>54.451132174505702</v>
      </c>
      <c r="J1284" s="4">
        <f t="shared" si="481"/>
        <v>1692486.8539274458</v>
      </c>
      <c r="K1284" s="1">
        <f t="shared" si="482"/>
        <v>2256.96</v>
      </c>
      <c r="L1284" s="5">
        <f t="shared" si="483"/>
        <v>0.10958904109589067</v>
      </c>
      <c r="M1284" s="5">
        <f t="shared" si="484"/>
        <v>-0.39970041723720057</v>
      </c>
      <c r="N1284" s="5">
        <f t="shared" si="485"/>
        <v>24.897634967648976</v>
      </c>
      <c r="O1284" s="1">
        <f t="shared" si="486"/>
        <v>0</v>
      </c>
      <c r="P1284" s="1">
        <f t="shared" si="487"/>
        <v>2256.96</v>
      </c>
      <c r="Q1284" s="5">
        <f t="shared" si="488"/>
        <v>0.10958904109589067</v>
      </c>
      <c r="R1284" s="5">
        <f t="shared" si="489"/>
        <v>-0.39970041723720057</v>
      </c>
      <c r="S1284" s="5">
        <f t="shared" si="472"/>
        <v>24.897634967648976</v>
      </c>
      <c r="T1284" s="5">
        <f t="shared" si="473"/>
        <v>-729.91743803918712</v>
      </c>
      <c r="U1284" s="4">
        <f t="shared" si="474"/>
        <v>1692514.165564623</v>
      </c>
      <c r="V1284" s="4">
        <f t="shared" si="490"/>
        <v>27.312077904590762</v>
      </c>
      <c r="W1284" s="4">
        <f t="shared" si="475"/>
        <v>1674340.9476358017</v>
      </c>
      <c r="X1284" s="4">
        <f t="shared" si="479"/>
        <v>760.69736666302197</v>
      </c>
      <c r="Y1284" s="9">
        <f>SUM($X$6:X1284)</f>
        <v>674340.94763580174</v>
      </c>
      <c r="Z1284" s="16">
        <f t="shared" si="480"/>
        <v>0.67434094763580177</v>
      </c>
      <c r="AA1284" s="16">
        <f t="shared" si="476"/>
        <v>0.78499835559801445</v>
      </c>
      <c r="AB1284" s="16">
        <f t="shared" si="477"/>
        <v>4.5453294907172188E-4</v>
      </c>
      <c r="AC1284" s="16">
        <f t="shared" si="478"/>
        <v>2.9839350204280678E-4</v>
      </c>
    </row>
    <row r="1285" spans="1:29" x14ac:dyDescent="0.15">
      <c r="A1285" s="8">
        <v>42768</v>
      </c>
      <c r="B1285" s="4">
        <v>2280.85</v>
      </c>
      <c r="C1285" s="1">
        <v>11.4756</v>
      </c>
      <c r="D1285" s="1">
        <v>2.14</v>
      </c>
      <c r="E1285" s="1">
        <v>1.0225</v>
      </c>
      <c r="F1285" s="4">
        <f t="shared" si="468"/>
        <v>0.114756</v>
      </c>
      <c r="G1285" s="4">
        <f t="shared" si="469"/>
        <v>2.1400000000000002E-2</v>
      </c>
      <c r="H1285" s="4">
        <f t="shared" si="470"/>
        <v>1.0225E-2</v>
      </c>
      <c r="I1285" s="3">
        <f t="shared" si="471"/>
        <v>55.152244994718409</v>
      </c>
      <c r="J1285" s="4">
        <f t="shared" si="481"/>
        <v>1692514.165564623</v>
      </c>
      <c r="K1285" s="1">
        <f t="shared" si="482"/>
        <v>2256.96</v>
      </c>
      <c r="L1285" s="5">
        <f t="shared" si="483"/>
        <v>0.10684931506849341</v>
      </c>
      <c r="M1285" s="5">
        <f t="shared" si="484"/>
        <v>-0.39359330787513502</v>
      </c>
      <c r="N1285" s="5">
        <f t="shared" si="485"/>
        <v>24.365911593914582</v>
      </c>
      <c r="O1285" s="1">
        <f t="shared" si="486"/>
        <v>0</v>
      </c>
      <c r="P1285" s="1">
        <f t="shared" si="487"/>
        <v>2256.96</v>
      </c>
      <c r="Q1285" s="5">
        <f t="shared" si="488"/>
        <v>0.10684931506849341</v>
      </c>
      <c r="R1285" s="5">
        <f t="shared" si="489"/>
        <v>-0.39359330787513502</v>
      </c>
      <c r="S1285" s="5">
        <f t="shared" si="472"/>
        <v>24.365911593914582</v>
      </c>
      <c r="T1285" s="5">
        <f t="shared" si="473"/>
        <v>-729.91743803918712</v>
      </c>
      <c r="U1285" s="4">
        <f t="shared" si="474"/>
        <v>1692541.4776425275</v>
      </c>
      <c r="V1285" s="4">
        <f t="shared" si="490"/>
        <v>27.312518639217775</v>
      </c>
      <c r="W1285" s="4">
        <f t="shared" si="475"/>
        <v>1674756.3738764082</v>
      </c>
      <c r="X1285" s="4">
        <f t="shared" si="479"/>
        <v>415.42624060646631</v>
      </c>
      <c r="Y1285" s="9">
        <f>SUM($X$6:X1285)</f>
        <v>674756.37387640821</v>
      </c>
      <c r="Z1285" s="16">
        <f t="shared" si="480"/>
        <v>0.67475637387640819</v>
      </c>
      <c r="AA1285" s="16">
        <f t="shared" si="476"/>
        <v>0.78601631873208777</v>
      </c>
      <c r="AB1285" s="16">
        <f t="shared" si="477"/>
        <v>2.4811328970545413E-4</v>
      </c>
      <c r="AC1285" s="16">
        <f t="shared" si="478"/>
        <v>5.7028799543757628E-4</v>
      </c>
    </row>
    <row r="1286" spans="1:29" x14ac:dyDescent="0.15">
      <c r="A1286" s="8">
        <v>42769</v>
      </c>
      <c r="B1286" s="4">
        <v>2297.42</v>
      </c>
      <c r="C1286" s="1">
        <v>11.034700000000001</v>
      </c>
      <c r="D1286" s="1">
        <v>2.12</v>
      </c>
      <c r="E1286" s="1">
        <v>1.0226</v>
      </c>
      <c r="F1286" s="4">
        <f t="shared" si="468"/>
        <v>0.11034700000000001</v>
      </c>
      <c r="G1286" s="4">
        <f t="shared" si="469"/>
        <v>2.12E-2</v>
      </c>
      <c r="H1286" s="4">
        <f t="shared" si="470"/>
        <v>1.0225999999999999E-2</v>
      </c>
      <c r="I1286" s="3">
        <f t="shared" si="471"/>
        <v>53.488075528300584</v>
      </c>
      <c r="J1286" s="4">
        <f t="shared" si="481"/>
        <v>1692541.4776425275</v>
      </c>
      <c r="K1286" s="1">
        <f t="shared" si="482"/>
        <v>2256.96</v>
      </c>
      <c r="L1286" s="5">
        <f t="shared" si="483"/>
        <v>0.10410958904109614</v>
      </c>
      <c r="M1286" s="5">
        <f t="shared" si="484"/>
        <v>-0.31323471270246289</v>
      </c>
      <c r="N1286" s="5">
        <f t="shared" si="485"/>
        <v>16.849939954381419</v>
      </c>
      <c r="O1286" s="1">
        <f t="shared" si="486"/>
        <v>0</v>
      </c>
      <c r="P1286" s="1">
        <f t="shared" si="487"/>
        <v>2256.96</v>
      </c>
      <c r="Q1286" s="5">
        <f t="shared" si="488"/>
        <v>0.10410958904109614</v>
      </c>
      <c r="R1286" s="5">
        <f t="shared" si="489"/>
        <v>-0.31323471270246289</v>
      </c>
      <c r="S1286" s="5">
        <f t="shared" si="472"/>
        <v>16.849939954381419</v>
      </c>
      <c r="T1286" s="5">
        <f t="shared" si="473"/>
        <v>-729.91743803918712</v>
      </c>
      <c r="U1286" s="4">
        <f t="shared" si="474"/>
        <v>1692568.7901611668</v>
      </c>
      <c r="V1286" s="4">
        <f t="shared" si="490"/>
        <v>27.312959380956908</v>
      </c>
      <c r="W1286" s="4">
        <f t="shared" si="475"/>
        <v>1680269.7251585505</v>
      </c>
      <c r="X1286" s="4">
        <f t="shared" si="479"/>
        <v>5513.3512821423355</v>
      </c>
      <c r="Y1286" s="9">
        <f>SUM($X$6:X1286)</f>
        <v>680269.72515855054</v>
      </c>
      <c r="Z1286" s="16">
        <f t="shared" si="480"/>
        <v>0.68026972515855055</v>
      </c>
      <c r="AA1286" s="16">
        <f t="shared" si="476"/>
        <v>0.7989914334487026</v>
      </c>
      <c r="AB1286" s="16">
        <f t="shared" si="477"/>
        <v>3.2920318251311244E-3</v>
      </c>
      <c r="AC1286" s="16">
        <f t="shared" si="478"/>
        <v>7.2648354780016945E-3</v>
      </c>
    </row>
    <row r="1287" spans="1:29" x14ac:dyDescent="0.15">
      <c r="A1287" s="8">
        <v>42772</v>
      </c>
      <c r="B1287" s="4">
        <v>2292.56</v>
      </c>
      <c r="C1287" s="1">
        <v>11.2879</v>
      </c>
      <c r="D1287" s="1">
        <v>2.13</v>
      </c>
      <c r="E1287" s="1">
        <v>1.0268999999999999</v>
      </c>
      <c r="F1287" s="4">
        <f t="shared" ref="F1287:F1350" si="491">C1287/100</f>
        <v>0.11287900000000001</v>
      </c>
      <c r="G1287" s="4">
        <f t="shared" ref="G1287:G1350" si="492">D1287/100</f>
        <v>2.1299999999999999E-2</v>
      </c>
      <c r="H1287" s="4">
        <f t="shared" ref="H1287:H1350" si="493">E1287/100</f>
        <v>1.0268999999999999E-2</v>
      </c>
      <c r="I1287" s="3">
        <f t="shared" ref="I1287:I1350" si="494">BSM_Put(B1287,B1287,F1287,H1287,G1287,$B$3,$F$3)</f>
        <v>54.540750341134967</v>
      </c>
      <c r="J1287" s="4">
        <f t="shared" si="481"/>
        <v>1692568.7901611668</v>
      </c>
      <c r="K1287" s="1">
        <f t="shared" si="482"/>
        <v>2256.96</v>
      </c>
      <c r="L1287" s="5">
        <f t="shared" si="483"/>
        <v>9.5890410958904368E-2</v>
      </c>
      <c r="M1287" s="5">
        <f t="shared" si="484"/>
        <v>-0.33112154042982506</v>
      </c>
      <c r="N1287" s="5">
        <f t="shared" si="485"/>
        <v>17.819618242234171</v>
      </c>
      <c r="O1287" s="1">
        <f t="shared" si="486"/>
        <v>0</v>
      </c>
      <c r="P1287" s="1">
        <f t="shared" si="487"/>
        <v>2256.96</v>
      </c>
      <c r="Q1287" s="5">
        <f t="shared" si="488"/>
        <v>9.5890410958904368E-2</v>
      </c>
      <c r="R1287" s="5">
        <f t="shared" si="489"/>
        <v>-0.33112154042982506</v>
      </c>
      <c r="S1287" s="5">
        <f t="shared" ref="S1287:S1350" si="495">BSM_Put(B1287,P1287,F1287,H1287,G1287,Q1287,$F$3)</f>
        <v>17.819618242234171</v>
      </c>
      <c r="T1287" s="5">
        <f t="shared" si="473"/>
        <v>-729.91743803918712</v>
      </c>
      <c r="U1287" s="4">
        <f t="shared" si="474"/>
        <v>1692596.1031205477</v>
      </c>
      <c r="V1287" s="4">
        <f t="shared" si="490"/>
        <v>81.940200389424859</v>
      </c>
      <c r="W1287" s="4">
        <f t="shared" si="475"/>
        <v>1679589.2530263397</v>
      </c>
      <c r="X1287" s="4">
        <f t="shared" si="479"/>
        <v>-680.47213221085258</v>
      </c>
      <c r="Y1287" s="9">
        <f>SUM($X$6:X1287)</f>
        <v>679589.25302633969</v>
      </c>
      <c r="Z1287" s="16">
        <f t="shared" si="480"/>
        <v>0.67958925302633966</v>
      </c>
      <c r="AA1287" s="16">
        <f t="shared" si="476"/>
        <v>0.79518581742439665</v>
      </c>
      <c r="AB1287" s="16">
        <f t="shared" si="477"/>
        <v>-4.0497791635604405E-4</v>
      </c>
      <c r="AC1287" s="16">
        <f t="shared" si="478"/>
        <v>-2.115416423640487E-3</v>
      </c>
    </row>
    <row r="1288" spans="1:29" x14ac:dyDescent="0.15">
      <c r="A1288" s="8">
        <v>42773</v>
      </c>
      <c r="B1288" s="4">
        <v>2293.08</v>
      </c>
      <c r="C1288" s="1">
        <v>11.319699999999999</v>
      </c>
      <c r="D1288" s="1">
        <v>2.12</v>
      </c>
      <c r="E1288" s="1">
        <v>1.0266</v>
      </c>
      <c r="F1288" s="4">
        <f t="shared" si="491"/>
        <v>0.11319699999999999</v>
      </c>
      <c r="G1288" s="4">
        <f t="shared" si="492"/>
        <v>2.12E-2</v>
      </c>
      <c r="H1288" s="4">
        <f t="shared" si="493"/>
        <v>1.0265999999999999E-2</v>
      </c>
      <c r="I1288" s="3">
        <f t="shared" si="494"/>
        <v>54.669592324464411</v>
      </c>
      <c r="J1288" s="4">
        <f t="shared" si="481"/>
        <v>1692596.1031205477</v>
      </c>
      <c r="K1288" s="1">
        <f t="shared" si="482"/>
        <v>2256.96</v>
      </c>
      <c r="L1288" s="5">
        <f t="shared" si="483"/>
        <v>9.3150684931507105E-2</v>
      </c>
      <c r="M1288" s="5">
        <f t="shared" si="484"/>
        <v>-0.32666361030823948</v>
      </c>
      <c r="N1288" s="5">
        <f t="shared" si="485"/>
        <v>17.283298694621145</v>
      </c>
      <c r="O1288" s="1">
        <f t="shared" si="486"/>
        <v>0</v>
      </c>
      <c r="P1288" s="1">
        <f t="shared" si="487"/>
        <v>2256.96</v>
      </c>
      <c r="Q1288" s="5">
        <f t="shared" si="488"/>
        <v>9.3150684931507105E-2</v>
      </c>
      <c r="R1288" s="5">
        <f t="shared" si="489"/>
        <v>-0.32666361030823948</v>
      </c>
      <c r="S1288" s="5">
        <f t="shared" si="495"/>
        <v>17.283298694621145</v>
      </c>
      <c r="T1288" s="5">
        <f t="shared" ref="T1288:T1351" si="496">IF(O1288,-(J1288+IF(L1288&lt;=0.00001, MAX(K1288-B1288,0),N1288)*T1287)/P1288,T1287)</f>
        <v>-729.91743803918712</v>
      </c>
      <c r="U1288" s="4">
        <f t="shared" ref="U1288:U1351" si="497">IF(O1288,(J1288+IF(L1288&lt;=0.00001, MAX(K1288-B1288,0),N1288)*T1287)-(S1288*T1288),U1287)+V1287</f>
        <v>1692678.0433209371</v>
      </c>
      <c r="V1288" s="4">
        <f t="shared" si="490"/>
        <v>27.314722397699505</v>
      </c>
      <c r="W1288" s="4">
        <f t="shared" ref="W1288:W1351" si="498">S1288*T1288+U1288</f>
        <v>1680062.6622168932</v>
      </c>
      <c r="X1288" s="4">
        <f t="shared" si="479"/>
        <v>473.40919055347331</v>
      </c>
      <c r="Y1288" s="9">
        <f>SUM($X$6:X1288)</f>
        <v>680062.66221689316</v>
      </c>
      <c r="Z1288" s="16">
        <f t="shared" si="480"/>
        <v>0.68006266221689315</v>
      </c>
      <c r="AA1288" s="16">
        <f t="shared" ref="AA1288:AA1351" si="499">(B1288-$B$6)/$B$6</f>
        <v>0.79559300267802613</v>
      </c>
      <c r="AB1288" s="16">
        <f t="shared" ref="AB1288:AB1351" si="500">X1288/W1287</f>
        <v>2.8186009746160789E-4</v>
      </c>
      <c r="AC1288" s="16">
        <f t="shared" ref="AC1288:AC1351" si="501">(B1288-B1287)/B1287</f>
        <v>2.2682067208709122E-4</v>
      </c>
    </row>
    <row r="1289" spans="1:29" x14ac:dyDescent="0.15">
      <c r="A1289" s="8">
        <v>42774</v>
      </c>
      <c r="B1289" s="4">
        <v>2294.67</v>
      </c>
      <c r="C1289" s="1">
        <v>11.485900000000001</v>
      </c>
      <c r="D1289" s="1">
        <v>2.12</v>
      </c>
      <c r="E1289" s="1">
        <v>1.0222</v>
      </c>
      <c r="F1289" s="4">
        <f t="shared" si="491"/>
        <v>0.114859</v>
      </c>
      <c r="G1289" s="4">
        <f t="shared" si="492"/>
        <v>2.12E-2</v>
      </c>
      <c r="H1289" s="4">
        <f t="shared" si="493"/>
        <v>1.0222E-2</v>
      </c>
      <c r="I1289" s="3">
        <f t="shared" si="494"/>
        <v>55.476358704621688</v>
      </c>
      <c r="J1289" s="4">
        <f t="shared" si="481"/>
        <v>1692678.0433209371</v>
      </c>
      <c r="K1289" s="1">
        <f t="shared" si="482"/>
        <v>2256.96</v>
      </c>
      <c r="L1289" s="5">
        <f t="shared" si="483"/>
        <v>9.0410958904109842E-2</v>
      </c>
      <c r="M1289" s="5">
        <f t="shared" si="484"/>
        <v>-0.31916470125622753</v>
      </c>
      <c r="N1289" s="5">
        <f t="shared" si="485"/>
        <v>16.741210877446605</v>
      </c>
      <c r="O1289" s="1">
        <f t="shared" si="486"/>
        <v>0</v>
      </c>
      <c r="P1289" s="1">
        <f t="shared" si="487"/>
        <v>2256.96</v>
      </c>
      <c r="Q1289" s="5">
        <f t="shared" si="488"/>
        <v>9.0410958904109842E-2</v>
      </c>
      <c r="R1289" s="5">
        <f t="shared" si="489"/>
        <v>-0.31916470125622753</v>
      </c>
      <c r="S1289" s="5">
        <f t="shared" si="495"/>
        <v>16.741210877446605</v>
      </c>
      <c r="T1289" s="5">
        <f t="shared" si="496"/>
        <v>-729.91743803918712</v>
      </c>
      <c r="U1289" s="4">
        <f t="shared" si="497"/>
        <v>1692705.3580433347</v>
      </c>
      <c r="V1289" s="4">
        <f t="shared" si="490"/>
        <v>27.315163175000659</v>
      </c>
      <c r="W1289" s="4">
        <f t="shared" si="498"/>
        <v>1680485.6562899952</v>
      </c>
      <c r="X1289" s="4">
        <f t="shared" ref="X1289:X1352" si="502">W1289-W1288</f>
        <v>422.99407310201786</v>
      </c>
      <c r="Y1289" s="9">
        <f>SUM($X$6:X1289)</f>
        <v>680485.65628999518</v>
      </c>
      <c r="Z1289" s="16">
        <f t="shared" si="480"/>
        <v>0.68048565628999513</v>
      </c>
      <c r="AA1289" s="16">
        <f t="shared" si="499"/>
        <v>0.79683804989585472</v>
      </c>
      <c r="AB1289" s="16">
        <f t="shared" si="500"/>
        <v>2.5177279551220102E-4</v>
      </c>
      <c r="AC1289" s="16">
        <f t="shared" si="501"/>
        <v>6.9339054895605282E-4</v>
      </c>
    </row>
    <row r="1290" spans="1:29" x14ac:dyDescent="0.15">
      <c r="A1290" s="8">
        <v>42775</v>
      </c>
      <c r="B1290" s="4">
        <v>2307.87</v>
      </c>
      <c r="C1290" s="1">
        <v>11.2995</v>
      </c>
      <c r="D1290" s="1">
        <v>2.11</v>
      </c>
      <c r="E1290" s="1">
        <v>1.0225</v>
      </c>
      <c r="F1290" s="4">
        <f t="shared" si="491"/>
        <v>0.112995</v>
      </c>
      <c r="G1290" s="4">
        <f t="shared" si="492"/>
        <v>2.1099999999999997E-2</v>
      </c>
      <c r="H1290" s="4">
        <f t="shared" si="493"/>
        <v>1.0225E-2</v>
      </c>
      <c r="I1290" s="3">
        <f t="shared" si="494"/>
        <v>54.913254285646964</v>
      </c>
      <c r="J1290" s="4">
        <f t="shared" si="481"/>
        <v>1692705.3580433347</v>
      </c>
      <c r="K1290" s="1">
        <f t="shared" si="482"/>
        <v>2256.96</v>
      </c>
      <c r="L1290" s="5">
        <f t="shared" si="483"/>
        <v>8.7671232876712579E-2</v>
      </c>
      <c r="M1290" s="5">
        <f t="shared" si="484"/>
        <v>-0.25577823653074655</v>
      </c>
      <c r="N1290" s="5">
        <f t="shared" si="485"/>
        <v>12.080152962625085</v>
      </c>
      <c r="O1290" s="1">
        <f t="shared" si="486"/>
        <v>0</v>
      </c>
      <c r="P1290" s="1">
        <f t="shared" si="487"/>
        <v>2256.96</v>
      </c>
      <c r="Q1290" s="5">
        <f t="shared" si="488"/>
        <v>8.7671232876712579E-2</v>
      </c>
      <c r="R1290" s="5">
        <f t="shared" si="489"/>
        <v>-0.25577823653074655</v>
      </c>
      <c r="S1290" s="5">
        <f t="shared" si="495"/>
        <v>12.080152962625085</v>
      </c>
      <c r="T1290" s="5">
        <f t="shared" si="496"/>
        <v>-729.91743803918712</v>
      </c>
      <c r="U1290" s="4">
        <f t="shared" si="497"/>
        <v>1692732.6732065098</v>
      </c>
      <c r="V1290" s="4">
        <f t="shared" si="490"/>
        <v>27.315603959414634</v>
      </c>
      <c r="W1290" s="4">
        <f t="shared" si="498"/>
        <v>1683915.1589049089</v>
      </c>
      <c r="X1290" s="4">
        <f t="shared" si="502"/>
        <v>3429.5026149137411</v>
      </c>
      <c r="Y1290" s="9">
        <f>SUM($X$6:X1290)</f>
        <v>683915.15890490892</v>
      </c>
      <c r="Z1290" s="16">
        <f t="shared" si="480"/>
        <v>0.68391515890490895</v>
      </c>
      <c r="AA1290" s="16">
        <f t="shared" si="499"/>
        <v>0.80717429094952464</v>
      </c>
      <c r="AB1290" s="16">
        <f t="shared" si="500"/>
        <v>2.0407806529482955E-3</v>
      </c>
      <c r="AC1290" s="16">
        <f t="shared" si="501"/>
        <v>5.7524611382027994E-3</v>
      </c>
    </row>
    <row r="1291" spans="1:29" x14ac:dyDescent="0.15">
      <c r="A1291" s="8">
        <v>42776</v>
      </c>
      <c r="B1291" s="4">
        <v>2316.1</v>
      </c>
      <c r="C1291" s="1">
        <v>11.076000000000001</v>
      </c>
      <c r="D1291" s="1">
        <v>2.1</v>
      </c>
      <c r="E1291" s="1">
        <v>1.0247999999999999</v>
      </c>
      <c r="F1291" s="4">
        <f t="shared" si="491"/>
        <v>0.11076000000000001</v>
      </c>
      <c r="G1291" s="4">
        <f t="shared" si="492"/>
        <v>2.1000000000000001E-2</v>
      </c>
      <c r="H1291" s="4">
        <f t="shared" si="493"/>
        <v>1.0248E-2</v>
      </c>
      <c r="I1291" s="3">
        <f t="shared" si="494"/>
        <v>54.047331334481825</v>
      </c>
      <c r="J1291" s="4">
        <f t="shared" si="481"/>
        <v>1692732.6732065098</v>
      </c>
      <c r="K1291" s="1">
        <f t="shared" si="482"/>
        <v>2256.96</v>
      </c>
      <c r="L1291" s="5">
        <f t="shared" si="483"/>
        <v>8.4931506849315316E-2</v>
      </c>
      <c r="M1291" s="5">
        <f t="shared" si="484"/>
        <v>-0.21462067022587075</v>
      </c>
      <c r="N1291" s="5">
        <f t="shared" si="485"/>
        <v>9.2876437300107</v>
      </c>
      <c r="O1291" s="1">
        <f t="shared" si="486"/>
        <v>0</v>
      </c>
      <c r="P1291" s="1">
        <f t="shared" si="487"/>
        <v>2256.96</v>
      </c>
      <c r="Q1291" s="5">
        <f t="shared" si="488"/>
        <v>8.4931506849315316E-2</v>
      </c>
      <c r="R1291" s="5">
        <f t="shared" si="489"/>
        <v>-0.21462067022587075</v>
      </c>
      <c r="S1291" s="5">
        <f t="shared" si="495"/>
        <v>9.2876437300107</v>
      </c>
      <c r="T1291" s="5">
        <f t="shared" si="496"/>
        <v>-729.91743803918712</v>
      </c>
      <c r="U1291" s="4">
        <f t="shared" si="497"/>
        <v>1692759.9888104692</v>
      </c>
      <c r="V1291" s="4">
        <f t="shared" si="490"/>
        <v>27.31604475094154</v>
      </c>
      <c r="W1291" s="4">
        <f t="shared" si="498"/>
        <v>1685980.7756936389</v>
      </c>
      <c r="X1291" s="4">
        <f t="shared" si="502"/>
        <v>2065.6167887300253</v>
      </c>
      <c r="Y1291" s="9">
        <f>SUM($X$6:X1291)</f>
        <v>685980.77569363895</v>
      </c>
      <c r="Z1291" s="16">
        <f t="shared" si="480"/>
        <v>0.68598077569363891</v>
      </c>
      <c r="AA1291" s="16">
        <f t="shared" si="499"/>
        <v>0.81361878063677506</v>
      </c>
      <c r="AB1291" s="16">
        <f t="shared" si="500"/>
        <v>1.226675095717617E-3</v>
      </c>
      <c r="AC1291" s="16">
        <f t="shared" si="501"/>
        <v>3.566058746809837E-3</v>
      </c>
    </row>
    <row r="1292" spans="1:29" x14ac:dyDescent="0.15">
      <c r="A1292" s="8">
        <v>42779</v>
      </c>
      <c r="B1292" s="4">
        <v>2328.25</v>
      </c>
      <c r="C1292" s="1">
        <v>10.8</v>
      </c>
      <c r="D1292" s="1">
        <v>2.09</v>
      </c>
      <c r="E1292" s="1">
        <v>1.0275000000000001</v>
      </c>
      <c r="F1292" s="4">
        <f t="shared" si="491"/>
        <v>0.10800000000000001</v>
      </c>
      <c r="G1292" s="4">
        <f t="shared" si="492"/>
        <v>2.0899999999999998E-2</v>
      </c>
      <c r="H1292" s="4">
        <f t="shared" si="493"/>
        <v>1.0275000000000001E-2</v>
      </c>
      <c r="I1292" s="3">
        <f t="shared" si="494"/>
        <v>53.020123908724187</v>
      </c>
      <c r="J1292" s="4">
        <f t="shared" si="481"/>
        <v>1692759.9888104692</v>
      </c>
      <c r="K1292" s="1">
        <f t="shared" si="482"/>
        <v>2256.96</v>
      </c>
      <c r="L1292" s="5">
        <f t="shared" si="483"/>
        <v>7.6712328767123542E-2</v>
      </c>
      <c r="M1292" s="5">
        <f t="shared" si="484"/>
        <v>-0.15188734170854018</v>
      </c>
      <c r="N1292" s="5">
        <f t="shared" si="485"/>
        <v>5.5724476620367662</v>
      </c>
      <c r="O1292" s="1">
        <f t="shared" si="486"/>
        <v>0</v>
      </c>
      <c r="P1292" s="1">
        <f t="shared" si="487"/>
        <v>2256.96</v>
      </c>
      <c r="Q1292" s="5">
        <f t="shared" si="488"/>
        <v>7.6712328767123542E-2</v>
      </c>
      <c r="R1292" s="5">
        <f t="shared" si="489"/>
        <v>-0.15188734170854018</v>
      </c>
      <c r="S1292" s="5">
        <f t="shared" si="495"/>
        <v>5.5724476620367662</v>
      </c>
      <c r="T1292" s="5">
        <f t="shared" si="496"/>
        <v>-729.91743803918712</v>
      </c>
      <c r="U1292" s="4">
        <f t="shared" si="497"/>
        <v>1692787.30485522</v>
      </c>
      <c r="V1292" s="4">
        <f t="shared" si="490"/>
        <v>81.949456648744487</v>
      </c>
      <c r="W1292" s="4">
        <f t="shared" si="498"/>
        <v>1688719.8781341386</v>
      </c>
      <c r="X1292" s="4">
        <f t="shared" si="502"/>
        <v>2739.1024404997006</v>
      </c>
      <c r="Y1292" s="9">
        <f>SUM($X$6:X1292)</f>
        <v>688719.87813413865</v>
      </c>
      <c r="Z1292" s="16">
        <f t="shared" si="480"/>
        <v>0.6887198781341386</v>
      </c>
      <c r="AA1292" s="16">
        <f t="shared" si="499"/>
        <v>0.82313282069753979</v>
      </c>
      <c r="AB1292" s="16">
        <f t="shared" si="500"/>
        <v>1.6246344442289332E-3</v>
      </c>
      <c r="AC1292" s="16">
        <f t="shared" si="501"/>
        <v>5.2458874832693285E-3</v>
      </c>
    </row>
    <row r="1293" spans="1:29" x14ac:dyDescent="0.15">
      <c r="A1293" s="8">
        <v>42780</v>
      </c>
      <c r="B1293" s="4">
        <v>2337.58</v>
      </c>
      <c r="C1293" s="1">
        <v>10.328099999999999</v>
      </c>
      <c r="D1293" s="1">
        <v>2.08</v>
      </c>
      <c r="E1293" s="1">
        <v>1.0258</v>
      </c>
      <c r="F1293" s="4">
        <f t="shared" si="491"/>
        <v>0.103281</v>
      </c>
      <c r="G1293" s="4">
        <f t="shared" si="492"/>
        <v>2.0799999999999999E-2</v>
      </c>
      <c r="H1293" s="4">
        <f t="shared" si="493"/>
        <v>1.0258E-2</v>
      </c>
      <c r="I1293" s="3">
        <f t="shared" si="494"/>
        <v>51.022945083916888</v>
      </c>
      <c r="J1293" s="4">
        <f t="shared" si="481"/>
        <v>1692787.30485522</v>
      </c>
      <c r="K1293" s="1">
        <f t="shared" si="482"/>
        <v>2256.96</v>
      </c>
      <c r="L1293" s="5">
        <f t="shared" si="483"/>
        <v>7.3972602739726279E-2</v>
      </c>
      <c r="M1293" s="5">
        <f t="shared" si="484"/>
        <v>-0.1081119625329033</v>
      </c>
      <c r="N1293" s="5">
        <f t="shared" si="485"/>
        <v>3.4574637117759384</v>
      </c>
      <c r="O1293" s="1">
        <f t="shared" si="486"/>
        <v>0</v>
      </c>
      <c r="P1293" s="1">
        <f t="shared" si="487"/>
        <v>2256.96</v>
      </c>
      <c r="Q1293" s="5">
        <f t="shared" si="488"/>
        <v>7.3972602739726279E-2</v>
      </c>
      <c r="R1293" s="5">
        <f t="shared" si="489"/>
        <v>-0.1081119625329033</v>
      </c>
      <c r="S1293" s="5">
        <f t="shared" si="495"/>
        <v>3.4574637117759384</v>
      </c>
      <c r="T1293" s="5">
        <f t="shared" si="496"/>
        <v>-729.91743803918712</v>
      </c>
      <c r="U1293" s="4">
        <f t="shared" si="497"/>
        <v>1692869.2543118687</v>
      </c>
      <c r="V1293" s="4">
        <f t="shared" si="490"/>
        <v>27.317807966840835</v>
      </c>
      <c r="W1293" s="4">
        <f t="shared" si="498"/>
        <v>1690345.5912572558</v>
      </c>
      <c r="X1293" s="4">
        <f t="shared" si="502"/>
        <v>1625.7131231171079</v>
      </c>
      <c r="Y1293" s="9">
        <f>SUM($X$6:X1293)</f>
        <v>690345.59125725576</v>
      </c>
      <c r="Z1293" s="16">
        <f t="shared" si="480"/>
        <v>0.69034559125725581</v>
      </c>
      <c r="AA1293" s="16">
        <f t="shared" si="499"/>
        <v>0.83043866380592923</v>
      </c>
      <c r="AB1293" s="16">
        <f t="shared" si="500"/>
        <v>9.6268963501119757E-4</v>
      </c>
      <c r="AC1293" s="16">
        <f t="shared" si="501"/>
        <v>4.0073016213894247E-3</v>
      </c>
    </row>
    <row r="1294" spans="1:29" x14ac:dyDescent="0.15">
      <c r="A1294" s="8">
        <v>42781</v>
      </c>
      <c r="B1294" s="4">
        <v>2349.25</v>
      </c>
      <c r="C1294" s="1">
        <v>10.5413</v>
      </c>
      <c r="D1294" s="1">
        <v>2.0699999999999998</v>
      </c>
      <c r="E1294" s="1">
        <v>1.0302</v>
      </c>
      <c r="F1294" s="4">
        <f t="shared" si="491"/>
        <v>0.10541299999999999</v>
      </c>
      <c r="G1294" s="4">
        <f t="shared" si="492"/>
        <v>2.07E-2</v>
      </c>
      <c r="H1294" s="4">
        <f t="shared" si="493"/>
        <v>1.0302E-2</v>
      </c>
      <c r="I1294" s="3">
        <f t="shared" si="494"/>
        <v>52.226609779977792</v>
      </c>
      <c r="J1294" s="4">
        <f t="shared" si="481"/>
        <v>1692869.2543118687</v>
      </c>
      <c r="K1294" s="1">
        <f t="shared" si="482"/>
        <v>2256.96</v>
      </c>
      <c r="L1294" s="5">
        <f t="shared" si="483"/>
        <v>7.1232876712329016E-2</v>
      </c>
      <c r="M1294" s="5">
        <f t="shared" si="484"/>
        <v>-7.8822234932927157E-2</v>
      </c>
      <c r="N1294" s="5">
        <f t="shared" si="485"/>
        <v>2.3822084389840255</v>
      </c>
      <c r="O1294" s="1">
        <f t="shared" si="486"/>
        <v>0</v>
      </c>
      <c r="P1294" s="1">
        <f t="shared" si="487"/>
        <v>2256.96</v>
      </c>
      <c r="Q1294" s="5">
        <f t="shared" si="488"/>
        <v>7.1232876712329016E-2</v>
      </c>
      <c r="R1294" s="5">
        <f t="shared" si="489"/>
        <v>-7.8822234932927157E-2</v>
      </c>
      <c r="S1294" s="5">
        <f t="shared" si="495"/>
        <v>2.3822084389840255</v>
      </c>
      <c r="T1294" s="5">
        <f t="shared" si="496"/>
        <v>-729.91743803918712</v>
      </c>
      <c r="U1294" s="4">
        <f t="shared" si="497"/>
        <v>1692896.5721198355</v>
      </c>
      <c r="V1294" s="4">
        <f t="shared" si="490"/>
        <v>27.31824879393378</v>
      </c>
      <c r="W1294" s="4">
        <f t="shared" si="498"/>
        <v>1691157.756639177</v>
      </c>
      <c r="X1294" s="4">
        <f t="shared" si="502"/>
        <v>812.16538192122243</v>
      </c>
      <c r="Y1294" s="9">
        <f>SUM($X$6:X1294)</f>
        <v>691157.75663917698</v>
      </c>
      <c r="Z1294" s="16">
        <f t="shared" si="480"/>
        <v>0.691157756639177</v>
      </c>
      <c r="AA1294" s="16">
        <f t="shared" si="499"/>
        <v>0.83957684055565129</v>
      </c>
      <c r="AB1294" s="16">
        <f t="shared" si="500"/>
        <v>4.8047297908893592E-4</v>
      </c>
      <c r="AC1294" s="16">
        <f t="shared" si="501"/>
        <v>4.9923425080639263E-3</v>
      </c>
    </row>
    <row r="1295" spans="1:29" x14ac:dyDescent="0.15">
      <c r="A1295" s="8">
        <v>42782</v>
      </c>
      <c r="B1295" s="4">
        <v>2347.2199999999998</v>
      </c>
      <c r="C1295" s="1">
        <v>10.7676</v>
      </c>
      <c r="D1295" s="1">
        <v>2.08</v>
      </c>
      <c r="E1295" s="1">
        <v>1.0448999999999999</v>
      </c>
      <c r="F1295" s="4">
        <f t="shared" si="491"/>
        <v>0.10767599999999999</v>
      </c>
      <c r="G1295" s="4">
        <f t="shared" si="492"/>
        <v>2.0799999999999999E-2</v>
      </c>
      <c r="H1295" s="4">
        <f t="shared" si="493"/>
        <v>1.0449E-2</v>
      </c>
      <c r="I1295" s="3">
        <f t="shared" si="494"/>
        <v>53.2180026553389</v>
      </c>
      <c r="J1295" s="4">
        <f t="shared" si="481"/>
        <v>1692896.5721198355</v>
      </c>
      <c r="K1295" s="1">
        <f t="shared" si="482"/>
        <v>2256.96</v>
      </c>
      <c r="L1295" s="5">
        <f t="shared" si="483"/>
        <v>6.8493150684931753E-2</v>
      </c>
      <c r="M1295" s="5">
        <f t="shared" si="484"/>
        <v>-8.3606262290442421E-2</v>
      </c>
      <c r="N1295" s="5">
        <f t="shared" si="485"/>
        <v>2.557239333530843</v>
      </c>
      <c r="O1295" s="1">
        <f t="shared" si="486"/>
        <v>0</v>
      </c>
      <c r="P1295" s="1">
        <f t="shared" si="487"/>
        <v>2256.96</v>
      </c>
      <c r="Q1295" s="5">
        <f t="shared" si="488"/>
        <v>6.8493150684931753E-2</v>
      </c>
      <c r="R1295" s="5">
        <f t="shared" si="489"/>
        <v>-8.3606262290442421E-2</v>
      </c>
      <c r="S1295" s="5">
        <f t="shared" si="495"/>
        <v>2.557239333530843</v>
      </c>
      <c r="T1295" s="5">
        <f t="shared" si="496"/>
        <v>-729.91743803918712</v>
      </c>
      <c r="U1295" s="4">
        <f t="shared" si="497"/>
        <v>1692923.8903686295</v>
      </c>
      <c r="V1295" s="4">
        <f t="shared" si="490"/>
        <v>27.318689628140348</v>
      </c>
      <c r="W1295" s="4">
        <f t="shared" si="498"/>
        <v>1691057.3167858457</v>
      </c>
      <c r="X1295" s="4">
        <f t="shared" si="502"/>
        <v>-100.43985333130695</v>
      </c>
      <c r="Y1295" s="9">
        <f>SUM($X$6:X1295)</f>
        <v>691057.31678584567</v>
      </c>
      <c r="Z1295" s="16">
        <f t="shared" si="480"/>
        <v>0.6910573167858457</v>
      </c>
      <c r="AA1295" s="16">
        <f t="shared" si="499"/>
        <v>0.83798725196936708</v>
      </c>
      <c r="AB1295" s="16">
        <f t="shared" si="500"/>
        <v>-5.9391179171191095E-5</v>
      </c>
      <c r="AC1295" s="16">
        <f t="shared" si="501"/>
        <v>-8.6410556560612964E-4</v>
      </c>
    </row>
    <row r="1296" spans="1:29" x14ac:dyDescent="0.15">
      <c r="A1296" s="8">
        <v>42783</v>
      </c>
      <c r="B1296" s="4">
        <v>2351.16</v>
      </c>
      <c r="C1296" s="1">
        <v>10.8355</v>
      </c>
      <c r="D1296" s="1">
        <v>2.0699999999999998</v>
      </c>
      <c r="E1296" s="1">
        <v>1.0407999999999999</v>
      </c>
      <c r="F1296" s="4">
        <f t="shared" si="491"/>
        <v>0.10835499999999999</v>
      </c>
      <c r="G1296" s="4">
        <f t="shared" si="492"/>
        <v>2.07E-2</v>
      </c>
      <c r="H1296" s="4">
        <f t="shared" si="493"/>
        <v>1.0407999999999999E-2</v>
      </c>
      <c r="I1296" s="3">
        <f t="shared" si="494"/>
        <v>53.606689773385888</v>
      </c>
      <c r="J1296" s="4">
        <f t="shared" si="481"/>
        <v>1692923.8903686295</v>
      </c>
      <c r="K1296" s="1">
        <f t="shared" si="482"/>
        <v>2256.96</v>
      </c>
      <c r="L1296" s="5">
        <f t="shared" si="483"/>
        <v>6.575342465753449E-2</v>
      </c>
      <c r="M1296" s="5">
        <f t="shared" si="484"/>
        <v>-7.1881971288009369E-2</v>
      </c>
      <c r="N1296" s="5">
        <f t="shared" si="485"/>
        <v>2.1105758883909451</v>
      </c>
      <c r="O1296" s="1">
        <f t="shared" si="486"/>
        <v>0</v>
      </c>
      <c r="P1296" s="1">
        <f t="shared" si="487"/>
        <v>2256.96</v>
      </c>
      <c r="Q1296" s="5">
        <f t="shared" si="488"/>
        <v>6.575342465753449E-2</v>
      </c>
      <c r="R1296" s="5">
        <f t="shared" si="489"/>
        <v>-7.1881971288009369E-2</v>
      </c>
      <c r="S1296" s="5">
        <f t="shared" si="495"/>
        <v>2.1105758883909451</v>
      </c>
      <c r="T1296" s="5">
        <f t="shared" si="496"/>
        <v>-729.91743803918712</v>
      </c>
      <c r="U1296" s="4">
        <f t="shared" si="497"/>
        <v>1692951.2090582575</v>
      </c>
      <c r="V1296" s="4">
        <f t="shared" si="490"/>
        <v>27.319130469460646</v>
      </c>
      <c r="W1296" s="4">
        <f t="shared" si="498"/>
        <v>1691410.6629130158</v>
      </c>
      <c r="X1296" s="4">
        <f t="shared" si="502"/>
        <v>353.34612717013806</v>
      </c>
      <c r="Y1296" s="9">
        <f>SUM($X$6:X1296)</f>
        <v>691410.66291301581</v>
      </c>
      <c r="Z1296" s="16">
        <f t="shared" si="480"/>
        <v>0.69141066291301578</v>
      </c>
      <c r="AA1296" s="16">
        <f t="shared" si="499"/>
        <v>0.84107246331417473</v>
      </c>
      <c r="AB1296" s="16">
        <f t="shared" si="500"/>
        <v>2.0894982308567462E-4</v>
      </c>
      <c r="AC1296" s="16">
        <f t="shared" si="501"/>
        <v>1.6785814708463864E-3</v>
      </c>
    </row>
    <row r="1297" spans="1:29" x14ac:dyDescent="0.15">
      <c r="A1297" s="8">
        <v>42787</v>
      </c>
      <c r="B1297" s="4">
        <v>2365.38</v>
      </c>
      <c r="C1297" s="1">
        <v>11.1294</v>
      </c>
      <c r="D1297" s="1">
        <v>2.06</v>
      </c>
      <c r="E1297" s="1">
        <v>1.0417000000000001</v>
      </c>
      <c r="F1297" s="4">
        <f t="shared" si="491"/>
        <v>0.111294</v>
      </c>
      <c r="G1297" s="4">
        <f t="shared" si="492"/>
        <v>2.06E-2</v>
      </c>
      <c r="H1297" s="4">
        <f t="shared" si="493"/>
        <v>1.0417000000000001E-2</v>
      </c>
      <c r="I1297" s="3">
        <f t="shared" si="494"/>
        <v>55.275751158397838</v>
      </c>
      <c r="J1297" s="4">
        <f t="shared" si="481"/>
        <v>1692951.2090582575</v>
      </c>
      <c r="K1297" s="1">
        <f t="shared" si="482"/>
        <v>2256.96</v>
      </c>
      <c r="L1297" s="5">
        <f t="shared" si="483"/>
        <v>5.4794520547945452E-2</v>
      </c>
      <c r="M1297" s="5">
        <f t="shared" si="484"/>
        <v>-3.6475550706445155E-2</v>
      </c>
      <c r="N1297" s="5">
        <f t="shared" si="485"/>
        <v>0.90360933415185107</v>
      </c>
      <c r="O1297" s="1">
        <f t="shared" si="486"/>
        <v>1</v>
      </c>
      <c r="P1297" s="1">
        <f t="shared" si="487"/>
        <v>2365.38</v>
      </c>
      <c r="Q1297" s="5">
        <f t="shared" si="488"/>
        <v>0.24931506849315069</v>
      </c>
      <c r="R1297" s="5">
        <f t="shared" si="489"/>
        <v>-0.50454279408640068</v>
      </c>
      <c r="S1297" s="5">
        <f t="shared" si="495"/>
        <v>55.275751158397838</v>
      </c>
      <c r="T1297" s="5">
        <f t="shared" si="496"/>
        <v>-715.44176785467243</v>
      </c>
      <c r="U1297" s="4">
        <f t="shared" si="497"/>
        <v>1731865.5491068137</v>
      </c>
      <c r="V1297" s="4">
        <f t="shared" si="490"/>
        <v>111.78836256700417</v>
      </c>
      <c r="W1297" s="4">
        <f t="shared" si="498"/>
        <v>1692318.9679785545</v>
      </c>
      <c r="X1297" s="4">
        <f t="shared" si="502"/>
        <v>908.3050655387342</v>
      </c>
      <c r="Y1297" s="9">
        <f>SUM($X$6:X1297)</f>
        <v>692318.96797855454</v>
      </c>
      <c r="Z1297" s="16">
        <f t="shared" si="480"/>
        <v>0.69231896797855452</v>
      </c>
      <c r="AA1297" s="16">
        <f t="shared" si="499"/>
        <v>0.8522074139038105</v>
      </c>
      <c r="AB1297" s="16">
        <f t="shared" si="500"/>
        <v>5.3701036977880608E-4</v>
      </c>
      <c r="AC1297" s="16">
        <f t="shared" si="501"/>
        <v>6.048078395345385E-3</v>
      </c>
    </row>
    <row r="1298" spans="1:29" x14ac:dyDescent="0.15">
      <c r="A1298" s="8">
        <v>42788</v>
      </c>
      <c r="B1298" s="4">
        <v>2362.8200000000002</v>
      </c>
      <c r="C1298" s="1">
        <v>11.4343</v>
      </c>
      <c r="D1298" s="1">
        <v>2.0699999999999998</v>
      </c>
      <c r="E1298" s="1">
        <v>1.0423</v>
      </c>
      <c r="F1298" s="4">
        <f t="shared" si="491"/>
        <v>0.114343</v>
      </c>
      <c r="G1298" s="4">
        <f t="shared" si="492"/>
        <v>2.07E-2</v>
      </c>
      <c r="H1298" s="4">
        <f t="shared" si="493"/>
        <v>1.0423E-2</v>
      </c>
      <c r="I1298" s="3">
        <f t="shared" si="494"/>
        <v>56.671253966845349</v>
      </c>
      <c r="J1298" s="4">
        <f t="shared" si="481"/>
        <v>1731865.5491068137</v>
      </c>
      <c r="K1298" s="1">
        <f t="shared" si="482"/>
        <v>2365.38</v>
      </c>
      <c r="L1298" s="5">
        <f t="shared" si="483"/>
        <v>0.24657534246575344</v>
      </c>
      <c r="M1298" s="5">
        <f t="shared" si="484"/>
        <v>-0.511467627907776</v>
      </c>
      <c r="N1298" s="5">
        <f t="shared" si="485"/>
        <v>57.705099492700981</v>
      </c>
      <c r="O1298" s="1">
        <f t="shared" si="486"/>
        <v>0</v>
      </c>
      <c r="P1298" s="1">
        <f t="shared" si="487"/>
        <v>2365.38</v>
      </c>
      <c r="Q1298" s="5">
        <f t="shared" si="488"/>
        <v>0.24657534246575344</v>
      </c>
      <c r="R1298" s="5">
        <f t="shared" si="489"/>
        <v>-0.511467627907776</v>
      </c>
      <c r="S1298" s="5">
        <f t="shared" si="495"/>
        <v>57.705099492700981</v>
      </c>
      <c r="T1298" s="5">
        <f t="shared" si="496"/>
        <v>-715.44176785467243</v>
      </c>
      <c r="U1298" s="4">
        <f t="shared" si="497"/>
        <v>1731977.3374693808</v>
      </c>
      <c r="V1298" s="4">
        <f t="shared" si="490"/>
        <v>27.948894569026443</v>
      </c>
      <c r="W1298" s="4">
        <f t="shared" si="498"/>
        <v>1690692.699074093</v>
      </c>
      <c r="X1298" s="4">
        <f t="shared" si="502"/>
        <v>-1626.2689044615254</v>
      </c>
      <c r="Y1298" s="9">
        <f>SUM($X$6:X1298)</f>
        <v>690692.69907409302</v>
      </c>
      <c r="Z1298" s="16">
        <f t="shared" ref="Z1298:Z1361" si="503">Y1298/$H$3</f>
        <v>0.69069269907409303</v>
      </c>
      <c r="AA1298" s="16">
        <f t="shared" si="499"/>
        <v>0.85020280957825023</v>
      </c>
      <c r="AB1298" s="16">
        <f t="shared" si="500"/>
        <v>-9.6097067706100059E-4</v>
      </c>
      <c r="AC1298" s="16">
        <f t="shared" si="501"/>
        <v>-1.0822785345271986E-3</v>
      </c>
    </row>
    <row r="1299" spans="1:29" x14ac:dyDescent="0.15">
      <c r="A1299" s="8">
        <v>42789</v>
      </c>
      <c r="B1299" s="4">
        <v>2363.81</v>
      </c>
      <c r="C1299" s="1">
        <v>11.758699999999999</v>
      </c>
      <c r="D1299" s="1">
        <v>2.06</v>
      </c>
      <c r="E1299" s="1">
        <v>1.0409999999999999</v>
      </c>
      <c r="F1299" s="4">
        <f t="shared" si="491"/>
        <v>0.117587</v>
      </c>
      <c r="G1299" s="4">
        <f t="shared" si="492"/>
        <v>2.06E-2</v>
      </c>
      <c r="H1299" s="4">
        <f t="shared" si="493"/>
        <v>1.0409999999999999E-2</v>
      </c>
      <c r="I1299" s="3">
        <f t="shared" si="494"/>
        <v>58.188842921458544</v>
      </c>
      <c r="J1299" s="4">
        <f t="shared" si="481"/>
        <v>1731977.3374693808</v>
      </c>
      <c r="K1299" s="1">
        <f t="shared" si="482"/>
        <v>2365.38</v>
      </c>
      <c r="L1299" s="5">
        <f t="shared" si="483"/>
        <v>0.24383561643835619</v>
      </c>
      <c r="M1299" s="5">
        <f t="shared" si="484"/>
        <v>-0.5074947184875177</v>
      </c>
      <c r="N1299" s="5">
        <f t="shared" si="485"/>
        <v>58.348507706544382</v>
      </c>
      <c r="O1299" s="1">
        <f t="shared" si="486"/>
        <v>0</v>
      </c>
      <c r="P1299" s="1">
        <f t="shared" si="487"/>
        <v>2365.38</v>
      </c>
      <c r="Q1299" s="5">
        <f t="shared" si="488"/>
        <v>0.24383561643835619</v>
      </c>
      <c r="R1299" s="5">
        <f t="shared" si="489"/>
        <v>-0.5074947184875177</v>
      </c>
      <c r="S1299" s="5">
        <f t="shared" si="495"/>
        <v>58.348507706544382</v>
      </c>
      <c r="T1299" s="5">
        <f t="shared" si="496"/>
        <v>-715.44176785467243</v>
      </c>
      <c r="U1299" s="4">
        <f t="shared" si="497"/>
        <v>1732005.2863639498</v>
      </c>
      <c r="V1299" s="4">
        <f t="shared" si="490"/>
        <v>27.949345579955239</v>
      </c>
      <c r="W1299" s="4">
        <f t="shared" si="498"/>
        <v>1690260.3268586977</v>
      </c>
      <c r="X1299" s="4">
        <f t="shared" si="502"/>
        <v>-432.37221539532766</v>
      </c>
      <c r="Y1299" s="9">
        <f>SUM($X$6:X1299)</f>
        <v>690260.32685869769</v>
      </c>
      <c r="Z1299" s="16">
        <f t="shared" si="503"/>
        <v>0.69026032685869765</v>
      </c>
      <c r="AA1299" s="16">
        <f t="shared" si="499"/>
        <v>0.85097802765727537</v>
      </c>
      <c r="AB1299" s="16">
        <f t="shared" si="500"/>
        <v>-2.5573672591838606E-4</v>
      </c>
      <c r="AC1299" s="16">
        <f t="shared" si="501"/>
        <v>4.1899086684545658E-4</v>
      </c>
    </row>
    <row r="1300" spans="1:29" x14ac:dyDescent="0.15">
      <c r="A1300" s="8">
        <v>42790</v>
      </c>
      <c r="B1300" s="4">
        <v>2367.34</v>
      </c>
      <c r="C1300" s="1">
        <v>11.855700000000001</v>
      </c>
      <c r="D1300" s="1">
        <v>2.06</v>
      </c>
      <c r="E1300" s="1">
        <v>1.0427</v>
      </c>
      <c r="F1300" s="4">
        <f t="shared" si="491"/>
        <v>0.11855700000000001</v>
      </c>
      <c r="G1300" s="4">
        <f t="shared" si="492"/>
        <v>2.06E-2</v>
      </c>
      <c r="H1300" s="4">
        <f t="shared" si="493"/>
        <v>1.0426999999999999E-2</v>
      </c>
      <c r="I1300" s="3">
        <f t="shared" si="494"/>
        <v>58.725482623755113</v>
      </c>
      <c r="J1300" s="4">
        <f t="shared" si="481"/>
        <v>1732005.2863639498</v>
      </c>
      <c r="K1300" s="1">
        <f t="shared" si="482"/>
        <v>2365.38</v>
      </c>
      <c r="L1300" s="5">
        <f t="shared" si="483"/>
        <v>0.24109589041095894</v>
      </c>
      <c r="M1300" s="5">
        <f t="shared" si="484"/>
        <v>-0.49704551977551603</v>
      </c>
      <c r="N1300" s="5">
        <f t="shared" si="485"/>
        <v>56.678928804635525</v>
      </c>
      <c r="O1300" s="1">
        <f t="shared" si="486"/>
        <v>0</v>
      </c>
      <c r="P1300" s="1">
        <f t="shared" si="487"/>
        <v>2365.38</v>
      </c>
      <c r="Q1300" s="5">
        <f t="shared" si="488"/>
        <v>0.24109589041095894</v>
      </c>
      <c r="R1300" s="5">
        <f t="shared" si="489"/>
        <v>-0.49704551977551603</v>
      </c>
      <c r="S1300" s="5">
        <f t="shared" si="495"/>
        <v>56.678928804635525</v>
      </c>
      <c r="T1300" s="5">
        <f t="shared" si="496"/>
        <v>-715.44176785467243</v>
      </c>
      <c r="U1300" s="4">
        <f t="shared" si="497"/>
        <v>1732033.2357095298</v>
      </c>
      <c r="V1300" s="4">
        <f t="shared" si="490"/>
        <v>27.949796598161999</v>
      </c>
      <c r="W1300" s="4">
        <f t="shared" si="498"/>
        <v>1691482.7626854323</v>
      </c>
      <c r="X1300" s="4">
        <f t="shared" si="502"/>
        <v>1222.4358267346397</v>
      </c>
      <c r="Y1300" s="9">
        <f>SUM($X$6:X1300)</f>
        <v>691482.76268543233</v>
      </c>
      <c r="Z1300" s="16">
        <f t="shared" si="503"/>
        <v>0.6914827626854323</v>
      </c>
      <c r="AA1300" s="16">
        <f t="shared" si="499"/>
        <v>0.85374218909056754</v>
      </c>
      <c r="AB1300" s="16">
        <f t="shared" si="500"/>
        <v>7.2322340370285039E-4</v>
      </c>
      <c r="AC1300" s="16">
        <f t="shared" si="501"/>
        <v>1.4933518345383937E-3</v>
      </c>
    </row>
    <row r="1301" spans="1:29" x14ac:dyDescent="0.15">
      <c r="A1301" s="8">
        <v>42793</v>
      </c>
      <c r="B1301" s="4">
        <v>2369.75</v>
      </c>
      <c r="C1301" s="1">
        <v>12.1259</v>
      </c>
      <c r="D1301" s="1">
        <v>2.06</v>
      </c>
      <c r="E1301" s="1">
        <v>1.0780000000000001</v>
      </c>
      <c r="F1301" s="4">
        <f t="shared" si="491"/>
        <v>0.12125899999999999</v>
      </c>
      <c r="G1301" s="4">
        <f t="shared" si="492"/>
        <v>2.06E-2</v>
      </c>
      <c r="H1301" s="4">
        <f t="shared" si="493"/>
        <v>1.0780000000000001E-2</v>
      </c>
      <c r="I1301" s="3">
        <f t="shared" si="494"/>
        <v>59.944183690517391</v>
      </c>
      <c r="J1301" s="4">
        <f t="shared" si="481"/>
        <v>1732033.2357095298</v>
      </c>
      <c r="K1301" s="1">
        <f t="shared" si="482"/>
        <v>2365.38</v>
      </c>
      <c r="L1301" s="5">
        <f t="shared" si="483"/>
        <v>0.23287671232876717</v>
      </c>
      <c r="M1301" s="5">
        <f t="shared" si="484"/>
        <v>-0.48898399797614339</v>
      </c>
      <c r="N1301" s="5">
        <f t="shared" si="485"/>
        <v>55.582273660139734</v>
      </c>
      <c r="O1301" s="1">
        <f t="shared" si="486"/>
        <v>0</v>
      </c>
      <c r="P1301" s="1">
        <f t="shared" si="487"/>
        <v>2365.38</v>
      </c>
      <c r="Q1301" s="5">
        <f t="shared" si="488"/>
        <v>0.23287671232876717</v>
      </c>
      <c r="R1301" s="5">
        <f t="shared" si="489"/>
        <v>-0.48898399797614339</v>
      </c>
      <c r="S1301" s="5">
        <f t="shared" si="495"/>
        <v>55.582273660139734</v>
      </c>
      <c r="T1301" s="5">
        <f t="shared" si="496"/>
        <v>-715.44176785467243</v>
      </c>
      <c r="U1301" s="4">
        <f t="shared" si="497"/>
        <v>1732061.185506128</v>
      </c>
      <c r="V1301" s="4">
        <f t="shared" si="490"/>
        <v>83.850742870940493</v>
      </c>
      <c r="W1301" s="4">
        <f t="shared" si="498"/>
        <v>1692295.3053773355</v>
      </c>
      <c r="X1301" s="4">
        <f t="shared" si="502"/>
        <v>812.54269190318882</v>
      </c>
      <c r="Y1301" s="9">
        <f>SUM($X$6:X1301)</f>
        <v>692295.30537733552</v>
      </c>
      <c r="Z1301" s="16">
        <f t="shared" si="503"/>
        <v>0.69229530537733552</v>
      </c>
      <c r="AA1301" s="16">
        <f t="shared" si="499"/>
        <v>0.855629336131427</v>
      </c>
      <c r="AB1301" s="16">
        <f t="shared" si="500"/>
        <v>4.8037302526995874E-4</v>
      </c>
      <c r="AC1301" s="16">
        <f t="shared" si="501"/>
        <v>1.0180202252316332E-3</v>
      </c>
    </row>
    <row r="1302" spans="1:29" x14ac:dyDescent="0.15">
      <c r="A1302" s="8">
        <v>42794</v>
      </c>
      <c r="B1302" s="4">
        <v>2363.64</v>
      </c>
      <c r="C1302" s="1">
        <v>12.5</v>
      </c>
      <c r="D1302" s="1">
        <v>2.06</v>
      </c>
      <c r="E1302" s="1">
        <v>1.0875999999999999</v>
      </c>
      <c r="F1302" s="4">
        <f t="shared" si="491"/>
        <v>0.125</v>
      </c>
      <c r="G1302" s="4">
        <f t="shared" si="492"/>
        <v>2.06E-2</v>
      </c>
      <c r="H1302" s="4">
        <f t="shared" si="493"/>
        <v>1.0875999999999999E-2</v>
      </c>
      <c r="I1302" s="3">
        <f t="shared" si="494"/>
        <v>61.512123850460334</v>
      </c>
      <c r="J1302" s="4">
        <f t="shared" si="481"/>
        <v>1732061.185506128</v>
      </c>
      <c r="K1302" s="1">
        <f t="shared" si="482"/>
        <v>2365.38</v>
      </c>
      <c r="L1302" s="5">
        <f t="shared" si="483"/>
        <v>0.23013698630136992</v>
      </c>
      <c r="M1302" s="5">
        <f t="shared" si="484"/>
        <v>-0.50542003374708222</v>
      </c>
      <c r="N1302" s="5">
        <f t="shared" si="485"/>
        <v>59.925236109496602</v>
      </c>
      <c r="O1302" s="1">
        <f t="shared" si="486"/>
        <v>0</v>
      </c>
      <c r="P1302" s="1">
        <f t="shared" si="487"/>
        <v>2365.38</v>
      </c>
      <c r="Q1302" s="5">
        <f t="shared" si="488"/>
        <v>0.23013698630136992</v>
      </c>
      <c r="R1302" s="5">
        <f t="shared" si="489"/>
        <v>-0.50542003374708222</v>
      </c>
      <c r="S1302" s="5">
        <f t="shared" si="495"/>
        <v>59.925236109496602</v>
      </c>
      <c r="T1302" s="5">
        <f t="shared" si="496"/>
        <v>-715.44176785467243</v>
      </c>
      <c r="U1302" s="4">
        <f t="shared" si="497"/>
        <v>1732145.0362489989</v>
      </c>
      <c r="V1302" s="4">
        <f t="shared" si="490"/>
        <v>27.951600721935897</v>
      </c>
      <c r="W1302" s="4">
        <f t="shared" si="498"/>
        <v>1689272.019387712</v>
      </c>
      <c r="X1302" s="4">
        <f t="shared" si="502"/>
        <v>-3023.2859896235168</v>
      </c>
      <c r="Y1302" s="9">
        <f>SUM($X$6:X1302)</f>
        <v>689272.019387712</v>
      </c>
      <c r="Z1302" s="16">
        <f t="shared" si="503"/>
        <v>0.68927201938771199</v>
      </c>
      <c r="AA1302" s="16">
        <f t="shared" si="499"/>
        <v>0.8508449094012811</v>
      </c>
      <c r="AB1302" s="16">
        <f t="shared" si="500"/>
        <v>-1.7865002520641082E-3</v>
      </c>
      <c r="AC1302" s="16">
        <f t="shared" si="501"/>
        <v>-2.5783310475789123E-3</v>
      </c>
    </row>
    <row r="1303" spans="1:29" x14ac:dyDescent="0.15">
      <c r="A1303" s="8">
        <v>42795</v>
      </c>
      <c r="B1303" s="4">
        <v>2395.96</v>
      </c>
      <c r="C1303" s="1">
        <v>12.1189</v>
      </c>
      <c r="D1303" s="1">
        <v>2.0299999999999998</v>
      </c>
      <c r="E1303" s="1">
        <v>1.1165</v>
      </c>
      <c r="F1303" s="4">
        <f t="shared" si="491"/>
        <v>0.12118900000000001</v>
      </c>
      <c r="G1303" s="4">
        <f t="shared" si="492"/>
        <v>2.0299999999999999E-2</v>
      </c>
      <c r="H1303" s="4">
        <f t="shared" si="493"/>
        <v>1.1165000000000001E-2</v>
      </c>
      <c r="I1303" s="3">
        <f t="shared" si="494"/>
        <v>60.363160912120499</v>
      </c>
      <c r="J1303" s="4">
        <f t="shared" si="481"/>
        <v>1732145.0362489989</v>
      </c>
      <c r="K1303" s="1">
        <f t="shared" si="482"/>
        <v>2365.38</v>
      </c>
      <c r="L1303" s="5">
        <f t="shared" si="483"/>
        <v>0.22739726027397267</v>
      </c>
      <c r="M1303" s="5">
        <f t="shared" si="484"/>
        <v>-0.41288593234916648</v>
      </c>
      <c r="N1303" s="5">
        <f t="shared" si="485"/>
        <v>42.857141674807579</v>
      </c>
      <c r="O1303" s="1">
        <f t="shared" si="486"/>
        <v>0</v>
      </c>
      <c r="P1303" s="1">
        <f t="shared" si="487"/>
        <v>2365.38</v>
      </c>
      <c r="Q1303" s="5">
        <f t="shared" si="488"/>
        <v>0.22739726027397267</v>
      </c>
      <c r="R1303" s="5">
        <f t="shared" si="489"/>
        <v>-0.41288593234916648</v>
      </c>
      <c r="S1303" s="5">
        <f t="shared" si="495"/>
        <v>42.857141674807579</v>
      </c>
      <c r="T1303" s="5">
        <f t="shared" si="496"/>
        <v>-715.44176785467243</v>
      </c>
      <c r="U1303" s="4">
        <f t="shared" si="497"/>
        <v>1732172.987849721</v>
      </c>
      <c r="V1303" s="4">
        <f t="shared" si="490"/>
        <v>27.95205177653385</v>
      </c>
      <c r="W1303" s="4">
        <f t="shared" si="498"/>
        <v>1701511.1986446986</v>
      </c>
      <c r="X1303" s="4">
        <f t="shared" si="502"/>
        <v>12239.179256986594</v>
      </c>
      <c r="Y1303" s="9">
        <f>SUM($X$6:X1303)</f>
        <v>701511.1986446986</v>
      </c>
      <c r="Z1303" s="16">
        <f t="shared" si="503"/>
        <v>0.70151119864469857</v>
      </c>
      <c r="AA1303" s="16">
        <f t="shared" si="499"/>
        <v>0.87615303901147956</v>
      </c>
      <c r="AB1303" s="16">
        <f t="shared" si="500"/>
        <v>7.2452388463894448E-3</v>
      </c>
      <c r="AC1303" s="16">
        <f t="shared" si="501"/>
        <v>1.3673825117192197E-2</v>
      </c>
    </row>
    <row r="1304" spans="1:29" x14ac:dyDescent="0.15">
      <c r="A1304" s="8">
        <v>42796</v>
      </c>
      <c r="B1304" s="4">
        <v>2381.92</v>
      </c>
      <c r="C1304" s="1">
        <v>12.1561</v>
      </c>
      <c r="D1304" s="1">
        <v>2.0499999999999998</v>
      </c>
      <c r="E1304" s="1">
        <v>1.1244000000000001</v>
      </c>
      <c r="F1304" s="4">
        <f t="shared" si="491"/>
        <v>0.121561</v>
      </c>
      <c r="G1304" s="4">
        <f t="shared" si="492"/>
        <v>2.0499999999999997E-2</v>
      </c>
      <c r="H1304" s="4">
        <f t="shared" si="493"/>
        <v>1.1244000000000001E-2</v>
      </c>
      <c r="I1304" s="3">
        <f t="shared" si="494"/>
        <v>60.219820763624483</v>
      </c>
      <c r="J1304" s="4">
        <f t="shared" si="481"/>
        <v>1732172.987849721</v>
      </c>
      <c r="K1304" s="1">
        <f t="shared" si="482"/>
        <v>2365.38</v>
      </c>
      <c r="L1304" s="5">
        <f t="shared" si="483"/>
        <v>0.22465753424657542</v>
      </c>
      <c r="M1304" s="5">
        <f t="shared" si="484"/>
        <v>-0.45266514534550711</v>
      </c>
      <c r="N1304" s="5">
        <f t="shared" si="485"/>
        <v>48.773074673319094</v>
      </c>
      <c r="O1304" s="1">
        <f t="shared" si="486"/>
        <v>0</v>
      </c>
      <c r="P1304" s="1">
        <f t="shared" si="487"/>
        <v>2365.38</v>
      </c>
      <c r="Q1304" s="5">
        <f t="shared" si="488"/>
        <v>0.22465753424657542</v>
      </c>
      <c r="R1304" s="5">
        <f t="shared" si="489"/>
        <v>-0.45266514534550711</v>
      </c>
      <c r="S1304" s="5">
        <f t="shared" si="495"/>
        <v>48.773074673319094</v>
      </c>
      <c r="T1304" s="5">
        <f t="shared" si="496"/>
        <v>-715.44176785467243</v>
      </c>
      <c r="U1304" s="4">
        <f t="shared" si="497"/>
        <v>1732200.9399014974</v>
      </c>
      <c r="V1304" s="4">
        <f t="shared" si="490"/>
        <v>27.952502838410464</v>
      </c>
      <c r="W1304" s="4">
        <f t="shared" si="498"/>
        <v>1697306.64513351</v>
      </c>
      <c r="X1304" s="4">
        <f t="shared" si="502"/>
        <v>-4204.5535111885983</v>
      </c>
      <c r="Y1304" s="9">
        <f>SUM($X$6:X1304)</f>
        <v>697306.64513351</v>
      </c>
      <c r="Z1304" s="16">
        <f t="shared" si="503"/>
        <v>0.69730664513351004</v>
      </c>
      <c r="AA1304" s="16">
        <f t="shared" si="499"/>
        <v>0.86515903716348497</v>
      </c>
      <c r="AB1304" s="16">
        <f t="shared" si="500"/>
        <v>-2.4710701372624776E-3</v>
      </c>
      <c r="AC1304" s="16">
        <f t="shared" si="501"/>
        <v>-5.8598641045760208E-3</v>
      </c>
    </row>
    <row r="1305" spans="1:29" x14ac:dyDescent="0.15">
      <c r="A1305" s="8">
        <v>42797</v>
      </c>
      <c r="B1305" s="4">
        <v>2383.12</v>
      </c>
      <c r="C1305" s="1">
        <v>11.693099999999999</v>
      </c>
      <c r="D1305" s="1">
        <v>2.04</v>
      </c>
      <c r="E1305" s="1">
        <v>1.1262000000000001</v>
      </c>
      <c r="F1305" s="4">
        <f t="shared" si="491"/>
        <v>0.11693099999999999</v>
      </c>
      <c r="G1305" s="4">
        <f t="shared" si="492"/>
        <v>2.0400000000000001E-2</v>
      </c>
      <c r="H1305" s="4">
        <f t="shared" si="493"/>
        <v>1.1262000000000001E-2</v>
      </c>
      <c r="I1305" s="3">
        <f t="shared" si="494"/>
        <v>58.028118919013167</v>
      </c>
      <c r="J1305" s="4">
        <f t="shared" si="481"/>
        <v>1732200.9399014974</v>
      </c>
      <c r="K1305" s="1">
        <f t="shared" si="482"/>
        <v>2365.38</v>
      </c>
      <c r="L1305" s="5">
        <f t="shared" si="483"/>
        <v>0.22191780821917817</v>
      </c>
      <c r="M1305" s="5">
        <f t="shared" si="484"/>
        <v>-0.4476871954978377</v>
      </c>
      <c r="N1305" s="5">
        <f t="shared" si="485"/>
        <v>45.798878493919354</v>
      </c>
      <c r="O1305" s="1">
        <f t="shared" si="486"/>
        <v>0</v>
      </c>
      <c r="P1305" s="1">
        <f t="shared" si="487"/>
        <v>2365.38</v>
      </c>
      <c r="Q1305" s="5">
        <f t="shared" si="488"/>
        <v>0.22191780821917817</v>
      </c>
      <c r="R1305" s="5">
        <f t="shared" si="489"/>
        <v>-0.4476871954978377</v>
      </c>
      <c r="S1305" s="5">
        <f t="shared" si="495"/>
        <v>45.798878493919354</v>
      </c>
      <c r="T1305" s="5">
        <f t="shared" si="496"/>
        <v>-715.44176785467243</v>
      </c>
      <c r="U1305" s="4">
        <f t="shared" si="497"/>
        <v>1732228.8924043358</v>
      </c>
      <c r="V1305" s="4">
        <f t="shared" si="490"/>
        <v>27.952953907565856</v>
      </c>
      <c r="W1305" s="4">
        <f t="shared" si="498"/>
        <v>1699462.4618088847</v>
      </c>
      <c r="X1305" s="4">
        <f t="shared" si="502"/>
        <v>2155.81667537475</v>
      </c>
      <c r="Y1305" s="9">
        <f>SUM($X$6:X1305)</f>
        <v>699462.46180888475</v>
      </c>
      <c r="Z1305" s="16">
        <f t="shared" si="503"/>
        <v>0.69946246180888472</v>
      </c>
      <c r="AA1305" s="16">
        <f t="shared" si="499"/>
        <v>0.8660986954410913</v>
      </c>
      <c r="AB1305" s="16">
        <f t="shared" si="500"/>
        <v>1.2701397720652732E-3</v>
      </c>
      <c r="AC1305" s="16">
        <f t="shared" si="501"/>
        <v>5.0379525760723201E-4</v>
      </c>
    </row>
    <row r="1306" spans="1:29" x14ac:dyDescent="0.15">
      <c r="A1306" s="8">
        <v>42800</v>
      </c>
      <c r="B1306" s="4">
        <v>2375.31</v>
      </c>
      <c r="C1306" s="1">
        <v>11.787800000000001</v>
      </c>
      <c r="D1306" s="1">
        <v>2.0499999999999998</v>
      </c>
      <c r="E1306" s="1">
        <v>1.1308</v>
      </c>
      <c r="F1306" s="4">
        <f t="shared" si="491"/>
        <v>0.11787800000000001</v>
      </c>
      <c r="G1306" s="4">
        <f t="shared" si="492"/>
        <v>2.0499999999999997E-2</v>
      </c>
      <c r="H1306" s="4">
        <f t="shared" si="493"/>
        <v>1.1308E-2</v>
      </c>
      <c r="I1306" s="3">
        <f t="shared" si="494"/>
        <v>58.299092530721246</v>
      </c>
      <c r="J1306" s="4">
        <f t="shared" si="481"/>
        <v>1732228.8924043358</v>
      </c>
      <c r="K1306" s="1">
        <f t="shared" si="482"/>
        <v>2365.38</v>
      </c>
      <c r="L1306" s="5">
        <f t="shared" si="483"/>
        <v>0.21369863013698639</v>
      </c>
      <c r="M1306" s="5">
        <f t="shared" si="484"/>
        <v>-0.47079526602520916</v>
      </c>
      <c r="N1306" s="5">
        <f t="shared" si="485"/>
        <v>48.762938477542406</v>
      </c>
      <c r="O1306" s="1">
        <f t="shared" si="486"/>
        <v>0</v>
      </c>
      <c r="P1306" s="1">
        <f t="shared" si="487"/>
        <v>2365.38</v>
      </c>
      <c r="Q1306" s="5">
        <f t="shared" si="488"/>
        <v>0.21369863013698639</v>
      </c>
      <c r="R1306" s="5">
        <f t="shared" si="489"/>
        <v>-0.47079526602520916</v>
      </c>
      <c r="S1306" s="5">
        <f t="shared" si="495"/>
        <v>48.762938477542406</v>
      </c>
      <c r="T1306" s="5">
        <f t="shared" si="496"/>
        <v>-715.44176785467243</v>
      </c>
      <c r="U1306" s="4">
        <f t="shared" si="497"/>
        <v>1732256.8453582434</v>
      </c>
      <c r="V1306" s="4">
        <f t="shared" si="490"/>
        <v>83.860214952000433</v>
      </c>
      <c r="W1306" s="4">
        <f t="shared" si="498"/>
        <v>1697369.8024480818</v>
      </c>
      <c r="X1306" s="4">
        <f t="shared" si="502"/>
        <v>-2092.6593608029652</v>
      </c>
      <c r="Y1306" s="9">
        <f>SUM($X$6:X1306)</f>
        <v>697369.80244808178</v>
      </c>
      <c r="Z1306" s="16">
        <f t="shared" si="503"/>
        <v>0.69736980244808178</v>
      </c>
      <c r="AA1306" s="16">
        <f t="shared" si="499"/>
        <v>0.85998308615100316</v>
      </c>
      <c r="AB1306" s="16">
        <f t="shared" si="500"/>
        <v>-1.2313654510353628E-3</v>
      </c>
      <c r="AC1306" s="16">
        <f t="shared" si="501"/>
        <v>-3.2772164221692344E-3</v>
      </c>
    </row>
    <row r="1307" spans="1:29" x14ac:dyDescent="0.15">
      <c r="A1307" s="8">
        <v>42801</v>
      </c>
      <c r="B1307" s="4">
        <v>2368.39</v>
      </c>
      <c r="C1307" s="1">
        <v>11.7317</v>
      </c>
      <c r="D1307" s="1">
        <v>2.06</v>
      </c>
      <c r="E1307" s="1">
        <v>1.1308</v>
      </c>
      <c r="F1307" s="4">
        <f t="shared" si="491"/>
        <v>0.117317</v>
      </c>
      <c r="G1307" s="4">
        <f t="shared" si="492"/>
        <v>2.06E-2</v>
      </c>
      <c r="H1307" s="4">
        <f t="shared" si="493"/>
        <v>1.1308E-2</v>
      </c>
      <c r="I1307" s="3">
        <f t="shared" si="494"/>
        <v>57.895552069363845</v>
      </c>
      <c r="J1307" s="4">
        <f t="shared" si="481"/>
        <v>1732256.8453582434</v>
      </c>
      <c r="K1307" s="1">
        <f t="shared" si="482"/>
        <v>2365.38</v>
      </c>
      <c r="L1307" s="5">
        <f t="shared" si="483"/>
        <v>0.21095890410958915</v>
      </c>
      <c r="M1307" s="5">
        <f t="shared" si="484"/>
        <v>-0.49220580938319669</v>
      </c>
      <c r="N1307" s="5">
        <f t="shared" si="485"/>
        <v>51.519122465380612</v>
      </c>
      <c r="O1307" s="1">
        <f t="shared" si="486"/>
        <v>0</v>
      </c>
      <c r="P1307" s="1">
        <f t="shared" si="487"/>
        <v>2365.38</v>
      </c>
      <c r="Q1307" s="5">
        <f t="shared" si="488"/>
        <v>0.21095890410958915</v>
      </c>
      <c r="R1307" s="5">
        <f t="shared" si="489"/>
        <v>-0.49220580938319669</v>
      </c>
      <c r="S1307" s="5">
        <f t="shared" si="495"/>
        <v>51.519122465380612</v>
      </c>
      <c r="T1307" s="5">
        <f t="shared" si="496"/>
        <v>-715.44176785467243</v>
      </c>
      <c r="U1307" s="4">
        <f t="shared" si="497"/>
        <v>1732340.7055731954</v>
      </c>
      <c r="V1307" s="4">
        <f t="shared" si="490"/>
        <v>27.954758235140051</v>
      </c>
      <c r="W1307" s="4">
        <f t="shared" si="498"/>
        <v>1695481.7735182422</v>
      </c>
      <c r="X1307" s="4">
        <f t="shared" si="502"/>
        <v>-1888.0289298396092</v>
      </c>
      <c r="Y1307" s="9">
        <f>SUM($X$6:X1307)</f>
        <v>695481.77351824217</v>
      </c>
      <c r="Z1307" s="16">
        <f t="shared" si="503"/>
        <v>0.69548177351824214</v>
      </c>
      <c r="AA1307" s="16">
        <f t="shared" si="499"/>
        <v>0.85456439008347296</v>
      </c>
      <c r="AB1307" s="16">
        <f t="shared" si="500"/>
        <v>-1.1123262161943401E-3</v>
      </c>
      <c r="AC1307" s="16">
        <f t="shared" si="501"/>
        <v>-2.9133039476952789E-3</v>
      </c>
    </row>
    <row r="1308" spans="1:29" x14ac:dyDescent="0.15">
      <c r="A1308" s="8">
        <v>42802</v>
      </c>
      <c r="B1308" s="4">
        <v>2362.98</v>
      </c>
      <c r="C1308" s="1">
        <v>11.837400000000001</v>
      </c>
      <c r="D1308" s="1">
        <v>2.06</v>
      </c>
      <c r="E1308" s="1">
        <v>1.1331</v>
      </c>
      <c r="F1308" s="4">
        <f t="shared" si="491"/>
        <v>0.11837400000000001</v>
      </c>
      <c r="G1308" s="4">
        <f t="shared" si="492"/>
        <v>2.06E-2</v>
      </c>
      <c r="H1308" s="4">
        <f t="shared" si="493"/>
        <v>1.1331000000000001E-2</v>
      </c>
      <c r="I1308" s="3">
        <f t="shared" si="494"/>
        <v>58.251135027621217</v>
      </c>
      <c r="J1308" s="4">
        <f t="shared" ref="J1308:J1371" si="504">U1307</f>
        <v>1732340.7055731954</v>
      </c>
      <c r="K1308" s="1">
        <f t="shared" ref="K1308:K1371" si="505">P1307</f>
        <v>2365.38</v>
      </c>
      <c r="L1308" s="5">
        <f t="shared" ref="L1308:L1371" si="506">Q1307-(A1308-A1307)/365</f>
        <v>0.2082191780821919</v>
      </c>
      <c r="M1308" s="5">
        <f t="shared" ref="M1308:M1371" si="507">BSM_Put(B1308,K1308,F1308,H1308,G1308,L1308,$G$3)</f>
        <v>-0.508789048249915</v>
      </c>
      <c r="N1308" s="5">
        <f t="shared" ref="N1308:N1371" si="508">BSM_Put(B1308,K1308,F1308,H1308,G1308,L1308,$F$3)</f>
        <v>54.315760397915192</v>
      </c>
      <c r="O1308" s="1">
        <f t="shared" ref="O1308:O1371" si="509">IF(OR(M1308&gt;-0.05,L1308&lt;=0.00001),1,0)</f>
        <v>0</v>
      </c>
      <c r="P1308" s="1">
        <f t="shared" ref="P1308:P1371" si="510">IF(O1308,B1308,K1308)</f>
        <v>2365.38</v>
      </c>
      <c r="Q1308" s="5">
        <f t="shared" ref="Q1308:Q1371" si="511">IF(O1308,$B$3,L1308)</f>
        <v>0.2082191780821919</v>
      </c>
      <c r="R1308" s="5">
        <f t="shared" ref="R1308:R1371" si="512">IF(O1308,BSM_Put(B1308,P1308,F1308,H1308,G1308,Q1308,$G$3),M1308)</f>
        <v>-0.508789048249915</v>
      </c>
      <c r="S1308" s="5">
        <f t="shared" si="495"/>
        <v>54.315760397915192</v>
      </c>
      <c r="T1308" s="5">
        <f t="shared" si="496"/>
        <v>-715.44176785467243</v>
      </c>
      <c r="U1308" s="4">
        <f t="shared" si="497"/>
        <v>1732368.6603314306</v>
      </c>
      <c r="V1308" s="4">
        <f t="shared" ref="V1308:V1371" si="513">U1308*$H$6*(A1308-A1307)/365</f>
        <v>27.955209340690754</v>
      </c>
      <c r="W1308" s="4">
        <f t="shared" si="498"/>
        <v>1693508.8966899754</v>
      </c>
      <c r="X1308" s="4">
        <f t="shared" si="502"/>
        <v>-1972.8768282667734</v>
      </c>
      <c r="Y1308" s="9">
        <f>SUM($X$6:X1308)</f>
        <v>693508.8966899754</v>
      </c>
      <c r="Z1308" s="16">
        <f t="shared" si="503"/>
        <v>0.6935088966899754</v>
      </c>
      <c r="AA1308" s="16">
        <f t="shared" si="499"/>
        <v>0.8503280973485976</v>
      </c>
      <c r="AB1308" s="16">
        <f t="shared" si="500"/>
        <v>-1.1636083967879627E-3</v>
      </c>
      <c r="AC1308" s="16">
        <f t="shared" si="501"/>
        <v>-2.2842521713061846E-3</v>
      </c>
    </row>
    <row r="1309" spans="1:29" x14ac:dyDescent="0.15">
      <c r="A1309" s="8">
        <v>42803</v>
      </c>
      <c r="B1309" s="4">
        <v>2364.87</v>
      </c>
      <c r="C1309" s="1">
        <v>12.073</v>
      </c>
      <c r="D1309" s="1">
        <v>2.06</v>
      </c>
      <c r="E1309" s="1">
        <v>1.1444000000000001</v>
      </c>
      <c r="F1309" s="4">
        <f t="shared" si="491"/>
        <v>0.12073</v>
      </c>
      <c r="G1309" s="4">
        <f t="shared" si="492"/>
        <v>2.06E-2</v>
      </c>
      <c r="H1309" s="4">
        <f t="shared" si="493"/>
        <v>1.1444000000000001E-2</v>
      </c>
      <c r="I1309" s="3">
        <f t="shared" si="494"/>
        <v>59.366829025362868</v>
      </c>
      <c r="J1309" s="4">
        <f t="shared" si="504"/>
        <v>1732368.6603314306</v>
      </c>
      <c r="K1309" s="1">
        <f t="shared" si="505"/>
        <v>2365.38</v>
      </c>
      <c r="L1309" s="5">
        <f t="shared" si="506"/>
        <v>0.20547945205479465</v>
      </c>
      <c r="M1309" s="5">
        <f t="shared" si="507"/>
        <v>-0.50223964802850618</v>
      </c>
      <c r="N1309" s="5">
        <f t="shared" si="508"/>
        <v>53.970642222323114</v>
      </c>
      <c r="O1309" s="1">
        <f t="shared" si="509"/>
        <v>0</v>
      </c>
      <c r="P1309" s="1">
        <f t="shared" si="510"/>
        <v>2365.38</v>
      </c>
      <c r="Q1309" s="5">
        <f t="shared" si="511"/>
        <v>0.20547945205479465</v>
      </c>
      <c r="R1309" s="5">
        <f t="shared" si="512"/>
        <v>-0.50223964802850618</v>
      </c>
      <c r="S1309" s="5">
        <f t="shared" si="495"/>
        <v>53.970642222323114</v>
      </c>
      <c r="T1309" s="5">
        <f t="shared" si="496"/>
        <v>-715.44176785467243</v>
      </c>
      <c r="U1309" s="4">
        <f t="shared" si="497"/>
        <v>1732396.6155407713</v>
      </c>
      <c r="V1309" s="4">
        <f t="shared" si="513"/>
        <v>27.955660453520938</v>
      </c>
      <c r="W1309" s="4">
        <f t="shared" si="498"/>
        <v>1693783.7638569805</v>
      </c>
      <c r="X1309" s="4">
        <f t="shared" si="502"/>
        <v>274.86716700508259</v>
      </c>
      <c r="Y1309" s="9">
        <f>SUM($X$6:X1309)</f>
        <v>693783.76385698048</v>
      </c>
      <c r="Z1309" s="16">
        <f t="shared" si="503"/>
        <v>0.69378376385698048</v>
      </c>
      <c r="AA1309" s="16">
        <f t="shared" si="499"/>
        <v>0.85180805913582758</v>
      </c>
      <c r="AB1309" s="16">
        <f t="shared" si="500"/>
        <v>1.6230630234203105E-4</v>
      </c>
      <c r="AC1309" s="16">
        <f t="shared" si="501"/>
        <v>7.9983749333463364E-4</v>
      </c>
    </row>
    <row r="1310" spans="1:29" x14ac:dyDescent="0.15">
      <c r="A1310" s="8">
        <v>42804</v>
      </c>
      <c r="B1310" s="4">
        <v>2372.6</v>
      </c>
      <c r="C1310" s="1">
        <v>11.6632</v>
      </c>
      <c r="D1310" s="1">
        <v>2.0499999999999998</v>
      </c>
      <c r="E1310" s="1">
        <v>1.1461000000000001</v>
      </c>
      <c r="F1310" s="4">
        <f t="shared" si="491"/>
        <v>0.116632</v>
      </c>
      <c r="G1310" s="4">
        <f t="shared" si="492"/>
        <v>2.0499999999999997E-2</v>
      </c>
      <c r="H1310" s="4">
        <f t="shared" si="493"/>
        <v>1.1461000000000001E-2</v>
      </c>
      <c r="I1310" s="3">
        <f t="shared" si="494"/>
        <v>57.599154508829798</v>
      </c>
      <c r="J1310" s="4">
        <f t="shared" si="504"/>
        <v>1732396.6155407713</v>
      </c>
      <c r="K1310" s="1">
        <f t="shared" si="505"/>
        <v>2365.38</v>
      </c>
      <c r="L1310" s="5">
        <f t="shared" si="506"/>
        <v>0.2027397260273974</v>
      </c>
      <c r="M1310" s="5">
        <f t="shared" si="507"/>
        <v>-0.47830953469002824</v>
      </c>
      <c r="N1310" s="5">
        <f t="shared" si="508"/>
        <v>48.044130483711008</v>
      </c>
      <c r="O1310" s="1">
        <f t="shared" si="509"/>
        <v>0</v>
      </c>
      <c r="P1310" s="1">
        <f t="shared" si="510"/>
        <v>2365.38</v>
      </c>
      <c r="Q1310" s="5">
        <f t="shared" si="511"/>
        <v>0.2027397260273974</v>
      </c>
      <c r="R1310" s="5">
        <f t="shared" si="512"/>
        <v>-0.47830953469002824</v>
      </c>
      <c r="S1310" s="5">
        <f t="shared" si="495"/>
        <v>48.044130483711008</v>
      </c>
      <c r="T1310" s="5">
        <f t="shared" si="496"/>
        <v>-715.44176785467243</v>
      </c>
      <c r="U1310" s="4">
        <f t="shared" si="497"/>
        <v>1732424.5712012248</v>
      </c>
      <c r="V1310" s="4">
        <f t="shared" si="513"/>
        <v>27.956111573630722</v>
      </c>
      <c r="W1310" s="4">
        <f t="shared" si="498"/>
        <v>1698051.7935529181</v>
      </c>
      <c r="X1310" s="4">
        <f t="shared" si="502"/>
        <v>4268.0296959376428</v>
      </c>
      <c r="Y1310" s="9">
        <f>SUM($X$6:X1310)</f>
        <v>698051.79355291813</v>
      </c>
      <c r="Z1310" s="16">
        <f t="shared" si="503"/>
        <v>0.69805179355291813</v>
      </c>
      <c r="AA1310" s="16">
        <f t="shared" si="499"/>
        <v>0.85786102454074198</v>
      </c>
      <c r="AB1310" s="16">
        <f t="shared" si="500"/>
        <v>2.5198197001361894E-3</v>
      </c>
      <c r="AC1310" s="16">
        <f t="shared" si="501"/>
        <v>3.2686786165835834E-3</v>
      </c>
    </row>
    <row r="1311" spans="1:29" x14ac:dyDescent="0.15">
      <c r="A1311" s="8">
        <v>42807</v>
      </c>
      <c r="B1311" s="4">
        <v>2373.4699999999998</v>
      </c>
      <c r="C1311" s="1">
        <v>11.6919</v>
      </c>
      <c r="D1311" s="1">
        <v>2.0499999999999998</v>
      </c>
      <c r="E1311" s="1">
        <v>1.1564000000000001</v>
      </c>
      <c r="F1311" s="4">
        <f t="shared" si="491"/>
        <v>0.11691900000000001</v>
      </c>
      <c r="G1311" s="4">
        <f t="shared" si="492"/>
        <v>2.0499999999999997E-2</v>
      </c>
      <c r="H1311" s="4">
        <f t="shared" si="493"/>
        <v>1.1564000000000001E-2</v>
      </c>
      <c r="I1311" s="3">
        <f t="shared" si="494"/>
        <v>57.72324373938622</v>
      </c>
      <c r="J1311" s="4">
        <f t="shared" si="504"/>
        <v>1732424.5712012248</v>
      </c>
      <c r="K1311" s="1">
        <f t="shared" si="505"/>
        <v>2365.38</v>
      </c>
      <c r="L1311" s="5">
        <f t="shared" si="506"/>
        <v>0.19452054794520562</v>
      </c>
      <c r="M1311" s="5">
        <f t="shared" si="507"/>
        <v>-0.47486268525466602</v>
      </c>
      <c r="N1311" s="5">
        <f t="shared" si="508"/>
        <v>46.632904248250718</v>
      </c>
      <c r="O1311" s="1">
        <f t="shared" si="509"/>
        <v>0</v>
      </c>
      <c r="P1311" s="1">
        <f t="shared" si="510"/>
        <v>2365.38</v>
      </c>
      <c r="Q1311" s="5">
        <f t="shared" si="511"/>
        <v>0.19452054794520562</v>
      </c>
      <c r="R1311" s="5">
        <f t="shared" si="512"/>
        <v>-0.47486268525466602</v>
      </c>
      <c r="S1311" s="5">
        <f t="shared" si="495"/>
        <v>46.632904248250718</v>
      </c>
      <c r="T1311" s="5">
        <f t="shared" si="496"/>
        <v>-715.44176785467243</v>
      </c>
      <c r="U1311" s="4">
        <f t="shared" si="497"/>
        <v>1732452.5273127984</v>
      </c>
      <c r="V1311" s="4">
        <f t="shared" si="513"/>
        <v>83.869688103060668</v>
      </c>
      <c r="W1311" s="4">
        <f t="shared" si="498"/>
        <v>1699089.3998572323</v>
      </c>
      <c r="X1311" s="4">
        <f t="shared" si="502"/>
        <v>1037.6063043142203</v>
      </c>
      <c r="Y1311" s="9">
        <f>SUM($X$6:X1311)</f>
        <v>699089.39985723235</v>
      </c>
      <c r="Z1311" s="16">
        <f t="shared" si="503"/>
        <v>0.6990893998572324</v>
      </c>
      <c r="AA1311" s="16">
        <f t="shared" si="499"/>
        <v>0.85854227679200656</v>
      </c>
      <c r="AB1311" s="16">
        <f t="shared" si="500"/>
        <v>6.1105692314790058E-4</v>
      </c>
      <c r="AC1311" s="16">
        <f t="shared" si="501"/>
        <v>3.6668633566546864E-4</v>
      </c>
    </row>
    <row r="1312" spans="1:29" x14ac:dyDescent="0.15">
      <c r="A1312" s="8">
        <v>42808</v>
      </c>
      <c r="B1312" s="4">
        <v>2365.4499999999998</v>
      </c>
      <c r="C1312" s="1">
        <v>11.934200000000001</v>
      </c>
      <c r="D1312" s="1">
        <v>2.06</v>
      </c>
      <c r="E1312" s="1">
        <v>1.1626000000000001</v>
      </c>
      <c r="F1312" s="4">
        <f t="shared" si="491"/>
        <v>0.119342</v>
      </c>
      <c r="G1312" s="4">
        <f t="shared" si="492"/>
        <v>2.06E-2</v>
      </c>
      <c r="H1312" s="4">
        <f t="shared" si="493"/>
        <v>1.1626000000000001E-2</v>
      </c>
      <c r="I1312" s="3">
        <f t="shared" si="494"/>
        <v>58.674344421593389</v>
      </c>
      <c r="J1312" s="4">
        <f t="shared" si="504"/>
        <v>1732452.5273127984</v>
      </c>
      <c r="K1312" s="1">
        <f t="shared" si="505"/>
        <v>2365.38</v>
      </c>
      <c r="L1312" s="5">
        <f t="shared" si="506"/>
        <v>0.19178082191780838</v>
      </c>
      <c r="M1312" s="5">
        <f t="shared" si="507"/>
        <v>-0.50050512147525394</v>
      </c>
      <c r="N1312" s="5">
        <f t="shared" si="508"/>
        <v>51.181200806449638</v>
      </c>
      <c r="O1312" s="1">
        <f t="shared" si="509"/>
        <v>0</v>
      </c>
      <c r="P1312" s="1">
        <f t="shared" si="510"/>
        <v>2365.38</v>
      </c>
      <c r="Q1312" s="5">
        <f t="shared" si="511"/>
        <v>0.19178082191780838</v>
      </c>
      <c r="R1312" s="5">
        <f t="shared" si="512"/>
        <v>-0.50050512147525394</v>
      </c>
      <c r="S1312" s="5">
        <f t="shared" si="495"/>
        <v>51.181200806449638</v>
      </c>
      <c r="T1312" s="5">
        <f t="shared" si="496"/>
        <v>-715.44176785467243</v>
      </c>
      <c r="U1312" s="4">
        <f t="shared" si="497"/>
        <v>1732536.3970009014</v>
      </c>
      <c r="V1312" s="4">
        <f t="shared" si="513"/>
        <v>27.957916105028243</v>
      </c>
      <c r="W1312" s="4">
        <f t="shared" si="498"/>
        <v>1695919.2282150101</v>
      </c>
      <c r="X1312" s="4">
        <f t="shared" si="502"/>
        <v>-3170.1716422222089</v>
      </c>
      <c r="Y1312" s="9">
        <f>SUM($X$6:X1312)</f>
        <v>695919.22821501014</v>
      </c>
      <c r="Z1312" s="16">
        <f t="shared" si="503"/>
        <v>0.69591922821501018</v>
      </c>
      <c r="AA1312" s="16">
        <f t="shared" si="499"/>
        <v>0.85226222730333734</v>
      </c>
      <c r="AB1312" s="16">
        <f t="shared" si="500"/>
        <v>-1.8658062621593576E-3</v>
      </c>
      <c r="AC1312" s="16">
        <f t="shared" si="501"/>
        <v>-3.3790189048102494E-3</v>
      </c>
    </row>
    <row r="1313" spans="1:29" x14ac:dyDescent="0.15">
      <c r="A1313" s="8">
        <v>42809</v>
      </c>
      <c r="B1313" s="4">
        <v>2385.2600000000002</v>
      </c>
      <c r="C1313" s="1">
        <v>11.488899999999999</v>
      </c>
      <c r="D1313" s="1">
        <v>2.04</v>
      </c>
      <c r="E1313" s="1">
        <v>1.1731</v>
      </c>
      <c r="F1313" s="4">
        <f t="shared" si="491"/>
        <v>0.11488899999999999</v>
      </c>
      <c r="G1313" s="4">
        <f t="shared" si="492"/>
        <v>2.0400000000000001E-2</v>
      </c>
      <c r="H1313" s="4">
        <f t="shared" si="493"/>
        <v>1.1731E-2</v>
      </c>
      <c r="I1313" s="3">
        <f t="shared" si="494"/>
        <v>56.968445872916114</v>
      </c>
      <c r="J1313" s="4">
        <f t="shared" si="504"/>
        <v>1732536.3970009014</v>
      </c>
      <c r="K1313" s="1">
        <f t="shared" si="505"/>
        <v>2365.38</v>
      </c>
      <c r="L1313" s="5">
        <f t="shared" si="506"/>
        <v>0.18904109589041113</v>
      </c>
      <c r="M1313" s="5">
        <f t="shared" si="507"/>
        <v>-0.43487154293393798</v>
      </c>
      <c r="N1313" s="5">
        <f t="shared" si="508"/>
        <v>39.645279016821085</v>
      </c>
      <c r="O1313" s="1">
        <f t="shared" si="509"/>
        <v>0</v>
      </c>
      <c r="P1313" s="1">
        <f t="shared" si="510"/>
        <v>2365.38</v>
      </c>
      <c r="Q1313" s="5">
        <f t="shared" si="511"/>
        <v>0.18904109589041113</v>
      </c>
      <c r="R1313" s="5">
        <f t="shared" si="512"/>
        <v>-0.43487154293393798</v>
      </c>
      <c r="S1313" s="5">
        <f t="shared" si="495"/>
        <v>39.645279016821085</v>
      </c>
      <c r="T1313" s="5">
        <f t="shared" si="496"/>
        <v>-715.44176785467243</v>
      </c>
      <c r="U1313" s="4">
        <f t="shared" si="497"/>
        <v>1732564.3549170063</v>
      </c>
      <c r="V1313" s="4">
        <f t="shared" si="513"/>
        <v>27.95836726153744</v>
      </c>
      <c r="W1313" s="4">
        <f t="shared" si="498"/>
        <v>1704200.46641012</v>
      </c>
      <c r="X1313" s="4">
        <f t="shared" si="502"/>
        <v>8281.2381951098796</v>
      </c>
      <c r="Y1313" s="9">
        <f>SUM($X$6:X1313)</f>
        <v>704200.46641012002</v>
      </c>
      <c r="Z1313" s="16">
        <f t="shared" si="503"/>
        <v>0.70420046641012002</v>
      </c>
      <c r="AA1313" s="16">
        <f t="shared" si="499"/>
        <v>0.86777441936948951</v>
      </c>
      <c r="AB1313" s="16">
        <f t="shared" si="500"/>
        <v>4.8830380936396673E-3</v>
      </c>
      <c r="AC1313" s="16">
        <f t="shared" si="501"/>
        <v>8.3747278530513867E-3</v>
      </c>
    </row>
    <row r="1314" spans="1:29" x14ac:dyDescent="0.15">
      <c r="A1314" s="8">
        <v>42810</v>
      </c>
      <c r="B1314" s="4">
        <v>2381.38</v>
      </c>
      <c r="C1314" s="1">
        <v>11.050800000000001</v>
      </c>
      <c r="D1314" s="1">
        <v>2.04</v>
      </c>
      <c r="E1314" s="1">
        <v>1.1774</v>
      </c>
      <c r="F1314" s="4">
        <f t="shared" si="491"/>
        <v>0.11050800000000001</v>
      </c>
      <c r="G1314" s="4">
        <f t="shared" si="492"/>
        <v>2.0400000000000001E-2</v>
      </c>
      <c r="H1314" s="4">
        <f t="shared" si="493"/>
        <v>1.1774E-2</v>
      </c>
      <c r="I1314" s="3">
        <f t="shared" si="494"/>
        <v>54.794831534295277</v>
      </c>
      <c r="J1314" s="4">
        <f t="shared" si="504"/>
        <v>1732564.3549170063</v>
      </c>
      <c r="K1314" s="1">
        <f t="shared" si="505"/>
        <v>2365.38</v>
      </c>
      <c r="L1314" s="5">
        <f t="shared" si="506"/>
        <v>0.18630136986301388</v>
      </c>
      <c r="M1314" s="5">
        <f t="shared" si="507"/>
        <v>-0.44599431120346561</v>
      </c>
      <c r="N1314" s="5">
        <f t="shared" si="508"/>
        <v>39.208918862913841</v>
      </c>
      <c r="O1314" s="1">
        <f t="shared" si="509"/>
        <v>0</v>
      </c>
      <c r="P1314" s="1">
        <f t="shared" si="510"/>
        <v>2365.38</v>
      </c>
      <c r="Q1314" s="5">
        <f t="shared" si="511"/>
        <v>0.18630136986301388</v>
      </c>
      <c r="R1314" s="5">
        <f t="shared" si="512"/>
        <v>-0.44599431120346561</v>
      </c>
      <c r="S1314" s="5">
        <f t="shared" si="495"/>
        <v>39.208918862913841</v>
      </c>
      <c r="T1314" s="5">
        <f t="shared" si="496"/>
        <v>-715.44176785467243</v>
      </c>
      <c r="U1314" s="4">
        <f t="shared" si="497"/>
        <v>1732592.3132842679</v>
      </c>
      <c r="V1314" s="4">
        <f t="shared" si="513"/>
        <v>27.95881842532695</v>
      </c>
      <c r="W1314" s="4">
        <f t="shared" si="498"/>
        <v>1704540.6150573145</v>
      </c>
      <c r="X1314" s="4">
        <f t="shared" si="502"/>
        <v>340.14864719449542</v>
      </c>
      <c r="Y1314" s="9">
        <f>SUM($X$6:X1314)</f>
        <v>704540.61505731451</v>
      </c>
      <c r="Z1314" s="16">
        <f t="shared" si="503"/>
        <v>0.70454061505731447</v>
      </c>
      <c r="AA1314" s="16">
        <f t="shared" si="499"/>
        <v>0.86473619093856213</v>
      </c>
      <c r="AB1314" s="16">
        <f t="shared" si="500"/>
        <v>1.9959426951162318E-4</v>
      </c>
      <c r="AC1314" s="16">
        <f t="shared" si="501"/>
        <v>-1.6266570520614562E-3</v>
      </c>
    </row>
    <row r="1315" spans="1:29" x14ac:dyDescent="0.15">
      <c r="A1315" s="8">
        <v>42811</v>
      </c>
      <c r="B1315" s="4">
        <v>2378.25</v>
      </c>
      <c r="C1315" s="1">
        <v>11.0885</v>
      </c>
      <c r="D1315" s="1">
        <v>2.0499999999999998</v>
      </c>
      <c r="E1315" s="1">
        <v>1.1774</v>
      </c>
      <c r="F1315" s="4">
        <f t="shared" si="491"/>
        <v>0.110885</v>
      </c>
      <c r="G1315" s="4">
        <f t="shared" si="492"/>
        <v>2.0499999999999997E-2</v>
      </c>
      <c r="H1315" s="4">
        <f t="shared" si="493"/>
        <v>1.1774E-2</v>
      </c>
      <c r="I1315" s="3">
        <f t="shared" si="494"/>
        <v>54.930258378606091</v>
      </c>
      <c r="J1315" s="4">
        <f t="shared" si="504"/>
        <v>1732592.3132842679</v>
      </c>
      <c r="K1315" s="1">
        <f t="shared" si="505"/>
        <v>2365.38</v>
      </c>
      <c r="L1315" s="5">
        <f t="shared" si="506"/>
        <v>0.18356164383561663</v>
      </c>
      <c r="M1315" s="5">
        <f t="shared" si="507"/>
        <v>-0.4567609937177507</v>
      </c>
      <c r="N1315" s="5">
        <f t="shared" si="508"/>
        <v>40.438387045605225</v>
      </c>
      <c r="O1315" s="1">
        <f t="shared" si="509"/>
        <v>0</v>
      </c>
      <c r="P1315" s="1">
        <f t="shared" si="510"/>
        <v>2365.38</v>
      </c>
      <c r="Q1315" s="5">
        <f t="shared" si="511"/>
        <v>0.18356164383561663</v>
      </c>
      <c r="R1315" s="5">
        <f t="shared" si="512"/>
        <v>-0.4567609937177507</v>
      </c>
      <c r="S1315" s="5">
        <f t="shared" si="495"/>
        <v>40.438387045605225</v>
      </c>
      <c r="T1315" s="5">
        <f t="shared" si="496"/>
        <v>-715.44176785467243</v>
      </c>
      <c r="U1315" s="4">
        <f t="shared" si="497"/>
        <v>1732620.2721026933</v>
      </c>
      <c r="V1315" s="4">
        <f t="shared" si="513"/>
        <v>27.959269596396886</v>
      </c>
      <c r="W1315" s="4">
        <f t="shared" si="498"/>
        <v>1703688.960985594</v>
      </c>
      <c r="X1315" s="4">
        <f t="shared" si="502"/>
        <v>-851.65407172054984</v>
      </c>
      <c r="Y1315" s="9">
        <f>SUM($X$6:X1315)</f>
        <v>703688.96098559396</v>
      </c>
      <c r="Z1315" s="16">
        <f t="shared" si="503"/>
        <v>0.70368896098559397</v>
      </c>
      <c r="AA1315" s="16">
        <f t="shared" si="499"/>
        <v>0.86228524893113878</v>
      </c>
      <c r="AB1315" s="16">
        <f t="shared" si="500"/>
        <v>-4.9963847396614438E-4</v>
      </c>
      <c r="AC1315" s="16">
        <f t="shared" si="501"/>
        <v>-1.3143639402363792E-3</v>
      </c>
    </row>
    <row r="1316" spans="1:29" x14ac:dyDescent="0.15">
      <c r="A1316" s="8">
        <v>42814</v>
      </c>
      <c r="B1316" s="4">
        <v>2373.4699999999998</v>
      </c>
      <c r="C1316" s="1">
        <v>11.0783</v>
      </c>
      <c r="D1316" s="1">
        <v>2.0499999999999998</v>
      </c>
      <c r="E1316" s="1">
        <v>1.1819</v>
      </c>
      <c r="F1316" s="4">
        <f t="shared" si="491"/>
        <v>0.11078300000000001</v>
      </c>
      <c r="G1316" s="4">
        <f t="shared" si="492"/>
        <v>2.0499999999999997E-2</v>
      </c>
      <c r="H1316" s="4">
        <f t="shared" si="493"/>
        <v>1.1819E-2</v>
      </c>
      <c r="I1316" s="3">
        <f t="shared" si="494"/>
        <v>54.757896606679658</v>
      </c>
      <c r="J1316" s="4">
        <f t="shared" si="504"/>
        <v>1732620.2721026933</v>
      </c>
      <c r="K1316" s="1">
        <f t="shared" si="505"/>
        <v>2365.38</v>
      </c>
      <c r="L1316" s="5">
        <f t="shared" si="506"/>
        <v>0.17534246575342485</v>
      </c>
      <c r="M1316" s="5">
        <f t="shared" si="507"/>
        <v>-0.47278898763713839</v>
      </c>
      <c r="N1316" s="5">
        <f t="shared" si="508"/>
        <v>41.522985474968181</v>
      </c>
      <c r="O1316" s="1">
        <f t="shared" si="509"/>
        <v>0</v>
      </c>
      <c r="P1316" s="1">
        <f t="shared" si="510"/>
        <v>2365.38</v>
      </c>
      <c r="Q1316" s="5">
        <f t="shared" si="511"/>
        <v>0.17534246575342485</v>
      </c>
      <c r="R1316" s="5">
        <f t="shared" si="512"/>
        <v>-0.47278898763713839</v>
      </c>
      <c r="S1316" s="5">
        <f t="shared" si="495"/>
        <v>41.522985474968181</v>
      </c>
      <c r="T1316" s="5">
        <f t="shared" si="496"/>
        <v>-715.44176785467243</v>
      </c>
      <c r="U1316" s="4">
        <f t="shared" si="497"/>
        <v>1732648.2313722898</v>
      </c>
      <c r="V1316" s="4">
        <f t="shared" si="513"/>
        <v>83.879162324242088</v>
      </c>
      <c r="W1316" s="4">
        <f t="shared" si="498"/>
        <v>1702940.9532374747</v>
      </c>
      <c r="X1316" s="4">
        <f t="shared" si="502"/>
        <v>-748.00774811930023</v>
      </c>
      <c r="Y1316" s="9">
        <f>SUM($X$6:X1316)</f>
        <v>702940.95323747466</v>
      </c>
      <c r="Z1316" s="16">
        <f t="shared" si="503"/>
        <v>0.70294095323747463</v>
      </c>
      <c r="AA1316" s="16">
        <f t="shared" si="499"/>
        <v>0.85854227679200656</v>
      </c>
      <c r="AB1316" s="16">
        <f t="shared" si="500"/>
        <v>-4.3905182533235024E-4</v>
      </c>
      <c r="AC1316" s="16">
        <f t="shared" si="501"/>
        <v>-2.0098812151793126E-3</v>
      </c>
    </row>
    <row r="1317" spans="1:29" x14ac:dyDescent="0.15">
      <c r="A1317" s="8">
        <v>42815</v>
      </c>
      <c r="B1317" s="4">
        <v>2344.02</v>
      </c>
      <c r="C1317" s="1">
        <v>11.8406</v>
      </c>
      <c r="D1317" s="1">
        <v>2.0699999999999998</v>
      </c>
      <c r="E1317" s="1">
        <v>1.1819</v>
      </c>
      <c r="F1317" s="4">
        <f t="shared" si="491"/>
        <v>0.118406</v>
      </c>
      <c r="G1317" s="4">
        <f t="shared" si="492"/>
        <v>2.07E-2</v>
      </c>
      <c r="H1317" s="4">
        <f t="shared" si="493"/>
        <v>1.1819E-2</v>
      </c>
      <c r="I1317" s="3">
        <f t="shared" si="494"/>
        <v>57.678006088189335</v>
      </c>
      <c r="J1317" s="4">
        <f t="shared" si="504"/>
        <v>1732648.2313722898</v>
      </c>
      <c r="K1317" s="1">
        <f t="shared" si="505"/>
        <v>2365.38</v>
      </c>
      <c r="L1317" s="5">
        <f t="shared" si="506"/>
        <v>0.1726027397260276</v>
      </c>
      <c r="M1317" s="5">
        <f t="shared" si="507"/>
        <v>-0.57367180948820951</v>
      </c>
      <c r="N1317" s="5">
        <f t="shared" si="508"/>
        <v>59.592752779442336</v>
      </c>
      <c r="O1317" s="1">
        <f t="shared" si="509"/>
        <v>0</v>
      </c>
      <c r="P1317" s="1">
        <f t="shared" si="510"/>
        <v>2365.38</v>
      </c>
      <c r="Q1317" s="5">
        <f t="shared" si="511"/>
        <v>0.1726027397260276</v>
      </c>
      <c r="R1317" s="5">
        <f t="shared" si="512"/>
        <v>-0.57367180948820951</v>
      </c>
      <c r="S1317" s="5">
        <f t="shared" si="495"/>
        <v>59.592752779442336</v>
      </c>
      <c r="T1317" s="5">
        <f t="shared" si="496"/>
        <v>-715.44176785467243</v>
      </c>
      <c r="U1317" s="4">
        <f t="shared" si="497"/>
        <v>1732732.110534614</v>
      </c>
      <c r="V1317" s="4">
        <f t="shared" si="513"/>
        <v>27.961074331640752</v>
      </c>
      <c r="W1317" s="4">
        <f t="shared" si="498"/>
        <v>1690096.9661347633</v>
      </c>
      <c r="X1317" s="4">
        <f t="shared" si="502"/>
        <v>-12843.98710271134</v>
      </c>
      <c r="Y1317" s="9">
        <f>SUM($X$6:X1317)</f>
        <v>690096.96613476332</v>
      </c>
      <c r="Z1317" s="16">
        <f t="shared" si="503"/>
        <v>0.69009696613476335</v>
      </c>
      <c r="AA1317" s="16">
        <f t="shared" si="499"/>
        <v>0.83548149656241688</v>
      </c>
      <c r="AB1317" s="16">
        <f t="shared" si="500"/>
        <v>-7.5422386655823468E-3</v>
      </c>
      <c r="AC1317" s="16">
        <f t="shared" si="501"/>
        <v>-1.240799335993285E-2</v>
      </c>
    </row>
    <row r="1318" spans="1:29" x14ac:dyDescent="0.15">
      <c r="A1318" s="8">
        <v>42816</v>
      </c>
      <c r="B1318" s="4">
        <v>2348.4499999999998</v>
      </c>
      <c r="C1318" s="1">
        <v>11.8597</v>
      </c>
      <c r="D1318" s="1">
        <v>2.0699999999999998</v>
      </c>
      <c r="E1318" s="1">
        <v>1.1819</v>
      </c>
      <c r="F1318" s="4">
        <f t="shared" si="491"/>
        <v>0.11859700000000001</v>
      </c>
      <c r="G1318" s="4">
        <f t="shared" si="492"/>
        <v>2.07E-2</v>
      </c>
      <c r="H1318" s="4">
        <f t="shared" si="493"/>
        <v>1.1819E-2</v>
      </c>
      <c r="I1318" s="3">
        <f t="shared" si="494"/>
        <v>57.875900904398854</v>
      </c>
      <c r="J1318" s="4">
        <f t="shared" si="504"/>
        <v>1732732.110534614</v>
      </c>
      <c r="K1318" s="1">
        <f t="shared" si="505"/>
        <v>2365.38</v>
      </c>
      <c r="L1318" s="5">
        <f t="shared" si="506"/>
        <v>0.16986301369863036</v>
      </c>
      <c r="M1318" s="5">
        <f t="shared" si="507"/>
        <v>-0.55898212476894527</v>
      </c>
      <c r="N1318" s="5">
        <f t="shared" si="508"/>
        <v>56.765522851367514</v>
      </c>
      <c r="O1318" s="1">
        <f t="shared" si="509"/>
        <v>0</v>
      </c>
      <c r="P1318" s="1">
        <f t="shared" si="510"/>
        <v>2365.38</v>
      </c>
      <c r="Q1318" s="5">
        <f t="shared" si="511"/>
        <v>0.16986301369863036</v>
      </c>
      <c r="R1318" s="5">
        <f t="shared" si="512"/>
        <v>-0.55898212476894527</v>
      </c>
      <c r="S1318" s="5">
        <f t="shared" si="495"/>
        <v>56.765522851367514</v>
      </c>
      <c r="T1318" s="5">
        <f t="shared" si="496"/>
        <v>-715.44176785467243</v>
      </c>
      <c r="U1318" s="4">
        <f t="shared" si="497"/>
        <v>1732760.0716089455</v>
      </c>
      <c r="V1318" s="4">
        <f t="shared" si="513"/>
        <v>27.961525539114213</v>
      </c>
      <c r="W1318" s="4">
        <f t="shared" si="498"/>
        <v>1692147.6455869684</v>
      </c>
      <c r="X1318" s="4">
        <f t="shared" si="502"/>
        <v>2050.6794522050768</v>
      </c>
      <c r="Y1318" s="9">
        <f>SUM($X$6:X1318)</f>
        <v>692147.6455869684</v>
      </c>
      <c r="Z1318" s="16">
        <f t="shared" si="503"/>
        <v>0.6921476455869684</v>
      </c>
      <c r="AA1318" s="16">
        <f t="shared" si="499"/>
        <v>0.83895040170391366</v>
      </c>
      <c r="AB1318" s="16">
        <f t="shared" si="500"/>
        <v>1.2133501765256478E-3</v>
      </c>
      <c r="AC1318" s="16">
        <f t="shared" si="501"/>
        <v>1.8899156150544091E-3</v>
      </c>
    </row>
    <row r="1319" spans="1:29" x14ac:dyDescent="0.15">
      <c r="A1319" s="8">
        <v>42817</v>
      </c>
      <c r="B1319" s="4">
        <v>2345.96</v>
      </c>
      <c r="C1319" s="1">
        <v>12.0977</v>
      </c>
      <c r="D1319" s="1">
        <v>2.0699999999999998</v>
      </c>
      <c r="E1319" s="1">
        <v>1.1785000000000001</v>
      </c>
      <c r="F1319" s="4">
        <f t="shared" si="491"/>
        <v>0.120977</v>
      </c>
      <c r="G1319" s="4">
        <f t="shared" si="492"/>
        <v>2.07E-2</v>
      </c>
      <c r="H1319" s="4">
        <f t="shared" si="493"/>
        <v>1.1785E-2</v>
      </c>
      <c r="I1319" s="3">
        <f t="shared" si="494"/>
        <v>58.931423697516728</v>
      </c>
      <c r="J1319" s="4">
        <f t="shared" si="504"/>
        <v>1732760.0716089455</v>
      </c>
      <c r="K1319" s="1">
        <f t="shared" si="505"/>
        <v>2365.38</v>
      </c>
      <c r="L1319" s="5">
        <f t="shared" si="506"/>
        <v>0.16712328767123311</v>
      </c>
      <c r="M1319" s="5">
        <f t="shared" si="507"/>
        <v>-0.56635395074895756</v>
      </c>
      <c r="N1319" s="5">
        <f t="shared" si="508"/>
        <v>58.675658434045481</v>
      </c>
      <c r="O1319" s="1">
        <f t="shared" si="509"/>
        <v>0</v>
      </c>
      <c r="P1319" s="1">
        <f t="shared" si="510"/>
        <v>2365.38</v>
      </c>
      <c r="Q1319" s="5">
        <f t="shared" si="511"/>
        <v>0.16712328767123311</v>
      </c>
      <c r="R1319" s="5">
        <f t="shared" si="512"/>
        <v>-0.56635395074895756</v>
      </c>
      <c r="S1319" s="5">
        <f t="shared" si="495"/>
        <v>58.675658434045481</v>
      </c>
      <c r="T1319" s="5">
        <f t="shared" si="496"/>
        <v>-715.44176785467243</v>
      </c>
      <c r="U1319" s="4">
        <f t="shared" si="497"/>
        <v>1732788.0331344847</v>
      </c>
      <c r="V1319" s="4">
        <f t="shared" si="513"/>
        <v>27.961976753868807</v>
      </c>
      <c r="W1319" s="4">
        <f t="shared" si="498"/>
        <v>1690809.0163343942</v>
      </c>
      <c r="X1319" s="4">
        <f t="shared" si="502"/>
        <v>-1338.6292525741737</v>
      </c>
      <c r="Y1319" s="9">
        <f>SUM($X$6:X1319)</f>
        <v>690809.01633439423</v>
      </c>
      <c r="Z1319" s="16">
        <f t="shared" si="503"/>
        <v>0.69080901633439418</v>
      </c>
      <c r="AA1319" s="16">
        <f t="shared" si="499"/>
        <v>0.83700061077788057</v>
      </c>
      <c r="AB1319" s="16">
        <f t="shared" si="500"/>
        <v>-7.9108300984565266E-4</v>
      </c>
      <c r="AC1319" s="16">
        <f t="shared" si="501"/>
        <v>-1.0602737976110974E-3</v>
      </c>
    </row>
    <row r="1320" spans="1:29" x14ac:dyDescent="0.15">
      <c r="A1320" s="8">
        <v>42818</v>
      </c>
      <c r="B1320" s="4">
        <v>2343.98</v>
      </c>
      <c r="C1320" s="1">
        <v>11.918699999999999</v>
      </c>
      <c r="D1320" s="1">
        <v>2.0699999999999998</v>
      </c>
      <c r="E1320" s="1">
        <v>1.1769000000000001</v>
      </c>
      <c r="F1320" s="4">
        <f t="shared" si="491"/>
        <v>0.11918699999999999</v>
      </c>
      <c r="G1320" s="4">
        <f t="shared" si="492"/>
        <v>2.07E-2</v>
      </c>
      <c r="H1320" s="4">
        <f t="shared" si="493"/>
        <v>1.1769E-2</v>
      </c>
      <c r="I1320" s="3">
        <f t="shared" si="494"/>
        <v>58.055140756305882</v>
      </c>
      <c r="J1320" s="4">
        <f t="shared" si="504"/>
        <v>1732788.0331344847</v>
      </c>
      <c r="K1320" s="1">
        <f t="shared" si="505"/>
        <v>2365.38</v>
      </c>
      <c r="L1320" s="5">
        <f t="shared" si="506"/>
        <v>0.16438356164383586</v>
      </c>
      <c r="M1320" s="5">
        <f t="shared" si="507"/>
        <v>-0.57506635644835136</v>
      </c>
      <c r="N1320" s="5">
        <f t="shared" si="508"/>
        <v>58.739956042846615</v>
      </c>
      <c r="O1320" s="1">
        <f t="shared" si="509"/>
        <v>0</v>
      </c>
      <c r="P1320" s="1">
        <f t="shared" si="510"/>
        <v>2365.38</v>
      </c>
      <c r="Q1320" s="5">
        <f t="shared" si="511"/>
        <v>0.16438356164383586</v>
      </c>
      <c r="R1320" s="5">
        <f t="shared" si="512"/>
        <v>-0.57506635644835136</v>
      </c>
      <c r="S1320" s="5">
        <f t="shared" si="495"/>
        <v>58.739956042846615</v>
      </c>
      <c r="T1320" s="5">
        <f t="shared" si="496"/>
        <v>-715.44176785467243</v>
      </c>
      <c r="U1320" s="4">
        <f t="shared" si="497"/>
        <v>1732815.9951112384</v>
      </c>
      <c r="V1320" s="4">
        <f t="shared" si="513"/>
        <v>27.962427975904639</v>
      </c>
      <c r="W1320" s="4">
        <f t="shared" si="498"/>
        <v>1690790.9771162386</v>
      </c>
      <c r="X1320" s="4">
        <f t="shared" si="502"/>
        <v>-18.039218155667186</v>
      </c>
      <c r="Y1320" s="9">
        <f>SUM($X$6:X1320)</f>
        <v>690790.97711623856</v>
      </c>
      <c r="Z1320" s="16">
        <f t="shared" si="503"/>
        <v>0.6907909771162386</v>
      </c>
      <c r="AA1320" s="16">
        <f t="shared" si="499"/>
        <v>0.83545017461983007</v>
      </c>
      <c r="AB1320" s="16">
        <f t="shared" si="500"/>
        <v>-1.0668986255334434E-5</v>
      </c>
      <c r="AC1320" s="16">
        <f t="shared" si="501"/>
        <v>-8.4400416034374759E-4</v>
      </c>
    </row>
    <row r="1321" spans="1:29" x14ac:dyDescent="0.15">
      <c r="A1321" s="8">
        <v>42821</v>
      </c>
      <c r="B1321" s="4">
        <v>2341.59</v>
      </c>
      <c r="C1321" s="1">
        <v>11.6417</v>
      </c>
      <c r="D1321" s="1">
        <v>2.08</v>
      </c>
      <c r="E1321" s="1">
        <v>1.1775</v>
      </c>
      <c r="F1321" s="4">
        <f t="shared" si="491"/>
        <v>0.11641700000000001</v>
      </c>
      <c r="G1321" s="4">
        <f t="shared" si="492"/>
        <v>2.0799999999999999E-2</v>
      </c>
      <c r="H1321" s="4">
        <f t="shared" si="493"/>
        <v>1.1775000000000001E-2</v>
      </c>
      <c r="I1321" s="3">
        <f t="shared" si="494"/>
        <v>56.738023095336445</v>
      </c>
      <c r="J1321" s="4">
        <f t="shared" si="504"/>
        <v>1732815.9951112384</v>
      </c>
      <c r="K1321" s="1">
        <f t="shared" si="505"/>
        <v>2365.38</v>
      </c>
      <c r="L1321" s="5">
        <f t="shared" si="506"/>
        <v>0.15616438356164408</v>
      </c>
      <c r="M1321" s="5">
        <f t="shared" si="507"/>
        <v>-0.58801403953953868</v>
      </c>
      <c r="N1321" s="5">
        <f t="shared" si="508"/>
        <v>57.943142651072598</v>
      </c>
      <c r="O1321" s="1">
        <f t="shared" si="509"/>
        <v>0</v>
      </c>
      <c r="P1321" s="1">
        <f t="shared" si="510"/>
        <v>2365.38</v>
      </c>
      <c r="Q1321" s="5">
        <f t="shared" si="511"/>
        <v>0.15616438356164408</v>
      </c>
      <c r="R1321" s="5">
        <f t="shared" si="512"/>
        <v>-0.58801403953953868</v>
      </c>
      <c r="S1321" s="5">
        <f t="shared" si="495"/>
        <v>57.943142651072598</v>
      </c>
      <c r="T1321" s="5">
        <f t="shared" si="496"/>
        <v>-715.44176785467243</v>
      </c>
      <c r="U1321" s="4">
        <f t="shared" si="497"/>
        <v>1732843.9575392143</v>
      </c>
      <c r="V1321" s="4">
        <f t="shared" si="513"/>
        <v>83.888637615665502</v>
      </c>
      <c r="W1321" s="4">
        <f t="shared" si="498"/>
        <v>1691389.0131258755</v>
      </c>
      <c r="X1321" s="4">
        <f t="shared" si="502"/>
        <v>598.03600963694043</v>
      </c>
      <c r="Y1321" s="9">
        <f>SUM($X$6:X1321)</f>
        <v>691389.0131258755</v>
      </c>
      <c r="Z1321" s="16">
        <f t="shared" si="503"/>
        <v>0.69138901312587553</v>
      </c>
      <c r="AA1321" s="16">
        <f t="shared" si="499"/>
        <v>0.83357868855026407</v>
      </c>
      <c r="AB1321" s="16">
        <f t="shared" si="500"/>
        <v>3.5370191687261802E-4</v>
      </c>
      <c r="AC1321" s="16">
        <f t="shared" si="501"/>
        <v>-1.0196332733213903E-3</v>
      </c>
    </row>
    <row r="1322" spans="1:29" x14ac:dyDescent="0.15">
      <c r="A1322" s="8">
        <v>42822</v>
      </c>
      <c r="B1322" s="4">
        <v>2358.5700000000002</v>
      </c>
      <c r="C1322" s="1">
        <v>11.0541</v>
      </c>
      <c r="D1322" s="1">
        <v>2.06</v>
      </c>
      <c r="E1322" s="1">
        <v>1.1778</v>
      </c>
      <c r="F1322" s="4">
        <f t="shared" si="491"/>
        <v>0.110541</v>
      </c>
      <c r="G1322" s="4">
        <f t="shared" si="492"/>
        <v>2.06E-2</v>
      </c>
      <c r="H1322" s="4">
        <f t="shared" si="493"/>
        <v>1.1778E-2</v>
      </c>
      <c r="I1322" s="3">
        <f t="shared" si="494"/>
        <v>54.343223716416837</v>
      </c>
      <c r="J1322" s="4">
        <f t="shared" si="504"/>
        <v>1732843.9575392143</v>
      </c>
      <c r="K1322" s="1">
        <f t="shared" si="505"/>
        <v>2365.38</v>
      </c>
      <c r="L1322" s="5">
        <f t="shared" si="506"/>
        <v>0.15342465753424683</v>
      </c>
      <c r="M1322" s="5">
        <f t="shared" si="507"/>
        <v>-0.52869631596644617</v>
      </c>
      <c r="N1322" s="5">
        <f t="shared" si="508"/>
        <v>45.88099890739332</v>
      </c>
      <c r="O1322" s="1">
        <f t="shared" si="509"/>
        <v>0</v>
      </c>
      <c r="P1322" s="1">
        <f t="shared" si="510"/>
        <v>2365.38</v>
      </c>
      <c r="Q1322" s="5">
        <f t="shared" si="511"/>
        <v>0.15342465753424683</v>
      </c>
      <c r="R1322" s="5">
        <f t="shared" si="512"/>
        <v>-0.52869631596644617</v>
      </c>
      <c r="S1322" s="5">
        <f t="shared" si="495"/>
        <v>45.88099890739332</v>
      </c>
      <c r="T1322" s="5">
        <f t="shared" si="496"/>
        <v>-715.44176785467243</v>
      </c>
      <c r="U1322" s="4">
        <f t="shared" si="497"/>
        <v>1732927.8461768299</v>
      </c>
      <c r="V1322" s="4">
        <f t="shared" si="513"/>
        <v>27.964232915017881</v>
      </c>
      <c r="W1322" s="4">
        <f t="shared" si="498"/>
        <v>1700102.6632075862</v>
      </c>
      <c r="X1322" s="4">
        <f t="shared" si="502"/>
        <v>8713.6500817106571</v>
      </c>
      <c r="Y1322" s="9">
        <f>SUM($X$6:X1322)</f>
        <v>700102.66320758616</v>
      </c>
      <c r="Z1322" s="16">
        <f t="shared" si="503"/>
        <v>0.70010266320758618</v>
      </c>
      <c r="AA1322" s="16">
        <f t="shared" si="499"/>
        <v>0.84687485317839428</v>
      </c>
      <c r="AB1322" s="16">
        <f t="shared" si="500"/>
        <v>5.1517717178538721E-3</v>
      </c>
      <c r="AC1322" s="16">
        <f t="shared" si="501"/>
        <v>7.2514829667021203E-3</v>
      </c>
    </row>
    <row r="1323" spans="1:29" x14ac:dyDescent="0.15">
      <c r="A1323" s="8">
        <v>42823</v>
      </c>
      <c r="B1323" s="4">
        <v>2361.13</v>
      </c>
      <c r="C1323" s="1">
        <v>10.899699999999999</v>
      </c>
      <c r="D1323" s="1">
        <v>2.06</v>
      </c>
      <c r="E1323" s="1">
        <v>1.1595</v>
      </c>
      <c r="F1323" s="4">
        <f t="shared" si="491"/>
        <v>0.108997</v>
      </c>
      <c r="G1323" s="4">
        <f t="shared" si="492"/>
        <v>2.06E-2</v>
      </c>
      <c r="H1323" s="4">
        <f t="shared" si="493"/>
        <v>1.1594999999999999E-2</v>
      </c>
      <c r="I1323" s="3">
        <f t="shared" si="494"/>
        <v>53.736414251605844</v>
      </c>
      <c r="J1323" s="4">
        <f t="shared" si="504"/>
        <v>1732927.8461768299</v>
      </c>
      <c r="K1323" s="1">
        <f t="shared" si="505"/>
        <v>2365.38</v>
      </c>
      <c r="L1323" s="5">
        <f t="shared" si="506"/>
        <v>0.15068493150684958</v>
      </c>
      <c r="M1323" s="5">
        <f t="shared" si="507"/>
        <v>-0.51968529490211013</v>
      </c>
      <c r="N1323" s="5">
        <f t="shared" si="508"/>
        <v>43.620896478330806</v>
      </c>
      <c r="O1323" s="1">
        <f t="shared" si="509"/>
        <v>0</v>
      </c>
      <c r="P1323" s="1">
        <f t="shared" si="510"/>
        <v>2365.38</v>
      </c>
      <c r="Q1323" s="5">
        <f t="shared" si="511"/>
        <v>0.15068493150684958</v>
      </c>
      <c r="R1323" s="5">
        <f t="shared" si="512"/>
        <v>-0.51968529490211013</v>
      </c>
      <c r="S1323" s="5">
        <f t="shared" si="495"/>
        <v>43.620896478330806</v>
      </c>
      <c r="T1323" s="5">
        <f t="shared" si="496"/>
        <v>-715.44176785467243</v>
      </c>
      <c r="U1323" s="4">
        <f t="shared" si="497"/>
        <v>1732955.810409745</v>
      </c>
      <c r="V1323" s="4">
        <f t="shared" si="513"/>
        <v>27.964684173461361</v>
      </c>
      <c r="W1323" s="4">
        <f t="shared" si="498"/>
        <v>1701747.5991178823</v>
      </c>
      <c r="X1323" s="4">
        <f t="shared" si="502"/>
        <v>1644.9359102961607</v>
      </c>
      <c r="Y1323" s="9">
        <f>SUM($X$6:X1323)</f>
        <v>701747.59911788232</v>
      </c>
      <c r="Z1323" s="16">
        <f t="shared" si="503"/>
        <v>0.70174759911788231</v>
      </c>
      <c r="AA1323" s="16">
        <f t="shared" si="499"/>
        <v>0.84887945750395455</v>
      </c>
      <c r="AB1323" s="16">
        <f t="shared" si="500"/>
        <v>9.6755092847902356E-4</v>
      </c>
      <c r="AC1323" s="16">
        <f t="shared" si="501"/>
        <v>1.0854034436119959E-3</v>
      </c>
    </row>
    <row r="1324" spans="1:29" x14ac:dyDescent="0.15">
      <c r="A1324" s="8">
        <v>42824</v>
      </c>
      <c r="B1324" s="4">
        <v>2368.06</v>
      </c>
      <c r="C1324" s="1">
        <v>10.8116</v>
      </c>
      <c r="D1324" s="1">
        <v>2.0499999999999998</v>
      </c>
      <c r="E1324" s="1">
        <v>1.1604000000000001</v>
      </c>
      <c r="F1324" s="4">
        <f t="shared" si="491"/>
        <v>0.108116</v>
      </c>
      <c r="G1324" s="4">
        <f t="shared" si="492"/>
        <v>2.0499999999999997E-2</v>
      </c>
      <c r="H1324" s="4">
        <f t="shared" si="493"/>
        <v>1.1604000000000001E-2</v>
      </c>
      <c r="I1324" s="3">
        <f t="shared" si="494"/>
        <v>53.448227102250058</v>
      </c>
      <c r="J1324" s="4">
        <f t="shared" si="504"/>
        <v>1732955.810409745</v>
      </c>
      <c r="K1324" s="1">
        <f t="shared" si="505"/>
        <v>2365.38</v>
      </c>
      <c r="L1324" s="5">
        <f t="shared" si="506"/>
        <v>0.14794520547945234</v>
      </c>
      <c r="M1324" s="5">
        <f t="shared" si="507"/>
        <v>-0.4919736438684007</v>
      </c>
      <c r="N1324" s="5">
        <f t="shared" si="508"/>
        <v>39.385602778771677</v>
      </c>
      <c r="O1324" s="1">
        <f t="shared" si="509"/>
        <v>0</v>
      </c>
      <c r="P1324" s="1">
        <f t="shared" si="510"/>
        <v>2365.38</v>
      </c>
      <c r="Q1324" s="5">
        <f t="shared" si="511"/>
        <v>0.14794520547945234</v>
      </c>
      <c r="R1324" s="5">
        <f t="shared" si="512"/>
        <v>-0.4919736438684007</v>
      </c>
      <c r="S1324" s="5">
        <f t="shared" si="495"/>
        <v>39.385602778771677</v>
      </c>
      <c r="T1324" s="5">
        <f t="shared" si="496"/>
        <v>-715.44176785467243</v>
      </c>
      <c r="U1324" s="4">
        <f t="shared" si="497"/>
        <v>1732983.7750939184</v>
      </c>
      <c r="V1324" s="4">
        <f t="shared" si="513"/>
        <v>27.965135439186792</v>
      </c>
      <c r="W1324" s="4">
        <f t="shared" si="498"/>
        <v>1704805.6698138521</v>
      </c>
      <c r="X1324" s="4">
        <f t="shared" si="502"/>
        <v>3058.0706959697418</v>
      </c>
      <c r="Y1324" s="9">
        <f>SUM($X$6:X1324)</f>
        <v>704805.66981385206</v>
      </c>
      <c r="Z1324" s="16">
        <f t="shared" si="503"/>
        <v>0.70480566981385206</v>
      </c>
      <c r="AA1324" s="16">
        <f t="shared" si="499"/>
        <v>0.85430598405713121</v>
      </c>
      <c r="AB1324" s="16">
        <f t="shared" si="500"/>
        <v>1.7970177819289553E-3</v>
      </c>
      <c r="AC1324" s="16">
        <f t="shared" si="501"/>
        <v>2.9350353432465964E-3</v>
      </c>
    </row>
    <row r="1325" spans="1:29" x14ac:dyDescent="0.15">
      <c r="A1325" s="8">
        <v>42825</v>
      </c>
      <c r="B1325" s="4">
        <v>2362.7199999999998</v>
      </c>
      <c r="C1325" s="1">
        <v>10.9391</v>
      </c>
      <c r="D1325" s="1">
        <v>2.06</v>
      </c>
      <c r="E1325" s="1">
        <v>1.1621999999999999</v>
      </c>
      <c r="F1325" s="4">
        <f t="shared" si="491"/>
        <v>0.109391</v>
      </c>
      <c r="G1325" s="4">
        <f t="shared" si="492"/>
        <v>2.06E-2</v>
      </c>
      <c r="H1325" s="4">
        <f t="shared" si="493"/>
        <v>1.1621999999999999E-2</v>
      </c>
      <c r="I1325" s="3">
        <f t="shared" si="494"/>
        <v>53.948706910109479</v>
      </c>
      <c r="J1325" s="4">
        <f t="shared" si="504"/>
        <v>1732983.7750939184</v>
      </c>
      <c r="K1325" s="1">
        <f t="shared" si="505"/>
        <v>2365.38</v>
      </c>
      <c r="L1325" s="5">
        <f t="shared" si="506"/>
        <v>0.14520547945205509</v>
      </c>
      <c r="M1325" s="5">
        <f t="shared" si="507"/>
        <v>-0.51338908765987812</v>
      </c>
      <c r="N1325" s="5">
        <f t="shared" si="508"/>
        <v>42.149441343944147</v>
      </c>
      <c r="O1325" s="1">
        <f t="shared" si="509"/>
        <v>0</v>
      </c>
      <c r="P1325" s="1">
        <f t="shared" si="510"/>
        <v>2365.38</v>
      </c>
      <c r="Q1325" s="5">
        <f t="shared" si="511"/>
        <v>0.14520547945205509</v>
      </c>
      <c r="R1325" s="5">
        <f t="shared" si="512"/>
        <v>-0.51338908765987812</v>
      </c>
      <c r="S1325" s="5">
        <f t="shared" si="495"/>
        <v>42.149441343944147</v>
      </c>
      <c r="T1325" s="5">
        <f t="shared" si="496"/>
        <v>-715.44176785467243</v>
      </c>
      <c r="U1325" s="4">
        <f t="shared" si="497"/>
        <v>1733011.7402293577</v>
      </c>
      <c r="V1325" s="4">
        <f t="shared" si="513"/>
        <v>27.965586712194291</v>
      </c>
      <c r="W1325" s="4">
        <f t="shared" si="498"/>
        <v>1702856.2694001596</v>
      </c>
      <c r="X1325" s="4">
        <f t="shared" si="502"/>
        <v>-1949.4004136924632</v>
      </c>
      <c r="Y1325" s="9">
        <f>SUM($X$6:X1325)</f>
        <v>702856.2694001596</v>
      </c>
      <c r="Z1325" s="16">
        <f t="shared" si="503"/>
        <v>0.70285626940015955</v>
      </c>
      <c r="AA1325" s="16">
        <f t="shared" si="499"/>
        <v>0.8501245047217828</v>
      </c>
      <c r="AB1325" s="16">
        <f t="shared" si="500"/>
        <v>-1.1434736804373242E-3</v>
      </c>
      <c r="AC1325" s="16">
        <f t="shared" si="501"/>
        <v>-2.2550104304790188E-3</v>
      </c>
    </row>
    <row r="1326" spans="1:29" x14ac:dyDescent="0.15">
      <c r="A1326" s="8">
        <v>42828</v>
      </c>
      <c r="B1326" s="4">
        <v>2358.84</v>
      </c>
      <c r="C1326" s="1">
        <v>11.039099999999999</v>
      </c>
      <c r="D1326" s="1">
        <v>2.06</v>
      </c>
      <c r="E1326" s="1">
        <v>1.1626000000000001</v>
      </c>
      <c r="F1326" s="4">
        <f t="shared" si="491"/>
        <v>0.11039099999999999</v>
      </c>
      <c r="G1326" s="4">
        <f t="shared" si="492"/>
        <v>2.06E-2</v>
      </c>
      <c r="H1326" s="4">
        <f t="shared" si="493"/>
        <v>1.1626000000000001E-2</v>
      </c>
      <c r="I1326" s="3">
        <f t="shared" si="494"/>
        <v>54.32630392386401</v>
      </c>
      <c r="J1326" s="4">
        <f t="shared" si="504"/>
        <v>1733011.7402293577</v>
      </c>
      <c r="K1326" s="1">
        <f t="shared" si="505"/>
        <v>2365.38</v>
      </c>
      <c r="L1326" s="5">
        <f t="shared" si="506"/>
        <v>0.13698630136986331</v>
      </c>
      <c r="M1326" s="5">
        <f t="shared" si="507"/>
        <v>-0.52936099300689066</v>
      </c>
      <c r="N1326" s="5">
        <f t="shared" si="508"/>
        <v>43.309619457206686</v>
      </c>
      <c r="O1326" s="1">
        <f t="shared" si="509"/>
        <v>0</v>
      </c>
      <c r="P1326" s="1">
        <f t="shared" si="510"/>
        <v>2365.38</v>
      </c>
      <c r="Q1326" s="5">
        <f t="shared" si="511"/>
        <v>0.13698630136986331</v>
      </c>
      <c r="R1326" s="5">
        <f t="shared" si="512"/>
        <v>-0.52936099300689066</v>
      </c>
      <c r="S1326" s="5">
        <f t="shared" si="495"/>
        <v>43.309619457206686</v>
      </c>
      <c r="T1326" s="5">
        <f t="shared" si="496"/>
        <v>-715.44176785467243</v>
      </c>
      <c r="U1326" s="4">
        <f t="shared" si="497"/>
        <v>1733039.7058160699</v>
      </c>
      <c r="V1326" s="4">
        <f t="shared" si="513"/>
        <v>83.898113977451914</v>
      </c>
      <c r="W1326" s="4">
        <f t="shared" si="498"/>
        <v>1702054.1951064928</v>
      </c>
      <c r="X1326" s="4">
        <f t="shared" si="502"/>
        <v>-802.07429366675206</v>
      </c>
      <c r="Y1326" s="9">
        <f>SUM($X$6:X1326)</f>
        <v>702054.19510649284</v>
      </c>
      <c r="Z1326" s="16">
        <f t="shared" si="503"/>
        <v>0.70205419510649281</v>
      </c>
      <c r="AA1326" s="16">
        <f t="shared" si="499"/>
        <v>0.84708627629085576</v>
      </c>
      <c r="AB1326" s="16">
        <f t="shared" si="500"/>
        <v>-4.7101702479522073E-4</v>
      </c>
      <c r="AC1326" s="16">
        <f t="shared" si="501"/>
        <v>-1.6421751202003007E-3</v>
      </c>
    </row>
    <row r="1327" spans="1:29" x14ac:dyDescent="0.15">
      <c r="A1327" s="8">
        <v>42829</v>
      </c>
      <c r="B1327" s="4">
        <v>2360.16</v>
      </c>
      <c r="C1327" s="1">
        <v>10.812799999999999</v>
      </c>
      <c r="D1327" s="1">
        <v>2.06</v>
      </c>
      <c r="E1327" s="1">
        <v>1.1626000000000001</v>
      </c>
      <c r="F1327" s="4">
        <f t="shared" si="491"/>
        <v>0.10812799999999999</v>
      </c>
      <c r="G1327" s="4">
        <f t="shared" si="492"/>
        <v>2.06E-2</v>
      </c>
      <c r="H1327" s="4">
        <f t="shared" si="493"/>
        <v>1.1626000000000001E-2</v>
      </c>
      <c r="I1327" s="3">
        <f t="shared" si="494"/>
        <v>53.298331554159709</v>
      </c>
      <c r="J1327" s="4">
        <f t="shared" si="504"/>
        <v>1733039.7058160699</v>
      </c>
      <c r="K1327" s="1">
        <f t="shared" si="505"/>
        <v>2365.38</v>
      </c>
      <c r="L1327" s="5">
        <f t="shared" si="506"/>
        <v>0.13424657534246606</v>
      </c>
      <c r="M1327" s="5">
        <f t="shared" si="507"/>
        <v>-0.5250023516852933</v>
      </c>
      <c r="N1327" s="5">
        <f t="shared" si="508"/>
        <v>41.423719782127478</v>
      </c>
      <c r="O1327" s="1">
        <f t="shared" si="509"/>
        <v>0</v>
      </c>
      <c r="P1327" s="1">
        <f t="shared" si="510"/>
        <v>2365.38</v>
      </c>
      <c r="Q1327" s="5">
        <f t="shared" si="511"/>
        <v>0.13424657534246606</v>
      </c>
      <c r="R1327" s="5">
        <f t="shared" si="512"/>
        <v>-0.5250023516852933</v>
      </c>
      <c r="S1327" s="5">
        <f t="shared" si="495"/>
        <v>41.423719782127478</v>
      </c>
      <c r="T1327" s="5">
        <f t="shared" si="496"/>
        <v>-715.44176785467243</v>
      </c>
      <c r="U1327" s="4">
        <f t="shared" si="497"/>
        <v>1733123.6039300472</v>
      </c>
      <c r="V1327" s="4">
        <f t="shared" si="513"/>
        <v>27.967391855199935</v>
      </c>
      <c r="W1327" s="4">
        <f t="shared" si="498"/>
        <v>1703487.3446180054</v>
      </c>
      <c r="X1327" s="4">
        <f t="shared" si="502"/>
        <v>1433.1495115126017</v>
      </c>
      <c r="Y1327" s="9">
        <f>SUM($X$6:X1327)</f>
        <v>703487.34461800545</v>
      </c>
      <c r="Z1327" s="16">
        <f t="shared" si="503"/>
        <v>0.70348734461800544</v>
      </c>
      <c r="AA1327" s="16">
        <f t="shared" si="499"/>
        <v>0.84811990039622254</v>
      </c>
      <c r="AB1327" s="16">
        <f t="shared" si="500"/>
        <v>8.4201167955344307E-4</v>
      </c>
      <c r="AC1327" s="16">
        <f t="shared" si="501"/>
        <v>5.5959709009500806E-4</v>
      </c>
    </row>
    <row r="1328" spans="1:29" x14ac:dyDescent="0.15">
      <c r="A1328" s="8">
        <v>42830</v>
      </c>
      <c r="B1328" s="4">
        <v>2352.9499999999998</v>
      </c>
      <c r="C1328" s="1">
        <v>11.277100000000001</v>
      </c>
      <c r="D1328" s="1">
        <v>2.0699999999999998</v>
      </c>
      <c r="E1328" s="1">
        <v>1.1632</v>
      </c>
      <c r="F1328" s="4">
        <f t="shared" si="491"/>
        <v>0.11277100000000001</v>
      </c>
      <c r="G1328" s="4">
        <f t="shared" si="492"/>
        <v>2.07E-2</v>
      </c>
      <c r="H1328" s="4">
        <f t="shared" si="493"/>
        <v>1.1632E-2</v>
      </c>
      <c r="I1328" s="3">
        <f t="shared" si="494"/>
        <v>55.327969555171585</v>
      </c>
      <c r="J1328" s="4">
        <f t="shared" si="504"/>
        <v>1733123.6039300472</v>
      </c>
      <c r="K1328" s="1">
        <f t="shared" si="505"/>
        <v>2365.38</v>
      </c>
      <c r="L1328" s="5">
        <f t="shared" si="506"/>
        <v>0.13150684931506881</v>
      </c>
      <c r="M1328" s="5">
        <f t="shared" si="507"/>
        <v>-0.55319399439945116</v>
      </c>
      <c r="N1328" s="5">
        <f t="shared" si="508"/>
        <v>46.488715138893554</v>
      </c>
      <c r="O1328" s="1">
        <f t="shared" si="509"/>
        <v>0</v>
      </c>
      <c r="P1328" s="1">
        <f t="shared" si="510"/>
        <v>2365.38</v>
      </c>
      <c r="Q1328" s="5">
        <f t="shared" si="511"/>
        <v>0.13150684931506881</v>
      </c>
      <c r="R1328" s="5">
        <f t="shared" si="512"/>
        <v>-0.55319399439945116</v>
      </c>
      <c r="S1328" s="5">
        <f t="shared" si="495"/>
        <v>46.488715138893554</v>
      </c>
      <c r="T1328" s="5">
        <f t="shared" si="496"/>
        <v>-715.44176785467243</v>
      </c>
      <c r="U1328" s="4">
        <f t="shared" si="497"/>
        <v>1733151.5713219026</v>
      </c>
      <c r="V1328" s="4">
        <f t="shared" si="513"/>
        <v>27.967843164619193</v>
      </c>
      <c r="W1328" s="4">
        <f t="shared" si="498"/>
        <v>1699891.6027776403</v>
      </c>
      <c r="X1328" s="4">
        <f t="shared" si="502"/>
        <v>-3595.74184036511</v>
      </c>
      <c r="Y1328" s="9">
        <f>SUM($X$6:X1328)</f>
        <v>699891.60277764034</v>
      </c>
      <c r="Z1328" s="16">
        <f t="shared" si="503"/>
        <v>0.69989160277764029</v>
      </c>
      <c r="AA1328" s="16">
        <f t="shared" si="499"/>
        <v>0.84247412024493751</v>
      </c>
      <c r="AB1328" s="16">
        <f t="shared" si="500"/>
        <v>-2.1108121828585869E-3</v>
      </c>
      <c r="AC1328" s="16">
        <f t="shared" si="501"/>
        <v>-3.054877635414564E-3</v>
      </c>
    </row>
    <row r="1329" spans="1:29" x14ac:dyDescent="0.15">
      <c r="A1329" s="8">
        <v>42831</v>
      </c>
      <c r="B1329" s="4">
        <v>2357.4899999999998</v>
      </c>
      <c r="C1329" s="1">
        <v>10.965199999999999</v>
      </c>
      <c r="D1329" s="1">
        <v>2.0699999999999998</v>
      </c>
      <c r="E1329" s="1">
        <v>1.1681999999999999</v>
      </c>
      <c r="F1329" s="4">
        <f t="shared" si="491"/>
        <v>0.109652</v>
      </c>
      <c r="G1329" s="4">
        <f t="shared" si="492"/>
        <v>2.07E-2</v>
      </c>
      <c r="H1329" s="4">
        <f t="shared" si="493"/>
        <v>1.1682E-2</v>
      </c>
      <c r="I1329" s="3">
        <f t="shared" si="494"/>
        <v>53.962231449178603</v>
      </c>
      <c r="J1329" s="4">
        <f t="shared" si="504"/>
        <v>1733151.5713219026</v>
      </c>
      <c r="K1329" s="1">
        <f t="shared" si="505"/>
        <v>2365.38</v>
      </c>
      <c r="L1329" s="5">
        <f t="shared" si="506"/>
        <v>0.12876712328767156</v>
      </c>
      <c r="M1329" s="5">
        <f t="shared" si="507"/>
        <v>-0.53631289092439494</v>
      </c>
      <c r="N1329" s="5">
        <f t="shared" si="508"/>
        <v>42.535826511716216</v>
      </c>
      <c r="O1329" s="1">
        <f t="shared" si="509"/>
        <v>0</v>
      </c>
      <c r="P1329" s="1">
        <f t="shared" si="510"/>
        <v>2365.38</v>
      </c>
      <c r="Q1329" s="5">
        <f t="shared" si="511"/>
        <v>0.12876712328767156</v>
      </c>
      <c r="R1329" s="5">
        <f t="shared" si="512"/>
        <v>-0.53631289092439494</v>
      </c>
      <c r="S1329" s="5">
        <f t="shared" si="495"/>
        <v>42.535826511716216</v>
      </c>
      <c r="T1329" s="5">
        <f t="shared" si="496"/>
        <v>-715.44176785467243</v>
      </c>
      <c r="U1329" s="4">
        <f t="shared" si="497"/>
        <v>1733179.5391650673</v>
      </c>
      <c r="V1329" s="4">
        <f t="shared" si="513"/>
        <v>27.96829448132122</v>
      </c>
      <c r="W1329" s="4">
        <f t="shared" si="498"/>
        <v>1702747.6322483653</v>
      </c>
      <c r="X1329" s="4">
        <f t="shared" si="502"/>
        <v>2856.029470724985</v>
      </c>
      <c r="Y1329" s="9">
        <f>SUM($X$6:X1329)</f>
        <v>702747.63224836532</v>
      </c>
      <c r="Z1329" s="16">
        <f t="shared" si="503"/>
        <v>0.70274763224836534</v>
      </c>
      <c r="AA1329" s="16">
        <f t="shared" si="499"/>
        <v>0.84602916072854828</v>
      </c>
      <c r="AB1329" s="16">
        <f t="shared" si="500"/>
        <v>1.6801244656178098E-3</v>
      </c>
      <c r="AC1329" s="16">
        <f t="shared" si="501"/>
        <v>1.9294927644021181E-3</v>
      </c>
    </row>
    <row r="1330" spans="1:29" x14ac:dyDescent="0.15">
      <c r="A1330" s="8">
        <v>42832</v>
      </c>
      <c r="B1330" s="4">
        <v>2355.54</v>
      </c>
      <c r="C1330" s="1">
        <v>11.209899999999999</v>
      </c>
      <c r="D1330" s="1">
        <v>2.0699999999999998</v>
      </c>
      <c r="E1330" s="1">
        <v>1.1705000000000001</v>
      </c>
      <c r="F1330" s="4">
        <f t="shared" si="491"/>
        <v>0.11209899999999999</v>
      </c>
      <c r="G1330" s="4">
        <f t="shared" si="492"/>
        <v>2.07E-2</v>
      </c>
      <c r="H1330" s="4">
        <f t="shared" si="493"/>
        <v>1.1705E-2</v>
      </c>
      <c r="I1330" s="3">
        <f t="shared" si="494"/>
        <v>55.052667891806799</v>
      </c>
      <c r="J1330" s="4">
        <f t="shared" si="504"/>
        <v>1733179.5391650673</v>
      </c>
      <c r="K1330" s="1">
        <f t="shared" si="505"/>
        <v>2365.38</v>
      </c>
      <c r="L1330" s="5">
        <f t="shared" si="506"/>
        <v>0.12602739726027432</v>
      </c>
      <c r="M1330" s="5">
        <f t="shared" si="507"/>
        <v>-0.54369960801040507</v>
      </c>
      <c r="N1330" s="5">
        <f t="shared" si="508"/>
        <v>43.972643479753884</v>
      </c>
      <c r="O1330" s="1">
        <f t="shared" si="509"/>
        <v>0</v>
      </c>
      <c r="P1330" s="1">
        <f t="shared" si="510"/>
        <v>2365.38</v>
      </c>
      <c r="Q1330" s="5">
        <f t="shared" si="511"/>
        <v>0.12602739726027432</v>
      </c>
      <c r="R1330" s="5">
        <f t="shared" si="512"/>
        <v>-0.54369960801040507</v>
      </c>
      <c r="S1330" s="5">
        <f t="shared" si="495"/>
        <v>43.972643479753884</v>
      </c>
      <c r="T1330" s="5">
        <f t="shared" si="496"/>
        <v>-715.44176785467243</v>
      </c>
      <c r="U1330" s="4">
        <f t="shared" si="497"/>
        <v>1733207.5074595485</v>
      </c>
      <c r="V1330" s="4">
        <f t="shared" si="513"/>
        <v>27.968745805306135</v>
      </c>
      <c r="W1330" s="4">
        <f t="shared" si="498"/>
        <v>1701747.6416711502</v>
      </c>
      <c r="X1330" s="4">
        <f t="shared" si="502"/>
        <v>-999.99057721509598</v>
      </c>
      <c r="Y1330" s="9">
        <f>SUM($X$6:X1330)</f>
        <v>701747.64167115022</v>
      </c>
      <c r="Z1330" s="16">
        <f t="shared" si="503"/>
        <v>0.70174764167115022</v>
      </c>
      <c r="AA1330" s="16">
        <f t="shared" si="499"/>
        <v>0.84450221602743802</v>
      </c>
      <c r="AB1330" s="16">
        <f t="shared" si="500"/>
        <v>-5.8728055659937979E-4</v>
      </c>
      <c r="AC1330" s="16">
        <f t="shared" si="501"/>
        <v>-8.2715091050219439E-4</v>
      </c>
    </row>
    <row r="1331" spans="1:29" x14ac:dyDescent="0.15">
      <c r="A1331" s="8">
        <v>42835</v>
      </c>
      <c r="B1331" s="4">
        <v>2357.16</v>
      </c>
      <c r="C1331" s="1">
        <v>11.6538</v>
      </c>
      <c r="D1331" s="1">
        <v>2.0699999999999998</v>
      </c>
      <c r="E1331" s="1">
        <v>1.1685000000000001</v>
      </c>
      <c r="F1331" s="4">
        <f t="shared" si="491"/>
        <v>0.116538</v>
      </c>
      <c r="G1331" s="4">
        <f t="shared" si="492"/>
        <v>2.07E-2</v>
      </c>
      <c r="H1331" s="4">
        <f t="shared" si="493"/>
        <v>1.1685000000000001E-2</v>
      </c>
      <c r="I1331" s="3">
        <f t="shared" si="494"/>
        <v>57.170148122039016</v>
      </c>
      <c r="J1331" s="4">
        <f t="shared" si="504"/>
        <v>1733207.5074595485</v>
      </c>
      <c r="K1331" s="1">
        <f t="shared" si="505"/>
        <v>2365.38</v>
      </c>
      <c r="L1331" s="5">
        <f t="shared" si="506"/>
        <v>0.11780821917808254</v>
      </c>
      <c r="M1331" s="5">
        <f t="shared" si="507"/>
        <v>-0.53597075766463576</v>
      </c>
      <c r="N1331" s="5">
        <f t="shared" si="508"/>
        <v>43.20167837729015</v>
      </c>
      <c r="O1331" s="1">
        <f t="shared" si="509"/>
        <v>0</v>
      </c>
      <c r="P1331" s="1">
        <f t="shared" si="510"/>
        <v>2365.38</v>
      </c>
      <c r="Q1331" s="5">
        <f t="shared" si="511"/>
        <v>0.11780821917808254</v>
      </c>
      <c r="R1331" s="5">
        <f t="shared" si="512"/>
        <v>-0.53597075766463576</v>
      </c>
      <c r="S1331" s="5">
        <f t="shared" si="495"/>
        <v>43.20167837729015</v>
      </c>
      <c r="T1331" s="5">
        <f t="shared" si="496"/>
        <v>-715.44176785467243</v>
      </c>
      <c r="U1331" s="4">
        <f t="shared" si="497"/>
        <v>1733235.4762053539</v>
      </c>
      <c r="V1331" s="4">
        <f t="shared" si="513"/>
        <v>83.907591409722201</v>
      </c>
      <c r="W1331" s="4">
        <f t="shared" si="498"/>
        <v>1702327.1910528163</v>
      </c>
      <c r="X1331" s="4">
        <f t="shared" si="502"/>
        <v>579.54938166611828</v>
      </c>
      <c r="Y1331" s="9">
        <f>SUM($X$6:X1331)</f>
        <v>702327.19105281634</v>
      </c>
      <c r="Z1331" s="16">
        <f t="shared" si="503"/>
        <v>0.70232719105281638</v>
      </c>
      <c r="AA1331" s="16">
        <f t="shared" si="499"/>
        <v>0.84577075470220664</v>
      </c>
      <c r="AB1331" s="16">
        <f t="shared" si="500"/>
        <v>3.4056129562018325E-4</v>
      </c>
      <c r="AC1331" s="16">
        <f t="shared" si="501"/>
        <v>6.8774039073838311E-4</v>
      </c>
    </row>
    <row r="1332" spans="1:29" x14ac:dyDescent="0.15">
      <c r="A1332" s="8">
        <v>42836</v>
      </c>
      <c r="B1332" s="4">
        <v>2353.7800000000002</v>
      </c>
      <c r="C1332" s="1">
        <v>11.9796</v>
      </c>
      <c r="D1332" s="1">
        <v>2.0699999999999998</v>
      </c>
      <c r="E1332" s="1">
        <v>1.1678999999999999</v>
      </c>
      <c r="F1332" s="4">
        <f t="shared" si="491"/>
        <v>0.119796</v>
      </c>
      <c r="G1332" s="4">
        <f t="shared" si="492"/>
        <v>2.07E-2</v>
      </c>
      <c r="H1332" s="4">
        <f t="shared" si="493"/>
        <v>1.1679E-2</v>
      </c>
      <c r="I1332" s="3">
        <f t="shared" si="494"/>
        <v>58.609671032753496</v>
      </c>
      <c r="J1332" s="4">
        <f t="shared" si="504"/>
        <v>1733235.4762053539</v>
      </c>
      <c r="K1332" s="1">
        <f t="shared" si="505"/>
        <v>2365.38</v>
      </c>
      <c r="L1332" s="5">
        <f t="shared" si="506"/>
        <v>0.11506849315068528</v>
      </c>
      <c r="M1332" s="5">
        <f t="shared" si="507"/>
        <v>-0.54890532755850718</v>
      </c>
      <c r="N1332" s="5">
        <f t="shared" si="508"/>
        <v>45.599837563840836</v>
      </c>
      <c r="O1332" s="1">
        <f t="shared" si="509"/>
        <v>0</v>
      </c>
      <c r="P1332" s="1">
        <f t="shared" si="510"/>
        <v>2365.38</v>
      </c>
      <c r="Q1332" s="5">
        <f t="shared" si="511"/>
        <v>0.11506849315068528</v>
      </c>
      <c r="R1332" s="5">
        <f t="shared" si="512"/>
        <v>-0.54890532755850718</v>
      </c>
      <c r="S1332" s="5">
        <f t="shared" si="495"/>
        <v>45.599837563840836</v>
      </c>
      <c r="T1332" s="5">
        <f t="shared" si="496"/>
        <v>-715.44176785467243</v>
      </c>
      <c r="U1332" s="4">
        <f t="shared" si="497"/>
        <v>1733319.3837967636</v>
      </c>
      <c r="V1332" s="4">
        <f t="shared" si="513"/>
        <v>27.970551152227223</v>
      </c>
      <c r="W1332" s="4">
        <f t="shared" si="498"/>
        <v>1700695.3553962035</v>
      </c>
      <c r="X1332" s="4">
        <f t="shared" si="502"/>
        <v>-1631.8356566128787</v>
      </c>
      <c r="Y1332" s="9">
        <f>SUM($X$6:X1332)</f>
        <v>700695.35539620346</v>
      </c>
      <c r="Z1332" s="16">
        <f t="shared" si="503"/>
        <v>0.70069535539620342</v>
      </c>
      <c r="AA1332" s="16">
        <f t="shared" si="499"/>
        <v>0.84312405055361561</v>
      </c>
      <c r="AB1332" s="16">
        <f t="shared" si="500"/>
        <v>-9.58591077666837E-4</v>
      </c>
      <c r="AC1332" s="16">
        <f t="shared" si="501"/>
        <v>-1.4339289653649539E-3</v>
      </c>
    </row>
    <row r="1333" spans="1:29" x14ac:dyDescent="0.15">
      <c r="A1333" s="8">
        <v>42837</v>
      </c>
      <c r="B1333" s="4">
        <v>2344.9299999999998</v>
      </c>
      <c r="C1333" s="1">
        <v>12.0954</v>
      </c>
      <c r="D1333" s="1">
        <v>2.08</v>
      </c>
      <c r="E1333" s="1">
        <v>1.1713</v>
      </c>
      <c r="F1333" s="4">
        <f t="shared" si="491"/>
        <v>0.12095399999999999</v>
      </c>
      <c r="G1333" s="4">
        <f t="shared" si="492"/>
        <v>2.0799999999999999E-2</v>
      </c>
      <c r="H1333" s="4">
        <f t="shared" si="493"/>
        <v>1.1712999999999999E-2</v>
      </c>
      <c r="I1333" s="3">
        <f t="shared" si="494"/>
        <v>58.946215704691269</v>
      </c>
      <c r="J1333" s="4">
        <f t="shared" si="504"/>
        <v>1733319.3837967636</v>
      </c>
      <c r="K1333" s="1">
        <f t="shared" si="505"/>
        <v>2365.38</v>
      </c>
      <c r="L1333" s="5">
        <f t="shared" si="506"/>
        <v>0.11232876712328801</v>
      </c>
      <c r="M1333" s="5">
        <f t="shared" si="507"/>
        <v>-0.5853470343644277</v>
      </c>
      <c r="N1333" s="5">
        <f t="shared" si="508"/>
        <v>50.506620768345307</v>
      </c>
      <c r="O1333" s="1">
        <f t="shared" si="509"/>
        <v>0</v>
      </c>
      <c r="P1333" s="1">
        <f t="shared" si="510"/>
        <v>2365.38</v>
      </c>
      <c r="Q1333" s="5">
        <f t="shared" si="511"/>
        <v>0.11232876712328801</v>
      </c>
      <c r="R1333" s="5">
        <f t="shared" si="512"/>
        <v>-0.5853470343644277</v>
      </c>
      <c r="S1333" s="5">
        <f t="shared" si="495"/>
        <v>50.506620768345307</v>
      </c>
      <c r="T1333" s="5">
        <f t="shared" si="496"/>
        <v>-715.44176785467243</v>
      </c>
      <c r="U1333" s="4">
        <f t="shared" si="497"/>
        <v>1733347.3543479159</v>
      </c>
      <c r="V1333" s="4">
        <f t="shared" si="513"/>
        <v>27.971002512628008</v>
      </c>
      <c r="W1333" s="4">
        <f t="shared" si="498"/>
        <v>1697212.8082970453</v>
      </c>
      <c r="X1333" s="4">
        <f t="shared" si="502"/>
        <v>-3482.5470991581678</v>
      </c>
      <c r="Y1333" s="9">
        <f>SUM($X$6:X1333)</f>
        <v>697212.8082970453</v>
      </c>
      <c r="Z1333" s="16">
        <f t="shared" si="503"/>
        <v>0.69721280829704535</v>
      </c>
      <c r="AA1333" s="16">
        <f t="shared" si="499"/>
        <v>0.83619407075626828</v>
      </c>
      <c r="AB1333" s="16">
        <f t="shared" si="500"/>
        <v>-2.047719533135818E-3</v>
      </c>
      <c r="AC1333" s="16">
        <f t="shared" si="501"/>
        <v>-3.7599095922305243E-3</v>
      </c>
    </row>
    <row r="1334" spans="1:29" x14ac:dyDescent="0.15">
      <c r="A1334" s="8">
        <v>42838</v>
      </c>
      <c r="B1334" s="4">
        <v>2328.9499999999998</v>
      </c>
      <c r="C1334" s="1">
        <v>12.524000000000001</v>
      </c>
      <c r="D1334" s="1">
        <v>2.09</v>
      </c>
      <c r="E1334" s="1">
        <v>1.1713</v>
      </c>
      <c r="F1334" s="4">
        <f t="shared" si="491"/>
        <v>0.12524000000000002</v>
      </c>
      <c r="G1334" s="4">
        <f t="shared" si="492"/>
        <v>2.0899999999999998E-2</v>
      </c>
      <c r="H1334" s="4">
        <f t="shared" si="493"/>
        <v>1.1712999999999999E-2</v>
      </c>
      <c r="I1334" s="3">
        <f t="shared" si="494"/>
        <v>60.551560706782702</v>
      </c>
      <c r="J1334" s="4">
        <f t="shared" si="504"/>
        <v>1733347.3543479159</v>
      </c>
      <c r="K1334" s="1">
        <f t="shared" si="505"/>
        <v>2365.38</v>
      </c>
      <c r="L1334" s="5">
        <f t="shared" si="506"/>
        <v>0.10958904109589075</v>
      </c>
      <c r="M1334" s="5">
        <f t="shared" si="507"/>
        <v>-0.64577452580589301</v>
      </c>
      <c r="N1334" s="5">
        <f t="shared" si="508"/>
        <v>61.150692488765721</v>
      </c>
      <c r="O1334" s="1">
        <f t="shared" si="509"/>
        <v>0</v>
      </c>
      <c r="P1334" s="1">
        <f t="shared" si="510"/>
        <v>2365.38</v>
      </c>
      <c r="Q1334" s="5">
        <f t="shared" si="511"/>
        <v>0.10958904109589075</v>
      </c>
      <c r="R1334" s="5">
        <f t="shared" si="512"/>
        <v>-0.64577452580589301</v>
      </c>
      <c r="S1334" s="5">
        <f t="shared" si="495"/>
        <v>61.150692488765721</v>
      </c>
      <c r="T1334" s="5">
        <f t="shared" si="496"/>
        <v>-715.44176785467243</v>
      </c>
      <c r="U1334" s="4">
        <f t="shared" si="497"/>
        <v>1733375.3253504285</v>
      </c>
      <c r="V1334" s="4">
        <f t="shared" si="513"/>
        <v>27.971453880312392</v>
      </c>
      <c r="W1334" s="4">
        <f t="shared" si="498"/>
        <v>1689625.5658107286</v>
      </c>
      <c r="X1334" s="4">
        <f t="shared" si="502"/>
        <v>-7587.2424863167107</v>
      </c>
      <c r="Y1334" s="9">
        <f>SUM($X$6:X1334)</f>
        <v>689625.56581072859</v>
      </c>
      <c r="Z1334" s="16">
        <f t="shared" si="503"/>
        <v>0.68962556581072854</v>
      </c>
      <c r="AA1334" s="16">
        <f t="shared" si="499"/>
        <v>0.82368095469281</v>
      </c>
      <c r="AB1334" s="16">
        <f t="shared" si="500"/>
        <v>-4.4704131675329635E-3</v>
      </c>
      <c r="AC1334" s="16">
        <f t="shared" si="501"/>
        <v>-6.8147023578529076E-3</v>
      </c>
    </row>
    <row r="1335" spans="1:29" x14ac:dyDescent="0.15">
      <c r="A1335" s="8">
        <v>42842</v>
      </c>
      <c r="B1335" s="4">
        <v>2349.0100000000002</v>
      </c>
      <c r="C1335" s="1">
        <v>11.762599999999999</v>
      </c>
      <c r="D1335" s="1">
        <v>2.08</v>
      </c>
      <c r="E1335" s="1">
        <v>1.1713</v>
      </c>
      <c r="F1335" s="4">
        <f t="shared" si="491"/>
        <v>0.11762599999999999</v>
      </c>
      <c r="G1335" s="4">
        <f t="shared" si="492"/>
        <v>2.0799999999999999E-2</v>
      </c>
      <c r="H1335" s="4">
        <f t="shared" si="493"/>
        <v>1.1712999999999999E-2</v>
      </c>
      <c r="I1335" s="3">
        <f t="shared" si="494"/>
        <v>57.499656069902542</v>
      </c>
      <c r="J1335" s="4">
        <f t="shared" si="504"/>
        <v>1733375.3253504285</v>
      </c>
      <c r="K1335" s="1">
        <f t="shared" si="505"/>
        <v>2365.38</v>
      </c>
      <c r="L1335" s="5">
        <f t="shared" si="506"/>
        <v>9.8630136986301714E-2</v>
      </c>
      <c r="M1335" s="5">
        <f t="shared" si="507"/>
        <v>-0.5756463039359776</v>
      </c>
      <c r="N1335" s="5">
        <f t="shared" si="508"/>
        <v>44.685890990874519</v>
      </c>
      <c r="O1335" s="1">
        <f t="shared" si="509"/>
        <v>0</v>
      </c>
      <c r="P1335" s="1">
        <f t="shared" si="510"/>
        <v>2365.38</v>
      </c>
      <c r="Q1335" s="5">
        <f t="shared" si="511"/>
        <v>9.8630136986301714E-2</v>
      </c>
      <c r="R1335" s="5">
        <f t="shared" si="512"/>
        <v>-0.5756463039359776</v>
      </c>
      <c r="S1335" s="5">
        <f t="shared" si="495"/>
        <v>44.685890990874519</v>
      </c>
      <c r="T1335" s="5">
        <f t="shared" si="496"/>
        <v>-715.44176785467243</v>
      </c>
      <c r="U1335" s="4">
        <f t="shared" si="497"/>
        <v>1733403.2968043089</v>
      </c>
      <c r="V1335" s="4">
        <f t="shared" si="513"/>
        <v>111.88762102112196</v>
      </c>
      <c r="W1335" s="4">
        <f t="shared" si="498"/>
        <v>1701433.1439556365</v>
      </c>
      <c r="X1335" s="4">
        <f t="shared" si="502"/>
        <v>11807.578144907951</v>
      </c>
      <c r="Y1335" s="9">
        <f>SUM($X$6:X1335)</f>
        <v>701433.14395563654</v>
      </c>
      <c r="Z1335" s="16">
        <f t="shared" si="503"/>
        <v>0.7014331439556365</v>
      </c>
      <c r="AA1335" s="16">
        <f t="shared" si="499"/>
        <v>0.83938890890013018</v>
      </c>
      <c r="AB1335" s="16">
        <f t="shared" si="500"/>
        <v>6.9882809445075793E-3</v>
      </c>
      <c r="AC1335" s="16">
        <f t="shared" si="501"/>
        <v>8.6133236007644651E-3</v>
      </c>
    </row>
    <row r="1336" spans="1:29" x14ac:dyDescent="0.15">
      <c r="A1336" s="8">
        <v>42843</v>
      </c>
      <c r="B1336" s="4">
        <v>2342.19</v>
      </c>
      <c r="C1336" s="1">
        <v>11.758100000000001</v>
      </c>
      <c r="D1336" s="1">
        <v>2.08</v>
      </c>
      <c r="E1336" s="1">
        <v>1.1691</v>
      </c>
      <c r="F1336" s="4">
        <f t="shared" si="491"/>
        <v>0.117581</v>
      </c>
      <c r="G1336" s="4">
        <f t="shared" si="492"/>
        <v>2.0799999999999999E-2</v>
      </c>
      <c r="H1336" s="4">
        <f t="shared" si="493"/>
        <v>1.1691E-2</v>
      </c>
      <c r="I1336" s="3">
        <f t="shared" si="494"/>
        <v>57.318580569025393</v>
      </c>
      <c r="J1336" s="4">
        <f t="shared" si="504"/>
        <v>1733403.2968043089</v>
      </c>
      <c r="K1336" s="1">
        <f t="shared" si="505"/>
        <v>2365.38</v>
      </c>
      <c r="L1336" s="5">
        <f t="shared" si="506"/>
        <v>9.5890410958904451E-2</v>
      </c>
      <c r="M1336" s="5">
        <f t="shared" si="507"/>
        <v>-0.60765675653352347</v>
      </c>
      <c r="N1336" s="5">
        <f t="shared" si="508"/>
        <v>48.208778896837892</v>
      </c>
      <c r="O1336" s="1">
        <f t="shared" si="509"/>
        <v>0</v>
      </c>
      <c r="P1336" s="1">
        <f t="shared" si="510"/>
        <v>2365.38</v>
      </c>
      <c r="Q1336" s="5">
        <f t="shared" si="511"/>
        <v>9.5890410958904451E-2</v>
      </c>
      <c r="R1336" s="5">
        <f t="shared" si="512"/>
        <v>-0.60765675653352347</v>
      </c>
      <c r="S1336" s="5">
        <f t="shared" si="495"/>
        <v>48.208778896837892</v>
      </c>
      <c r="T1336" s="5">
        <f t="shared" si="496"/>
        <v>-715.44176785467243</v>
      </c>
      <c r="U1336" s="4">
        <f t="shared" si="497"/>
        <v>1733515.18442533</v>
      </c>
      <c r="V1336" s="4">
        <f t="shared" si="513"/>
        <v>27.973710784288201</v>
      </c>
      <c r="W1336" s="4">
        <f t="shared" si="498"/>
        <v>1699024.6104252613</v>
      </c>
      <c r="X1336" s="4">
        <f t="shared" si="502"/>
        <v>-2408.5335303752217</v>
      </c>
      <c r="Y1336" s="9">
        <f>SUM($X$6:X1336)</f>
        <v>699024.61042526131</v>
      </c>
      <c r="Z1336" s="16">
        <f t="shared" si="503"/>
        <v>0.69902461042526132</v>
      </c>
      <c r="AA1336" s="16">
        <f t="shared" si="499"/>
        <v>0.83404851768906718</v>
      </c>
      <c r="AB1336" s="16">
        <f t="shared" si="500"/>
        <v>-1.4155910497756369E-3</v>
      </c>
      <c r="AC1336" s="16">
        <f t="shared" si="501"/>
        <v>-2.9033507733045678E-3</v>
      </c>
    </row>
    <row r="1337" spans="1:29" x14ac:dyDescent="0.15">
      <c r="A1337" s="8">
        <v>42844</v>
      </c>
      <c r="B1337" s="4">
        <v>2338.17</v>
      </c>
      <c r="C1337" s="1">
        <v>12.0121</v>
      </c>
      <c r="D1337" s="1">
        <v>2.09</v>
      </c>
      <c r="E1337" s="1">
        <v>1.1685000000000001</v>
      </c>
      <c r="F1337" s="4">
        <f t="shared" si="491"/>
        <v>0.12012100000000001</v>
      </c>
      <c r="G1337" s="4">
        <f t="shared" si="492"/>
        <v>2.0899999999999998E-2</v>
      </c>
      <c r="H1337" s="4">
        <f t="shared" si="493"/>
        <v>1.1685000000000001E-2</v>
      </c>
      <c r="I1337" s="3">
        <f t="shared" si="494"/>
        <v>58.428086807947246</v>
      </c>
      <c r="J1337" s="4">
        <f t="shared" si="504"/>
        <v>1733515.18442533</v>
      </c>
      <c r="K1337" s="1">
        <f t="shared" si="505"/>
        <v>2365.38</v>
      </c>
      <c r="L1337" s="5">
        <f t="shared" si="506"/>
        <v>9.3150684931507188E-2</v>
      </c>
      <c r="M1337" s="5">
        <f t="shared" si="507"/>
        <v>-0.62455440365844173</v>
      </c>
      <c r="N1337" s="5">
        <f t="shared" si="508"/>
        <v>50.889465885306365</v>
      </c>
      <c r="O1337" s="1">
        <f t="shared" si="509"/>
        <v>0</v>
      </c>
      <c r="P1337" s="1">
        <f t="shared" si="510"/>
        <v>2365.38</v>
      </c>
      <c r="Q1337" s="5">
        <f t="shared" si="511"/>
        <v>9.3150684931507188E-2</v>
      </c>
      <c r="R1337" s="5">
        <f t="shared" si="512"/>
        <v>-0.62455440365844173</v>
      </c>
      <c r="S1337" s="5">
        <f t="shared" si="495"/>
        <v>50.889465885306365</v>
      </c>
      <c r="T1337" s="5">
        <f t="shared" si="496"/>
        <v>-715.44176785467243</v>
      </c>
      <c r="U1337" s="4">
        <f t="shared" si="497"/>
        <v>1733543.1581361142</v>
      </c>
      <c r="V1337" s="4">
        <f t="shared" si="513"/>
        <v>27.97416219567592</v>
      </c>
      <c r="W1337" s="4">
        <f t="shared" si="498"/>
        <v>1697134.7086979507</v>
      </c>
      <c r="X1337" s="4">
        <f t="shared" si="502"/>
        <v>-1889.9017273106147</v>
      </c>
      <c r="Y1337" s="9">
        <f>SUM($X$6:X1337)</f>
        <v>697134.7086979507</v>
      </c>
      <c r="Z1337" s="16">
        <f t="shared" si="503"/>
        <v>0.69713470869795069</v>
      </c>
      <c r="AA1337" s="16">
        <f t="shared" si="499"/>
        <v>0.83090066245908589</v>
      </c>
      <c r="AB1337" s="16">
        <f t="shared" si="500"/>
        <v>-1.1123451159648461E-3</v>
      </c>
      <c r="AC1337" s="16">
        <f t="shared" si="501"/>
        <v>-1.716342397499768E-3</v>
      </c>
    </row>
    <row r="1338" spans="1:29" x14ac:dyDescent="0.15">
      <c r="A1338" s="8">
        <v>42845</v>
      </c>
      <c r="B1338" s="4">
        <v>2355.84</v>
      </c>
      <c r="C1338" s="1">
        <v>11.348100000000001</v>
      </c>
      <c r="D1338" s="1">
        <v>2.0699999999999998</v>
      </c>
      <c r="E1338" s="1">
        <v>1.1659999999999999</v>
      </c>
      <c r="F1338" s="4">
        <f t="shared" si="491"/>
        <v>0.113481</v>
      </c>
      <c r="G1338" s="4">
        <f t="shared" si="492"/>
        <v>2.07E-2</v>
      </c>
      <c r="H1338" s="4">
        <f t="shared" si="493"/>
        <v>1.1659999999999998E-2</v>
      </c>
      <c r="I1338" s="3">
        <f t="shared" si="494"/>
        <v>55.71873048930977</v>
      </c>
      <c r="J1338" s="4">
        <f t="shared" si="504"/>
        <v>1733543.1581361142</v>
      </c>
      <c r="K1338" s="1">
        <f t="shared" si="505"/>
        <v>2365.38</v>
      </c>
      <c r="L1338" s="5">
        <f t="shared" si="506"/>
        <v>9.0410958904109925E-2</v>
      </c>
      <c r="M1338" s="5">
        <f t="shared" si="507"/>
        <v>-0.54884064685114609</v>
      </c>
      <c r="N1338" s="5">
        <f t="shared" si="508"/>
        <v>38.136726116869355</v>
      </c>
      <c r="O1338" s="1">
        <f t="shared" si="509"/>
        <v>0</v>
      </c>
      <c r="P1338" s="1">
        <f t="shared" si="510"/>
        <v>2365.38</v>
      </c>
      <c r="Q1338" s="5">
        <f t="shared" si="511"/>
        <v>9.0410958904109925E-2</v>
      </c>
      <c r="R1338" s="5">
        <f t="shared" si="512"/>
        <v>-0.54884064685114609</v>
      </c>
      <c r="S1338" s="5">
        <f t="shared" si="495"/>
        <v>38.136726116869355</v>
      </c>
      <c r="T1338" s="5">
        <f t="shared" si="496"/>
        <v>-715.44176785467243</v>
      </c>
      <c r="U1338" s="4">
        <f t="shared" si="497"/>
        <v>1733571.1322983098</v>
      </c>
      <c r="V1338" s="4">
        <f t="shared" si="513"/>
        <v>27.974613614348065</v>
      </c>
      <c r="W1338" s="4">
        <f t="shared" si="498"/>
        <v>1706286.5255450674</v>
      </c>
      <c r="X1338" s="4">
        <f t="shared" si="502"/>
        <v>9151.8168471166864</v>
      </c>
      <c r="Y1338" s="9">
        <f>SUM($X$6:X1338)</f>
        <v>706286.52554506739</v>
      </c>
      <c r="Z1338" s="16">
        <f t="shared" si="503"/>
        <v>0.70628652554506743</v>
      </c>
      <c r="AA1338" s="16">
        <f t="shared" si="499"/>
        <v>0.84473713059683986</v>
      </c>
      <c r="AB1338" s="16">
        <f t="shared" si="500"/>
        <v>5.3925105651383446E-3</v>
      </c>
      <c r="AC1338" s="16">
        <f t="shared" si="501"/>
        <v>7.5571921631019442E-3</v>
      </c>
    </row>
    <row r="1339" spans="1:29" x14ac:dyDescent="0.15">
      <c r="A1339" s="8">
        <v>42846</v>
      </c>
      <c r="B1339" s="4">
        <v>2348.69</v>
      </c>
      <c r="C1339" s="1">
        <v>11.4886</v>
      </c>
      <c r="D1339" s="1">
        <v>2.08</v>
      </c>
      <c r="E1339" s="1">
        <v>1.1691</v>
      </c>
      <c r="F1339" s="4">
        <f t="shared" si="491"/>
        <v>0.114886</v>
      </c>
      <c r="G1339" s="4">
        <f t="shared" si="492"/>
        <v>2.0799999999999999E-2</v>
      </c>
      <c r="H1339" s="4">
        <f t="shared" si="493"/>
        <v>1.1691E-2</v>
      </c>
      <c r="I1339" s="3">
        <f t="shared" si="494"/>
        <v>56.223370262558618</v>
      </c>
      <c r="J1339" s="4">
        <f t="shared" si="504"/>
        <v>1733571.1322983098</v>
      </c>
      <c r="K1339" s="1">
        <f t="shared" si="505"/>
        <v>2365.38</v>
      </c>
      <c r="L1339" s="5">
        <f t="shared" si="506"/>
        <v>8.7671232876712663E-2</v>
      </c>
      <c r="M1339" s="5">
        <f t="shared" si="507"/>
        <v>-0.58390538597043007</v>
      </c>
      <c r="N1339" s="5">
        <f t="shared" si="508"/>
        <v>42.065770638191793</v>
      </c>
      <c r="O1339" s="1">
        <f t="shared" si="509"/>
        <v>0</v>
      </c>
      <c r="P1339" s="1">
        <f t="shared" si="510"/>
        <v>2365.38</v>
      </c>
      <c r="Q1339" s="5">
        <f t="shared" si="511"/>
        <v>8.7671232876712663E-2</v>
      </c>
      <c r="R1339" s="5">
        <f t="shared" si="512"/>
        <v>-0.58390538597043007</v>
      </c>
      <c r="S1339" s="5">
        <f t="shared" si="495"/>
        <v>42.065770638191793</v>
      </c>
      <c r="T1339" s="5">
        <f t="shared" si="496"/>
        <v>-715.44176785467243</v>
      </c>
      <c r="U1339" s="4">
        <f t="shared" si="497"/>
        <v>1733599.1069119242</v>
      </c>
      <c r="V1339" s="4">
        <f t="shared" si="513"/>
        <v>27.975065040304745</v>
      </c>
      <c r="W1339" s="4">
        <f t="shared" si="498"/>
        <v>1703503.4976003671</v>
      </c>
      <c r="X1339" s="4">
        <f t="shared" si="502"/>
        <v>-2783.0279447003268</v>
      </c>
      <c r="Y1339" s="9">
        <f>SUM($X$6:X1339)</f>
        <v>703503.49760036706</v>
      </c>
      <c r="Z1339" s="16">
        <f t="shared" si="503"/>
        <v>0.70350349760036701</v>
      </c>
      <c r="AA1339" s="16">
        <f t="shared" si="499"/>
        <v>0.83913833335943511</v>
      </c>
      <c r="AB1339" s="16">
        <f t="shared" si="500"/>
        <v>-1.6310437332975468E-3</v>
      </c>
      <c r="AC1339" s="16">
        <f t="shared" si="501"/>
        <v>-3.035010866612372E-3</v>
      </c>
    </row>
    <row r="1340" spans="1:29" x14ac:dyDescent="0.15">
      <c r="A1340" s="8">
        <v>42849</v>
      </c>
      <c r="B1340" s="4">
        <v>2374.15</v>
      </c>
      <c r="C1340" s="1">
        <v>9.9946999999999999</v>
      </c>
      <c r="D1340" s="1">
        <v>2.06</v>
      </c>
      <c r="E1340" s="1">
        <v>1.1795</v>
      </c>
      <c r="F1340" s="4">
        <f t="shared" si="491"/>
        <v>9.9946999999999994E-2</v>
      </c>
      <c r="G1340" s="4">
        <f t="shared" si="492"/>
        <v>2.06E-2</v>
      </c>
      <c r="H1340" s="4">
        <f t="shared" si="493"/>
        <v>1.1795E-2</v>
      </c>
      <c r="I1340" s="3">
        <f t="shared" si="494"/>
        <v>49.713019507627749</v>
      </c>
      <c r="J1340" s="4">
        <f t="shared" si="504"/>
        <v>1733599.1069119242</v>
      </c>
      <c r="K1340" s="1">
        <f t="shared" si="505"/>
        <v>2365.38</v>
      </c>
      <c r="L1340" s="5">
        <f t="shared" si="506"/>
        <v>7.9452054794520888E-2</v>
      </c>
      <c r="M1340" s="5">
        <f t="shared" si="507"/>
        <v>-0.45125803742755438</v>
      </c>
      <c r="N1340" s="5">
        <f t="shared" si="508"/>
        <v>23.198197548990002</v>
      </c>
      <c r="O1340" s="1">
        <f t="shared" si="509"/>
        <v>0</v>
      </c>
      <c r="P1340" s="1">
        <f t="shared" si="510"/>
        <v>2365.38</v>
      </c>
      <c r="Q1340" s="5">
        <f t="shared" si="511"/>
        <v>7.9452054794520888E-2</v>
      </c>
      <c r="R1340" s="5">
        <f t="shared" si="512"/>
        <v>-0.45125803742755438</v>
      </c>
      <c r="S1340" s="5">
        <f t="shared" si="495"/>
        <v>23.198197548990002</v>
      </c>
      <c r="T1340" s="5">
        <f t="shared" si="496"/>
        <v>-715.44176785467243</v>
      </c>
      <c r="U1340" s="4">
        <f t="shared" si="497"/>
        <v>1733627.0819769646</v>
      </c>
      <c r="V1340" s="4">
        <f t="shared" si="513"/>
        <v>83.926549420638253</v>
      </c>
      <c r="W1340" s="4">
        <f t="shared" si="498"/>
        <v>1717030.1225114733</v>
      </c>
      <c r="X1340" s="4">
        <f t="shared" si="502"/>
        <v>13526.624911106192</v>
      </c>
      <c r="Y1340" s="9">
        <f>SUM($X$6:X1340)</f>
        <v>717030.12251147325</v>
      </c>
      <c r="Z1340" s="16">
        <f t="shared" si="503"/>
        <v>0.71703012251147324</v>
      </c>
      <c r="AA1340" s="16">
        <f t="shared" si="499"/>
        <v>0.85907474981598375</v>
      </c>
      <c r="AB1340" s="16">
        <f t="shared" si="500"/>
        <v>7.9404738118591563E-3</v>
      </c>
      <c r="AC1340" s="16">
        <f t="shared" si="501"/>
        <v>1.084008532415944E-2</v>
      </c>
    </row>
    <row r="1341" spans="1:29" x14ac:dyDescent="0.15">
      <c r="A1341" s="8">
        <v>42850</v>
      </c>
      <c r="B1341" s="4">
        <v>2388.61</v>
      </c>
      <c r="C1341" s="1">
        <v>9.8847000000000005</v>
      </c>
      <c r="D1341" s="1">
        <v>2.04</v>
      </c>
      <c r="E1341" s="1">
        <v>1.1834</v>
      </c>
      <c r="F1341" s="4">
        <f t="shared" si="491"/>
        <v>9.8847000000000004E-2</v>
      </c>
      <c r="G1341" s="4">
        <f t="shared" si="492"/>
        <v>2.0400000000000001E-2</v>
      </c>
      <c r="H1341" s="4">
        <f t="shared" si="493"/>
        <v>1.1834000000000001E-2</v>
      </c>
      <c r="I1341" s="3">
        <f t="shared" si="494"/>
        <v>49.422828123637657</v>
      </c>
      <c r="J1341" s="4">
        <f t="shared" si="504"/>
        <v>1733627.0819769646</v>
      </c>
      <c r="K1341" s="1">
        <f t="shared" si="505"/>
        <v>2365.38</v>
      </c>
      <c r="L1341" s="5">
        <f t="shared" si="506"/>
        <v>7.6712328767123625E-2</v>
      </c>
      <c r="M1341" s="5">
        <f t="shared" si="507"/>
        <v>-0.36385576430406219</v>
      </c>
      <c r="N1341" s="5">
        <f t="shared" si="508"/>
        <v>16.532294179279884</v>
      </c>
      <c r="O1341" s="1">
        <f t="shared" si="509"/>
        <v>0</v>
      </c>
      <c r="P1341" s="1">
        <f t="shared" si="510"/>
        <v>2365.38</v>
      </c>
      <c r="Q1341" s="5">
        <f t="shared" si="511"/>
        <v>7.6712328767123625E-2</v>
      </c>
      <c r="R1341" s="5">
        <f t="shared" si="512"/>
        <v>-0.36385576430406219</v>
      </c>
      <c r="S1341" s="5">
        <f t="shared" si="495"/>
        <v>16.532294179279884</v>
      </c>
      <c r="T1341" s="5">
        <f t="shared" si="496"/>
        <v>-715.44176785467243</v>
      </c>
      <c r="U1341" s="4">
        <f t="shared" si="497"/>
        <v>1733711.0085263853</v>
      </c>
      <c r="V1341" s="4">
        <f t="shared" si="513"/>
        <v>27.976870795124405</v>
      </c>
      <c r="W1341" s="4">
        <f t="shared" si="498"/>
        <v>1721883.1147520677</v>
      </c>
      <c r="X1341" s="4">
        <f t="shared" si="502"/>
        <v>4852.9922405944671</v>
      </c>
      <c r="Y1341" s="9">
        <f>SUM($X$6:X1341)</f>
        <v>721883.11475206772</v>
      </c>
      <c r="Z1341" s="16">
        <f t="shared" si="503"/>
        <v>0.72188311475206768</v>
      </c>
      <c r="AA1341" s="16">
        <f t="shared" si="499"/>
        <v>0.87039763206114062</v>
      </c>
      <c r="AB1341" s="16">
        <f t="shared" si="500"/>
        <v>2.8263873632549154E-3</v>
      </c>
      <c r="AC1341" s="16">
        <f t="shared" si="501"/>
        <v>6.0906008466188053E-3</v>
      </c>
    </row>
    <row r="1342" spans="1:29" x14ac:dyDescent="0.15">
      <c r="A1342" s="8">
        <v>42851</v>
      </c>
      <c r="B1342" s="4">
        <v>2387.4499999999998</v>
      </c>
      <c r="C1342" s="1">
        <v>10.100199999999999</v>
      </c>
      <c r="D1342" s="1">
        <v>2.0499999999999998</v>
      </c>
      <c r="E1342" s="1">
        <v>1.1848000000000001</v>
      </c>
      <c r="F1342" s="4">
        <f t="shared" si="491"/>
        <v>0.10100199999999999</v>
      </c>
      <c r="G1342" s="4">
        <f t="shared" si="492"/>
        <v>2.0499999999999997E-2</v>
      </c>
      <c r="H1342" s="4">
        <f t="shared" si="493"/>
        <v>1.1848000000000001E-2</v>
      </c>
      <c r="I1342" s="3">
        <f t="shared" si="494"/>
        <v>50.443968720743023</v>
      </c>
      <c r="J1342" s="4">
        <f t="shared" si="504"/>
        <v>1733711.0085263853</v>
      </c>
      <c r="K1342" s="1">
        <f t="shared" si="505"/>
        <v>2365.38</v>
      </c>
      <c r="L1342" s="5">
        <f t="shared" si="506"/>
        <v>7.3972602739726362E-2</v>
      </c>
      <c r="M1342" s="5">
        <f t="shared" si="507"/>
        <v>-0.37069832582581402</v>
      </c>
      <c r="N1342" s="5">
        <f t="shared" si="508"/>
        <v>17.02722666260728</v>
      </c>
      <c r="O1342" s="1">
        <f t="shared" si="509"/>
        <v>0</v>
      </c>
      <c r="P1342" s="1">
        <f t="shared" si="510"/>
        <v>2365.38</v>
      </c>
      <c r="Q1342" s="5">
        <f t="shared" si="511"/>
        <v>7.3972602739726362E-2</v>
      </c>
      <c r="R1342" s="5">
        <f t="shared" si="512"/>
        <v>-0.37069832582581402</v>
      </c>
      <c r="S1342" s="5">
        <f t="shared" si="495"/>
        <v>17.02722666260728</v>
      </c>
      <c r="T1342" s="5">
        <f t="shared" si="496"/>
        <v>-715.44176785467243</v>
      </c>
      <c r="U1342" s="4">
        <f t="shared" si="497"/>
        <v>1733738.9853971803</v>
      </c>
      <c r="V1342" s="4">
        <f t="shared" si="513"/>
        <v>27.977322257505183</v>
      </c>
      <c r="W1342" s="4">
        <f t="shared" si="498"/>
        <v>1721556.9962520225</v>
      </c>
      <c r="X1342" s="4">
        <f t="shared" si="502"/>
        <v>-326.11850004526787</v>
      </c>
      <c r="Y1342" s="9">
        <f>SUM($X$6:X1342)</f>
        <v>721556.99625202245</v>
      </c>
      <c r="Z1342" s="16">
        <f t="shared" si="503"/>
        <v>0.72155699625202241</v>
      </c>
      <c r="AA1342" s="16">
        <f t="shared" si="499"/>
        <v>0.86948929572612088</v>
      </c>
      <c r="AB1342" s="16">
        <f t="shared" si="500"/>
        <v>-1.8939642142447362E-4</v>
      </c>
      <c r="AC1342" s="16">
        <f t="shared" si="501"/>
        <v>-4.8563809077258708E-4</v>
      </c>
    </row>
    <row r="1343" spans="1:29" x14ac:dyDescent="0.15">
      <c r="A1343" s="8">
        <v>42852</v>
      </c>
      <c r="B1343" s="4">
        <v>2388.77</v>
      </c>
      <c r="C1343" s="1">
        <v>10.023300000000001</v>
      </c>
      <c r="D1343" s="1">
        <v>2.0499999999999998</v>
      </c>
      <c r="E1343" s="1">
        <v>1.1956</v>
      </c>
      <c r="F1343" s="4">
        <f t="shared" si="491"/>
        <v>0.100233</v>
      </c>
      <c r="G1343" s="4">
        <f t="shared" si="492"/>
        <v>2.0499999999999997E-2</v>
      </c>
      <c r="H1343" s="4">
        <f t="shared" si="493"/>
        <v>1.1956E-2</v>
      </c>
      <c r="I1343" s="3">
        <f t="shared" si="494"/>
        <v>50.074063480582012</v>
      </c>
      <c r="J1343" s="4">
        <f t="shared" si="504"/>
        <v>1733738.9853971803</v>
      </c>
      <c r="K1343" s="1">
        <f t="shared" si="505"/>
        <v>2365.38</v>
      </c>
      <c r="L1343" s="5">
        <f t="shared" si="506"/>
        <v>7.1232876712329099E-2</v>
      </c>
      <c r="M1343" s="5">
        <f t="shared" si="507"/>
        <v>-0.359478274602272</v>
      </c>
      <c r="N1343" s="5">
        <f t="shared" si="508"/>
        <v>15.873695977550904</v>
      </c>
      <c r="O1343" s="1">
        <f t="shared" si="509"/>
        <v>0</v>
      </c>
      <c r="P1343" s="1">
        <f t="shared" si="510"/>
        <v>2365.38</v>
      </c>
      <c r="Q1343" s="5">
        <f t="shared" si="511"/>
        <v>7.1232876712329099E-2</v>
      </c>
      <c r="R1343" s="5">
        <f t="shared" si="512"/>
        <v>-0.359478274602272</v>
      </c>
      <c r="S1343" s="5">
        <f t="shared" si="495"/>
        <v>15.873695977550904</v>
      </c>
      <c r="T1343" s="5">
        <f t="shared" si="496"/>
        <v>-715.44176785467243</v>
      </c>
      <c r="U1343" s="4">
        <f t="shared" si="497"/>
        <v>1733766.9627194379</v>
      </c>
      <c r="V1343" s="4">
        <f t="shared" si="513"/>
        <v>27.977773727171201</v>
      </c>
      <c r="W1343" s="4">
        <f t="shared" si="498"/>
        <v>1722410.2576068712</v>
      </c>
      <c r="X1343" s="4">
        <f t="shared" si="502"/>
        <v>853.26135484874249</v>
      </c>
      <c r="Y1343" s="9">
        <f>SUM($X$6:X1343)</f>
        <v>722410.25760687119</v>
      </c>
      <c r="Z1343" s="16">
        <f t="shared" si="503"/>
        <v>0.72241025760687116</v>
      </c>
      <c r="AA1343" s="16">
        <f t="shared" si="499"/>
        <v>0.870522919831488</v>
      </c>
      <c r="AB1343" s="16">
        <f t="shared" si="500"/>
        <v>4.9563352053191726E-4</v>
      </c>
      <c r="AC1343" s="16">
        <f t="shared" si="501"/>
        <v>5.5289116002436227E-4</v>
      </c>
    </row>
    <row r="1344" spans="1:29" x14ac:dyDescent="0.15">
      <c r="A1344" s="8">
        <v>42853</v>
      </c>
      <c r="B1344" s="4">
        <v>2384.1999999999998</v>
      </c>
      <c r="C1344" s="1">
        <v>10.0624</v>
      </c>
      <c r="D1344" s="1">
        <v>2.0499999999999998</v>
      </c>
      <c r="E1344" s="1">
        <v>1.1983999999999999</v>
      </c>
      <c r="F1344" s="4">
        <f t="shared" si="491"/>
        <v>0.10062400000000001</v>
      </c>
      <c r="G1344" s="4">
        <f t="shared" si="492"/>
        <v>2.0499999999999997E-2</v>
      </c>
      <c r="H1344" s="4">
        <f t="shared" si="493"/>
        <v>1.1984E-2</v>
      </c>
      <c r="I1344" s="3">
        <f t="shared" si="494"/>
        <v>50.154244514927704</v>
      </c>
      <c r="J1344" s="4">
        <f t="shared" si="504"/>
        <v>1733766.9627194379</v>
      </c>
      <c r="K1344" s="1">
        <f t="shared" si="505"/>
        <v>2365.38</v>
      </c>
      <c r="L1344" s="5">
        <f t="shared" si="506"/>
        <v>6.8493150684931836E-2</v>
      </c>
      <c r="M1344" s="5">
        <f t="shared" si="507"/>
        <v>-0.38462113249126362</v>
      </c>
      <c r="N1344" s="5">
        <f t="shared" si="508"/>
        <v>17.175371428704391</v>
      </c>
      <c r="O1344" s="1">
        <f t="shared" si="509"/>
        <v>0</v>
      </c>
      <c r="P1344" s="1">
        <f t="shared" si="510"/>
        <v>2365.38</v>
      </c>
      <c r="Q1344" s="5">
        <f t="shared" si="511"/>
        <v>6.8493150684931836E-2</v>
      </c>
      <c r="R1344" s="5">
        <f t="shared" si="512"/>
        <v>-0.38462113249126362</v>
      </c>
      <c r="S1344" s="5">
        <f t="shared" si="495"/>
        <v>17.175371428704391</v>
      </c>
      <c r="T1344" s="5">
        <f t="shared" si="496"/>
        <v>-715.44176785467243</v>
      </c>
      <c r="U1344" s="4">
        <f t="shared" si="497"/>
        <v>1733794.940493165</v>
      </c>
      <c r="V1344" s="4">
        <f t="shared" si="513"/>
        <v>27.978225204122577</v>
      </c>
      <c r="W1344" s="4">
        <f t="shared" si="498"/>
        <v>1721506.9623946522</v>
      </c>
      <c r="X1344" s="4">
        <f t="shared" si="502"/>
        <v>-903.29521221900359</v>
      </c>
      <c r="Y1344" s="9">
        <f>SUM($X$6:X1344)</f>
        <v>721506.96239465219</v>
      </c>
      <c r="Z1344" s="16">
        <f t="shared" si="503"/>
        <v>0.72150696239465217</v>
      </c>
      <c r="AA1344" s="16">
        <f t="shared" si="499"/>
        <v>0.86694438789093697</v>
      </c>
      <c r="AB1344" s="16">
        <f t="shared" si="500"/>
        <v>-5.2443673522593176E-4</v>
      </c>
      <c r="AC1344" s="16">
        <f t="shared" si="501"/>
        <v>-1.913118466826092E-3</v>
      </c>
    </row>
    <row r="1345" spans="1:29" x14ac:dyDescent="0.15">
      <c r="A1345" s="8">
        <v>42856</v>
      </c>
      <c r="B1345" s="4">
        <v>2388.33</v>
      </c>
      <c r="C1345" s="1">
        <v>9.9547000000000008</v>
      </c>
      <c r="D1345" s="1">
        <v>2.0499999999999998</v>
      </c>
      <c r="E1345" s="1">
        <v>1.1983999999999999</v>
      </c>
      <c r="F1345" s="4">
        <f t="shared" si="491"/>
        <v>9.954700000000001E-2</v>
      </c>
      <c r="G1345" s="4">
        <f t="shared" si="492"/>
        <v>2.0499999999999997E-2</v>
      </c>
      <c r="H1345" s="4">
        <f t="shared" si="493"/>
        <v>1.1984E-2</v>
      </c>
      <c r="I1345" s="3">
        <f t="shared" si="494"/>
        <v>49.731431108995906</v>
      </c>
      <c r="J1345" s="4">
        <f t="shared" si="504"/>
        <v>1733794.940493165</v>
      </c>
      <c r="K1345" s="1">
        <f t="shared" si="505"/>
        <v>2365.38</v>
      </c>
      <c r="L1345" s="5">
        <f t="shared" si="506"/>
        <v>6.0273972602740054E-2</v>
      </c>
      <c r="M1345" s="5">
        <f t="shared" si="507"/>
        <v>-0.34920476855942928</v>
      </c>
      <c r="N1345" s="5">
        <f t="shared" si="508"/>
        <v>13.897743451602594</v>
      </c>
      <c r="O1345" s="1">
        <f t="shared" si="509"/>
        <v>0</v>
      </c>
      <c r="P1345" s="1">
        <f t="shared" si="510"/>
        <v>2365.38</v>
      </c>
      <c r="Q1345" s="5">
        <f t="shared" si="511"/>
        <v>6.0273972602740054E-2</v>
      </c>
      <c r="R1345" s="5">
        <f t="shared" si="512"/>
        <v>-0.34920476855942928</v>
      </c>
      <c r="S1345" s="5">
        <f t="shared" si="495"/>
        <v>13.897743451602594</v>
      </c>
      <c r="T1345" s="5">
        <f t="shared" si="496"/>
        <v>-715.44176785467243</v>
      </c>
      <c r="U1345" s="4">
        <f t="shared" si="497"/>
        <v>1733822.9187183692</v>
      </c>
      <c r="V1345" s="4">
        <f t="shared" si="513"/>
        <v>83.936030065078299</v>
      </c>
      <c r="W1345" s="4">
        <f t="shared" si="498"/>
        <v>1723879.8925741639</v>
      </c>
      <c r="X1345" s="4">
        <f t="shared" si="502"/>
        <v>2372.9301795116626</v>
      </c>
      <c r="Y1345" s="9">
        <f>SUM($X$6:X1345)</f>
        <v>723879.89257416385</v>
      </c>
      <c r="Z1345" s="16">
        <f t="shared" si="503"/>
        <v>0.72387989257416385</v>
      </c>
      <c r="AA1345" s="16">
        <f t="shared" si="499"/>
        <v>0.87017837846303225</v>
      </c>
      <c r="AB1345" s="16">
        <f t="shared" si="500"/>
        <v>1.3784028942937687E-3</v>
      </c>
      <c r="AC1345" s="16">
        <f t="shared" si="501"/>
        <v>1.7322372284204804E-3</v>
      </c>
    </row>
    <row r="1346" spans="1:29" x14ac:dyDescent="0.15">
      <c r="A1346" s="8">
        <v>42857</v>
      </c>
      <c r="B1346" s="4">
        <v>2391.17</v>
      </c>
      <c r="C1346" s="1">
        <v>10.0349</v>
      </c>
      <c r="D1346" s="1">
        <v>2.04</v>
      </c>
      <c r="E1346" s="1">
        <v>1.1998</v>
      </c>
      <c r="F1346" s="4">
        <f t="shared" si="491"/>
        <v>0.10034900000000001</v>
      </c>
      <c r="G1346" s="4">
        <f t="shared" si="492"/>
        <v>2.0400000000000001E-2</v>
      </c>
      <c r="H1346" s="4">
        <f t="shared" si="493"/>
        <v>1.1998E-2</v>
      </c>
      <c r="I1346" s="3">
        <f t="shared" si="494"/>
        <v>50.13612375474036</v>
      </c>
      <c r="J1346" s="4">
        <f t="shared" si="504"/>
        <v>1733822.9187183692</v>
      </c>
      <c r="K1346" s="1">
        <f t="shared" si="505"/>
        <v>2365.38</v>
      </c>
      <c r="L1346" s="5">
        <f t="shared" si="506"/>
        <v>5.7534246575342791E-2</v>
      </c>
      <c r="M1346" s="5">
        <f t="shared" si="507"/>
        <v>-0.32868671140002714</v>
      </c>
      <c r="N1346" s="5">
        <f t="shared" si="508"/>
        <v>12.588408548338993</v>
      </c>
      <c r="O1346" s="1">
        <f t="shared" si="509"/>
        <v>0</v>
      </c>
      <c r="P1346" s="1">
        <f t="shared" si="510"/>
        <v>2365.38</v>
      </c>
      <c r="Q1346" s="5">
        <f t="shared" si="511"/>
        <v>5.7534246575342791E-2</v>
      </c>
      <c r="R1346" s="5">
        <f t="shared" si="512"/>
        <v>-0.32868671140002714</v>
      </c>
      <c r="S1346" s="5">
        <f t="shared" si="495"/>
        <v>12.588408548338993</v>
      </c>
      <c r="T1346" s="5">
        <f t="shared" si="496"/>
        <v>-715.44176785467243</v>
      </c>
      <c r="U1346" s="4">
        <f t="shared" si="497"/>
        <v>1733906.8547484344</v>
      </c>
      <c r="V1346" s="4">
        <f t="shared" si="513"/>
        <v>27.980031162926789</v>
      </c>
      <c r="W1346" s="4">
        <f t="shared" si="498"/>
        <v>1724900.5814821338</v>
      </c>
      <c r="X1346" s="4">
        <f t="shared" si="502"/>
        <v>1020.6889079699758</v>
      </c>
      <c r="Y1346" s="9">
        <f>SUM($X$6:X1346)</f>
        <v>724900.58148213383</v>
      </c>
      <c r="Z1346" s="16">
        <f t="shared" si="503"/>
        <v>0.72490058148213388</v>
      </c>
      <c r="AA1346" s="16">
        <f t="shared" si="499"/>
        <v>0.87240223638670089</v>
      </c>
      <c r="AB1346" s="16">
        <f t="shared" si="500"/>
        <v>5.9208817990552922E-4</v>
      </c>
      <c r="AC1346" s="16">
        <f t="shared" si="501"/>
        <v>1.1891154069999311E-3</v>
      </c>
    </row>
    <row r="1347" spans="1:29" x14ac:dyDescent="0.15">
      <c r="A1347" s="8">
        <v>42858</v>
      </c>
      <c r="B1347" s="4">
        <v>2388.13</v>
      </c>
      <c r="C1347" s="1">
        <v>10.2783</v>
      </c>
      <c r="D1347" s="1">
        <v>2.0499999999999998</v>
      </c>
      <c r="E1347" s="1">
        <v>1.1967000000000001</v>
      </c>
      <c r="F1347" s="4">
        <f t="shared" si="491"/>
        <v>0.102783</v>
      </c>
      <c r="G1347" s="4">
        <f t="shared" si="492"/>
        <v>2.0499999999999997E-2</v>
      </c>
      <c r="H1347" s="4">
        <f t="shared" si="493"/>
        <v>1.1967E-2</v>
      </c>
      <c r="I1347" s="3">
        <f t="shared" si="494"/>
        <v>51.26391619385393</v>
      </c>
      <c r="J1347" s="4">
        <f t="shared" si="504"/>
        <v>1733906.8547484344</v>
      </c>
      <c r="K1347" s="1">
        <f t="shared" si="505"/>
        <v>2365.38</v>
      </c>
      <c r="L1347" s="5">
        <f t="shared" si="506"/>
        <v>5.4794520547945529E-2</v>
      </c>
      <c r="M1347" s="5">
        <f t="shared" si="507"/>
        <v>-0.34771544605250615</v>
      </c>
      <c r="N1347" s="5">
        <f t="shared" si="508"/>
        <v>13.595058125575225</v>
      </c>
      <c r="O1347" s="1">
        <f t="shared" si="509"/>
        <v>0</v>
      </c>
      <c r="P1347" s="1">
        <f t="shared" si="510"/>
        <v>2365.38</v>
      </c>
      <c r="Q1347" s="5">
        <f t="shared" si="511"/>
        <v>5.4794520547945529E-2</v>
      </c>
      <c r="R1347" s="5">
        <f t="shared" si="512"/>
        <v>-0.34771544605250615</v>
      </c>
      <c r="S1347" s="5">
        <f t="shared" si="495"/>
        <v>13.595058125575225</v>
      </c>
      <c r="T1347" s="5">
        <f t="shared" si="496"/>
        <v>-715.44176785467243</v>
      </c>
      <c r="U1347" s="4">
        <f t="shared" si="497"/>
        <v>1733934.8347795974</v>
      </c>
      <c r="V1347" s="4">
        <f t="shared" si="513"/>
        <v>27.980482676306377</v>
      </c>
      <c r="W1347" s="4">
        <f t="shared" si="498"/>
        <v>1724208.3623601487</v>
      </c>
      <c r="X1347" s="4">
        <f t="shared" si="502"/>
        <v>-692.21912198513746</v>
      </c>
      <c r="Y1347" s="9">
        <f>SUM($X$6:X1347)</f>
        <v>724208.36236014869</v>
      </c>
      <c r="Z1347" s="16">
        <f t="shared" si="503"/>
        <v>0.72420836236014874</v>
      </c>
      <c r="AA1347" s="16">
        <f t="shared" si="499"/>
        <v>0.87002176875009807</v>
      </c>
      <c r="AB1347" s="16">
        <f t="shared" si="500"/>
        <v>-4.0130957657301207E-4</v>
      </c>
      <c r="AC1347" s="16">
        <f t="shared" si="501"/>
        <v>-1.2713441536988017E-3</v>
      </c>
    </row>
    <row r="1348" spans="1:29" x14ac:dyDescent="0.15">
      <c r="A1348" s="8">
        <v>42859</v>
      </c>
      <c r="B1348" s="4">
        <v>2389.52</v>
      </c>
      <c r="C1348" s="1">
        <v>10.1157</v>
      </c>
      <c r="D1348" s="1">
        <v>2.04</v>
      </c>
      <c r="E1348" s="1">
        <v>1.2055</v>
      </c>
      <c r="F1348" s="4">
        <f t="shared" si="491"/>
        <v>0.101157</v>
      </c>
      <c r="G1348" s="4">
        <f t="shared" si="492"/>
        <v>2.0400000000000001E-2</v>
      </c>
      <c r="H1348" s="4">
        <f t="shared" si="493"/>
        <v>1.2055E-2</v>
      </c>
      <c r="I1348" s="3">
        <f t="shared" si="494"/>
        <v>50.466295659547725</v>
      </c>
      <c r="J1348" s="4">
        <f t="shared" si="504"/>
        <v>1733934.8347795974</v>
      </c>
      <c r="K1348" s="1">
        <f t="shared" si="505"/>
        <v>2365.38</v>
      </c>
      <c r="L1348" s="5">
        <f t="shared" si="506"/>
        <v>5.2054794520548266E-2</v>
      </c>
      <c r="M1348" s="5">
        <f t="shared" si="507"/>
        <v>-0.33227497677531498</v>
      </c>
      <c r="N1348" s="5">
        <f t="shared" si="508"/>
        <v>12.238386166448088</v>
      </c>
      <c r="O1348" s="1">
        <f t="shared" si="509"/>
        <v>0</v>
      </c>
      <c r="P1348" s="1">
        <f t="shared" si="510"/>
        <v>2365.38</v>
      </c>
      <c r="Q1348" s="5">
        <f t="shared" si="511"/>
        <v>5.2054794520548266E-2</v>
      </c>
      <c r="R1348" s="5">
        <f t="shared" si="512"/>
        <v>-0.33227497677531498</v>
      </c>
      <c r="S1348" s="5">
        <f t="shared" si="495"/>
        <v>12.238386166448088</v>
      </c>
      <c r="T1348" s="5">
        <f t="shared" si="496"/>
        <v>-715.44176785467243</v>
      </c>
      <c r="U1348" s="4">
        <f t="shared" si="497"/>
        <v>1733962.8152622737</v>
      </c>
      <c r="V1348" s="4">
        <f t="shared" si="513"/>
        <v>27.980934196972029</v>
      </c>
      <c r="W1348" s="4">
        <f t="shared" si="498"/>
        <v>1725206.9626276619</v>
      </c>
      <c r="X1348" s="4">
        <f t="shared" si="502"/>
        <v>998.60026751318946</v>
      </c>
      <c r="Y1348" s="9">
        <f>SUM($X$6:X1348)</f>
        <v>725206.96262766188</v>
      </c>
      <c r="Z1348" s="16">
        <f t="shared" si="503"/>
        <v>0.72520696262766193</v>
      </c>
      <c r="AA1348" s="16">
        <f t="shared" si="499"/>
        <v>0.87111020625499203</v>
      </c>
      <c r="AB1348" s="16">
        <f t="shared" si="500"/>
        <v>5.7916449619016758E-4</v>
      </c>
      <c r="AC1348" s="16">
        <f t="shared" si="501"/>
        <v>5.8204536603948388E-4</v>
      </c>
    </row>
    <row r="1349" spans="1:29" x14ac:dyDescent="0.15">
      <c r="A1349" s="8">
        <v>42860</v>
      </c>
      <c r="B1349" s="4">
        <v>2399.29</v>
      </c>
      <c r="C1349" s="1">
        <v>9.9910999999999994</v>
      </c>
      <c r="D1349" s="1">
        <v>2.04</v>
      </c>
      <c r="E1349" s="1">
        <v>1.2065999999999999</v>
      </c>
      <c r="F1349" s="4">
        <f t="shared" si="491"/>
        <v>9.9911E-2</v>
      </c>
      <c r="G1349" s="4">
        <f t="shared" si="492"/>
        <v>2.0400000000000001E-2</v>
      </c>
      <c r="H1349" s="4">
        <f t="shared" si="493"/>
        <v>1.2065999999999999E-2</v>
      </c>
      <c r="I1349" s="3">
        <f t="shared" si="494"/>
        <v>50.076777878149912</v>
      </c>
      <c r="J1349" s="4">
        <f t="shared" si="504"/>
        <v>1733962.8152622737</v>
      </c>
      <c r="K1349" s="1">
        <f t="shared" si="505"/>
        <v>2365.38</v>
      </c>
      <c r="L1349" s="5">
        <f t="shared" si="506"/>
        <v>4.9315068493151003E-2</v>
      </c>
      <c r="M1349" s="5">
        <f t="shared" si="507"/>
        <v>-0.26273750847329558</v>
      </c>
      <c r="N1349" s="5">
        <f t="shared" si="508"/>
        <v>8.5791101538417784</v>
      </c>
      <c r="O1349" s="1">
        <f t="shared" si="509"/>
        <v>0</v>
      </c>
      <c r="P1349" s="1">
        <f t="shared" si="510"/>
        <v>2365.38</v>
      </c>
      <c r="Q1349" s="5">
        <f t="shared" si="511"/>
        <v>4.9315068493151003E-2</v>
      </c>
      <c r="R1349" s="5">
        <f t="shared" si="512"/>
        <v>-0.26273750847329558</v>
      </c>
      <c r="S1349" s="5">
        <f t="shared" si="495"/>
        <v>8.5791101538417784</v>
      </c>
      <c r="T1349" s="5">
        <f t="shared" si="496"/>
        <v>-715.44176785467243</v>
      </c>
      <c r="U1349" s="4">
        <f t="shared" si="497"/>
        <v>1733990.7961964707</v>
      </c>
      <c r="V1349" s="4">
        <f t="shared" si="513"/>
        <v>27.981385724923868</v>
      </c>
      <c r="W1349" s="4">
        <f t="shared" si="498"/>
        <v>1727852.9424613861</v>
      </c>
      <c r="X1349" s="4">
        <f t="shared" si="502"/>
        <v>2645.97983372421</v>
      </c>
      <c r="Y1349" s="9">
        <f>SUM($X$6:X1349)</f>
        <v>727852.94246138609</v>
      </c>
      <c r="Z1349" s="16">
        <f t="shared" si="503"/>
        <v>0.7278529424613861</v>
      </c>
      <c r="AA1349" s="16">
        <f t="shared" si="499"/>
        <v>0.87876059073183721</v>
      </c>
      <c r="AB1349" s="16">
        <f t="shared" si="500"/>
        <v>1.5337173400309719E-3</v>
      </c>
      <c r="AC1349" s="16">
        <f t="shared" si="501"/>
        <v>4.0886872677357716E-3</v>
      </c>
    </row>
    <row r="1350" spans="1:29" x14ac:dyDescent="0.15">
      <c r="A1350" s="8">
        <v>42863</v>
      </c>
      <c r="B1350" s="4">
        <v>2399.38</v>
      </c>
      <c r="C1350" s="1">
        <v>9.8485999999999994</v>
      </c>
      <c r="D1350" s="1">
        <v>2.04</v>
      </c>
      <c r="E1350" s="1">
        <v>1.2109000000000001</v>
      </c>
      <c r="F1350" s="4">
        <f t="shared" si="491"/>
        <v>9.848599999999999E-2</v>
      </c>
      <c r="G1350" s="4">
        <f t="shared" si="492"/>
        <v>2.0400000000000001E-2</v>
      </c>
      <c r="H1350" s="4">
        <f t="shared" si="493"/>
        <v>1.2109000000000002E-2</v>
      </c>
      <c r="I1350" s="3">
        <f t="shared" si="494"/>
        <v>49.387626566979804</v>
      </c>
      <c r="J1350" s="4">
        <f t="shared" si="504"/>
        <v>1733990.7961964707</v>
      </c>
      <c r="K1350" s="1">
        <f t="shared" si="505"/>
        <v>2365.38</v>
      </c>
      <c r="L1350" s="5">
        <f t="shared" si="506"/>
        <v>4.1095890410959221E-2</v>
      </c>
      <c r="M1350" s="5">
        <f t="shared" si="507"/>
        <v>-0.23935118918529347</v>
      </c>
      <c r="N1350" s="5">
        <f t="shared" si="508"/>
        <v>6.8168875782318672</v>
      </c>
      <c r="O1350" s="1">
        <f t="shared" si="509"/>
        <v>0</v>
      </c>
      <c r="P1350" s="1">
        <f t="shared" si="510"/>
        <v>2365.38</v>
      </c>
      <c r="Q1350" s="5">
        <f t="shared" si="511"/>
        <v>4.1095890410959221E-2</v>
      </c>
      <c r="R1350" s="5">
        <f t="shared" si="512"/>
        <v>-0.23935118918529347</v>
      </c>
      <c r="S1350" s="5">
        <f t="shared" si="495"/>
        <v>6.8168875782318672</v>
      </c>
      <c r="T1350" s="5">
        <f t="shared" si="496"/>
        <v>-715.44176785467243</v>
      </c>
      <c r="U1350" s="4">
        <f t="shared" si="497"/>
        <v>1734018.7775821956</v>
      </c>
      <c r="V1350" s="4">
        <f t="shared" si="513"/>
        <v>83.945511780486001</v>
      </c>
      <c r="W1350" s="4">
        <f t="shared" si="498"/>
        <v>1729141.6914819588</v>
      </c>
      <c r="X1350" s="4">
        <f t="shared" si="502"/>
        <v>1288.7490205727518</v>
      </c>
      <c r="Y1350" s="9">
        <f>SUM($X$6:X1350)</f>
        <v>729141.69148195884</v>
      </c>
      <c r="Z1350" s="16">
        <f t="shared" si="503"/>
        <v>0.72914169148195884</v>
      </c>
      <c r="AA1350" s="16">
        <f t="shared" si="499"/>
        <v>0.87883106510265785</v>
      </c>
      <c r="AB1350" s="16">
        <f t="shared" si="500"/>
        <v>7.4586730670312968E-4</v>
      </c>
      <c r="AC1350" s="16">
        <f t="shared" si="501"/>
        <v>3.7511097032932877E-5</v>
      </c>
    </row>
    <row r="1351" spans="1:29" x14ac:dyDescent="0.15">
      <c r="A1351" s="8">
        <v>42864</v>
      </c>
      <c r="B1351" s="4">
        <v>2396.92</v>
      </c>
      <c r="C1351" s="1">
        <v>9.9664000000000001</v>
      </c>
      <c r="D1351" s="1">
        <v>2.04</v>
      </c>
      <c r="E1351" s="1">
        <v>1.2082999999999999</v>
      </c>
      <c r="F1351" s="4">
        <f t="shared" ref="F1351:F1414" si="514">C1351/100</f>
        <v>9.9664000000000003E-2</v>
      </c>
      <c r="G1351" s="4">
        <f t="shared" ref="G1351:G1414" si="515">D1351/100</f>
        <v>2.0400000000000001E-2</v>
      </c>
      <c r="H1351" s="4">
        <f t="shared" ref="H1351:H1414" si="516">E1351/100</f>
        <v>1.2083E-2</v>
      </c>
      <c r="I1351" s="3">
        <f t="shared" ref="I1351:I1414" si="517">BSM_Put(B1351,B1351,F1351,H1351,G1351,$B$3,$F$3)</f>
        <v>49.904661279330249</v>
      </c>
      <c r="J1351" s="4">
        <f t="shared" si="504"/>
        <v>1734018.7775821956</v>
      </c>
      <c r="K1351" s="1">
        <f t="shared" si="505"/>
        <v>2365.38</v>
      </c>
      <c r="L1351" s="5">
        <f t="shared" si="506"/>
        <v>3.8356164383561958E-2</v>
      </c>
      <c r="M1351" s="5">
        <f t="shared" si="507"/>
        <v>-0.25058489260952138</v>
      </c>
      <c r="N1351" s="5">
        <f t="shared" si="508"/>
        <v>7.0705999234779684</v>
      </c>
      <c r="O1351" s="1">
        <f t="shared" si="509"/>
        <v>0</v>
      </c>
      <c r="P1351" s="1">
        <f t="shared" si="510"/>
        <v>2365.38</v>
      </c>
      <c r="Q1351" s="5">
        <f t="shared" si="511"/>
        <v>3.8356164383561958E-2</v>
      </c>
      <c r="R1351" s="5">
        <f t="shared" si="512"/>
        <v>-0.25058489260952138</v>
      </c>
      <c r="S1351" s="5">
        <f t="shared" ref="S1351:S1414" si="518">BSM_Put(B1351,P1351,F1351,H1351,G1351,Q1351,$F$3)</f>
        <v>7.0705999234779684</v>
      </c>
      <c r="T1351" s="5">
        <f t="shared" si="496"/>
        <v>-715.44176785467243</v>
      </c>
      <c r="U1351" s="4">
        <f t="shared" si="497"/>
        <v>1734102.723093976</v>
      </c>
      <c r="V1351" s="4">
        <f t="shared" si="513"/>
        <v>27.983191887735664</v>
      </c>
      <c r="W1351" s="4">
        <f t="shared" si="498"/>
        <v>1729044.1205849298</v>
      </c>
      <c r="X1351" s="4">
        <f t="shared" si="502"/>
        <v>-97.570897029014304</v>
      </c>
      <c r="Y1351" s="9">
        <f>SUM($X$6:X1351)</f>
        <v>729044.12058492983</v>
      </c>
      <c r="Z1351" s="16">
        <f t="shared" si="503"/>
        <v>0.72904412058492984</v>
      </c>
      <c r="AA1351" s="16">
        <f t="shared" si="499"/>
        <v>0.87690476563356468</v>
      </c>
      <c r="AB1351" s="16">
        <f t="shared" si="500"/>
        <v>-5.6427357867585324E-5</v>
      </c>
      <c r="AC1351" s="16">
        <f t="shared" si="501"/>
        <v>-1.0252648600888713E-3</v>
      </c>
    </row>
    <row r="1352" spans="1:29" x14ac:dyDescent="0.15">
      <c r="A1352" s="8">
        <v>42865</v>
      </c>
      <c r="B1352" s="4">
        <v>2399.63</v>
      </c>
      <c r="C1352" s="1">
        <v>10.1312</v>
      </c>
      <c r="D1352" s="1">
        <v>2.04</v>
      </c>
      <c r="E1352" s="1">
        <v>1.2065999999999999</v>
      </c>
      <c r="F1352" s="4">
        <f t="shared" si="514"/>
        <v>0.101312</v>
      </c>
      <c r="G1352" s="4">
        <f t="shared" si="515"/>
        <v>2.0400000000000001E-2</v>
      </c>
      <c r="H1352" s="4">
        <f t="shared" si="516"/>
        <v>1.2065999999999999E-2</v>
      </c>
      <c r="I1352" s="3">
        <f t="shared" si="517"/>
        <v>50.750068028311496</v>
      </c>
      <c r="J1352" s="4">
        <f t="shared" si="504"/>
        <v>1734102.723093976</v>
      </c>
      <c r="K1352" s="1">
        <f t="shared" si="505"/>
        <v>2365.38</v>
      </c>
      <c r="L1352" s="5">
        <f t="shared" si="506"/>
        <v>3.5616438356164695E-2</v>
      </c>
      <c r="M1352" s="5">
        <f t="shared" si="507"/>
        <v>-0.22769397329977181</v>
      </c>
      <c r="N1352" s="5">
        <f t="shared" si="508"/>
        <v>6.1133832825905534</v>
      </c>
      <c r="O1352" s="1">
        <f t="shared" si="509"/>
        <v>0</v>
      </c>
      <c r="P1352" s="1">
        <f t="shared" si="510"/>
        <v>2365.38</v>
      </c>
      <c r="Q1352" s="5">
        <f t="shared" si="511"/>
        <v>3.5616438356164695E-2</v>
      </c>
      <c r="R1352" s="5">
        <f t="shared" si="512"/>
        <v>-0.22769397329977181</v>
      </c>
      <c r="S1352" s="5">
        <f t="shared" si="518"/>
        <v>6.1133832825905534</v>
      </c>
      <c r="T1352" s="5">
        <f t="shared" ref="T1352:T1415" si="519">IF(O1352,-(J1352+IF(L1352&lt;=0.00001, MAX(K1352-B1352,0),N1352)*T1351)/P1352,T1351)</f>
        <v>-715.44176785467243</v>
      </c>
      <c r="U1352" s="4">
        <f t="shared" ref="U1352:U1415" si="520">IF(O1352,(J1352+IF(L1352&lt;=0.00001, MAX(K1352-B1352,0),N1352)*T1351)-(S1352*T1352),U1351)+V1351</f>
        <v>1734130.7062858639</v>
      </c>
      <c r="V1352" s="4">
        <f t="shared" si="513"/>
        <v>27.983643452119825</v>
      </c>
      <c r="W1352" s="4">
        <f t="shared" ref="W1352:W1415" si="521">S1352*T1352+U1352</f>
        <v>1729756.9365425941</v>
      </c>
      <c r="X1352" s="4">
        <f t="shared" si="502"/>
        <v>712.81595766427927</v>
      </c>
      <c r="Y1352" s="9">
        <f>SUM($X$6:X1352)</f>
        <v>729756.93654259411</v>
      </c>
      <c r="Z1352" s="16">
        <f t="shared" si="503"/>
        <v>0.7297569365425941</v>
      </c>
      <c r="AA1352" s="16">
        <f t="shared" ref="AA1352:AA1415" si="522">(B1352-$B$6)/$B$6</f>
        <v>0.87902682724382586</v>
      </c>
      <c r="AB1352" s="16">
        <f t="shared" ref="AB1352:AB1415" si="523">X1352/W1351</f>
        <v>4.1226013216084738E-4</v>
      </c>
      <c r="AC1352" s="16">
        <f t="shared" ref="AC1352:AC1415" si="524">(B1352-B1351)/B1351</f>
        <v>1.1306176259533219E-3</v>
      </c>
    </row>
    <row r="1353" spans="1:29" x14ac:dyDescent="0.15">
      <c r="A1353" s="8">
        <v>42866</v>
      </c>
      <c r="B1353" s="4">
        <v>2394.44</v>
      </c>
      <c r="C1353" s="1">
        <v>10.323700000000001</v>
      </c>
      <c r="D1353" s="1">
        <v>2.04</v>
      </c>
      <c r="E1353" s="1">
        <v>1.208</v>
      </c>
      <c r="F1353" s="4">
        <f t="shared" si="514"/>
        <v>0.10323700000000001</v>
      </c>
      <c r="G1353" s="4">
        <f t="shared" si="515"/>
        <v>2.0400000000000001E-2</v>
      </c>
      <c r="H1353" s="4">
        <f t="shared" si="516"/>
        <v>1.208E-2</v>
      </c>
      <c r="I1353" s="3">
        <f t="shared" si="517"/>
        <v>51.549316943591961</v>
      </c>
      <c r="J1353" s="4">
        <f t="shared" si="504"/>
        <v>1734130.7062858639</v>
      </c>
      <c r="K1353" s="1">
        <f t="shared" si="505"/>
        <v>2365.38</v>
      </c>
      <c r="L1353" s="5">
        <f t="shared" si="506"/>
        <v>3.2876712328767432E-2</v>
      </c>
      <c r="M1353" s="5">
        <f t="shared" si="507"/>
        <v>-0.25862078124287635</v>
      </c>
      <c r="N1353" s="5">
        <f t="shared" si="508"/>
        <v>7.0599379925534231</v>
      </c>
      <c r="O1353" s="1">
        <f t="shared" si="509"/>
        <v>0</v>
      </c>
      <c r="P1353" s="1">
        <f t="shared" si="510"/>
        <v>2365.38</v>
      </c>
      <c r="Q1353" s="5">
        <f t="shared" si="511"/>
        <v>3.2876712328767432E-2</v>
      </c>
      <c r="R1353" s="5">
        <f t="shared" si="512"/>
        <v>-0.25862078124287635</v>
      </c>
      <c r="S1353" s="5">
        <f t="shared" si="518"/>
        <v>7.0599379925534231</v>
      </c>
      <c r="T1353" s="5">
        <f t="shared" si="519"/>
        <v>-715.44176785467243</v>
      </c>
      <c r="U1353" s="4">
        <f t="shared" si="520"/>
        <v>1734158.6899293161</v>
      </c>
      <c r="V1353" s="4">
        <f t="shared" si="513"/>
        <v>27.984095023790879</v>
      </c>
      <c r="W1353" s="4">
        <f t="shared" si="521"/>
        <v>1729107.7154109792</v>
      </c>
      <c r="X1353" s="4">
        <f t="shared" ref="X1353:X1416" si="525">W1353-W1352</f>
        <v>-649.22113161487505</v>
      </c>
      <c r="Y1353" s="9">
        <f>SUM($X$6:X1353)</f>
        <v>729107.71541097923</v>
      </c>
      <c r="Z1353" s="16">
        <f t="shared" si="503"/>
        <v>0.72910771541097918</v>
      </c>
      <c r="AA1353" s="16">
        <f t="shared" si="522"/>
        <v>0.87496280519317815</v>
      </c>
      <c r="AB1353" s="16">
        <f t="shared" si="523"/>
        <v>-3.7532506324994199E-4</v>
      </c>
      <c r="AC1353" s="16">
        <f t="shared" si="524"/>
        <v>-2.1628334368215328E-3</v>
      </c>
    </row>
    <row r="1354" spans="1:29" x14ac:dyDescent="0.15">
      <c r="A1354" s="8">
        <v>42867</v>
      </c>
      <c r="B1354" s="4">
        <v>2390.9</v>
      </c>
      <c r="C1354" s="1">
        <v>10.263500000000001</v>
      </c>
      <c r="D1354" s="1">
        <v>2.0499999999999998</v>
      </c>
      <c r="E1354" s="1">
        <v>1.2058</v>
      </c>
      <c r="F1354" s="4">
        <f t="shared" si="514"/>
        <v>0.102635</v>
      </c>
      <c r="G1354" s="4">
        <f t="shared" si="515"/>
        <v>2.0499999999999997E-2</v>
      </c>
      <c r="H1354" s="4">
        <f t="shared" si="516"/>
        <v>1.2057999999999999E-2</v>
      </c>
      <c r="I1354" s="3">
        <f t="shared" si="517"/>
        <v>51.224775255401021</v>
      </c>
      <c r="J1354" s="4">
        <f t="shared" si="504"/>
        <v>1734158.6899293161</v>
      </c>
      <c r="K1354" s="1">
        <f t="shared" si="505"/>
        <v>2365.38</v>
      </c>
      <c r="L1354" s="5">
        <f t="shared" si="506"/>
        <v>3.0136986301370173E-2</v>
      </c>
      <c r="M1354" s="5">
        <f t="shared" si="507"/>
        <v>-0.2751121726778693</v>
      </c>
      <c r="N1354" s="5">
        <f t="shared" si="508"/>
        <v>7.2836290214801718</v>
      </c>
      <c r="O1354" s="1">
        <f t="shared" si="509"/>
        <v>0</v>
      </c>
      <c r="P1354" s="1">
        <f t="shared" si="510"/>
        <v>2365.38</v>
      </c>
      <c r="Q1354" s="5">
        <f t="shared" si="511"/>
        <v>3.0136986301370173E-2</v>
      </c>
      <c r="R1354" s="5">
        <f t="shared" si="512"/>
        <v>-0.2751121726778693</v>
      </c>
      <c r="S1354" s="5">
        <f t="shared" si="518"/>
        <v>7.2836290214801718</v>
      </c>
      <c r="T1354" s="5">
        <f t="shared" si="519"/>
        <v>-715.44176785467243</v>
      </c>
      <c r="U1354" s="4">
        <f t="shared" si="520"/>
        <v>1734186.6740243398</v>
      </c>
      <c r="V1354" s="4">
        <f t="shared" si="513"/>
        <v>27.984546602748932</v>
      </c>
      <c r="W1354" s="4">
        <f t="shared" si="521"/>
        <v>1728975.6616008144</v>
      </c>
      <c r="X1354" s="4">
        <f t="shared" si="525"/>
        <v>-132.05381016479805</v>
      </c>
      <c r="Y1354" s="9">
        <f>SUM($X$6:X1354)</f>
        <v>728975.66160081443</v>
      </c>
      <c r="Z1354" s="16">
        <f t="shared" si="503"/>
        <v>0.7289756616008144</v>
      </c>
      <c r="AA1354" s="16">
        <f t="shared" si="522"/>
        <v>0.87219081327423942</v>
      </c>
      <c r="AB1354" s="16">
        <f t="shared" si="523"/>
        <v>-7.637107219396747E-5</v>
      </c>
      <c r="AC1354" s="16">
        <f t="shared" si="524"/>
        <v>-1.4784250179582547E-3</v>
      </c>
    </row>
    <row r="1355" spans="1:29" x14ac:dyDescent="0.15">
      <c r="A1355" s="8">
        <v>42870</v>
      </c>
      <c r="B1355" s="4">
        <v>2402.3200000000002</v>
      </c>
      <c r="C1355" s="1">
        <v>10.077500000000001</v>
      </c>
      <c r="D1355" s="1">
        <v>2.04</v>
      </c>
      <c r="E1355" s="1">
        <v>1.2056</v>
      </c>
      <c r="F1355" s="4">
        <f t="shared" si="514"/>
        <v>0.100775</v>
      </c>
      <c r="G1355" s="4">
        <f t="shared" si="515"/>
        <v>2.0400000000000001E-2</v>
      </c>
      <c r="H1355" s="4">
        <f t="shared" si="516"/>
        <v>1.2056000000000001E-2</v>
      </c>
      <c r="I1355" s="3">
        <f t="shared" si="517"/>
        <v>50.554465133674341</v>
      </c>
      <c r="J1355" s="4">
        <f t="shared" si="504"/>
        <v>1734186.6740243398</v>
      </c>
      <c r="K1355" s="1">
        <f t="shared" si="505"/>
        <v>2365.38</v>
      </c>
      <c r="L1355" s="5">
        <f t="shared" si="506"/>
        <v>2.1917808219178395E-2</v>
      </c>
      <c r="M1355" s="5">
        <f t="shared" si="507"/>
        <v>-0.15053204013139665</v>
      </c>
      <c r="N1355" s="5">
        <f t="shared" si="508"/>
        <v>2.8160001149186695</v>
      </c>
      <c r="O1355" s="1">
        <f t="shared" si="509"/>
        <v>0</v>
      </c>
      <c r="P1355" s="1">
        <f t="shared" si="510"/>
        <v>2365.38</v>
      </c>
      <c r="Q1355" s="5">
        <f t="shared" si="511"/>
        <v>2.1917808219178395E-2</v>
      </c>
      <c r="R1355" s="5">
        <f t="shared" si="512"/>
        <v>-0.15053204013139665</v>
      </c>
      <c r="S1355" s="5">
        <f t="shared" si="518"/>
        <v>2.8160001149186695</v>
      </c>
      <c r="T1355" s="5">
        <f t="shared" si="519"/>
        <v>-715.44176785467243</v>
      </c>
      <c r="U1355" s="4">
        <f t="shared" si="520"/>
        <v>1734214.6585709425</v>
      </c>
      <c r="V1355" s="4">
        <f t="shared" si="513"/>
        <v>83.954994566982336</v>
      </c>
      <c r="W1355" s="4">
        <f t="shared" si="521"/>
        <v>1732199.9744704461</v>
      </c>
      <c r="X1355" s="4">
        <f t="shared" si="525"/>
        <v>3224.3128696316853</v>
      </c>
      <c r="Y1355" s="9">
        <f>SUM($X$6:X1355)</f>
        <v>732199.97447044612</v>
      </c>
      <c r="Z1355" s="16">
        <f t="shared" si="503"/>
        <v>0.73219997447044616</v>
      </c>
      <c r="AA1355" s="16">
        <f t="shared" si="522"/>
        <v>0.88113322788279347</v>
      </c>
      <c r="AB1355" s="16">
        <f t="shared" si="523"/>
        <v>1.8648688591986172E-3</v>
      </c>
      <c r="AC1355" s="16">
        <f t="shared" si="524"/>
        <v>4.7764440168974326E-3</v>
      </c>
    </row>
    <row r="1356" spans="1:29" x14ac:dyDescent="0.15">
      <c r="A1356" s="8">
        <v>42871</v>
      </c>
      <c r="B1356" s="4">
        <v>2400.67</v>
      </c>
      <c r="C1356" s="1">
        <v>9.9634999999999998</v>
      </c>
      <c r="D1356" s="1">
        <v>2.04</v>
      </c>
      <c r="E1356" s="1">
        <v>1.2074</v>
      </c>
      <c r="F1356" s="4">
        <f t="shared" si="514"/>
        <v>9.9635000000000001E-2</v>
      </c>
      <c r="G1356" s="4">
        <f t="shared" si="515"/>
        <v>2.0400000000000001E-2</v>
      </c>
      <c r="H1356" s="4">
        <f t="shared" si="516"/>
        <v>1.2074E-2</v>
      </c>
      <c r="I1356" s="3">
        <f t="shared" si="517"/>
        <v>49.971769574027057</v>
      </c>
      <c r="J1356" s="4">
        <f t="shared" si="504"/>
        <v>1734214.6585709425</v>
      </c>
      <c r="K1356" s="1">
        <f t="shared" si="505"/>
        <v>2365.38</v>
      </c>
      <c r="L1356" s="5">
        <f t="shared" si="506"/>
        <v>1.9178082191781135E-2</v>
      </c>
      <c r="M1356" s="5">
        <f t="shared" si="507"/>
        <v>-0.14256580667299815</v>
      </c>
      <c r="N1356" s="5">
        <f t="shared" si="508"/>
        <v>2.431507770651097</v>
      </c>
      <c r="O1356" s="1">
        <f t="shared" si="509"/>
        <v>0</v>
      </c>
      <c r="P1356" s="1">
        <f t="shared" si="510"/>
        <v>2365.38</v>
      </c>
      <c r="Q1356" s="5">
        <f t="shared" si="511"/>
        <v>1.9178082191781135E-2</v>
      </c>
      <c r="R1356" s="5">
        <f t="shared" si="512"/>
        <v>-0.14256580667299815</v>
      </c>
      <c r="S1356" s="5">
        <f t="shared" si="518"/>
        <v>2.431507770651097</v>
      </c>
      <c r="T1356" s="5">
        <f t="shared" si="519"/>
        <v>-715.44176785467243</v>
      </c>
      <c r="U1356" s="4">
        <f t="shared" si="520"/>
        <v>1734298.6135655094</v>
      </c>
      <c r="V1356" s="4">
        <f t="shared" si="513"/>
        <v>27.986352969591369</v>
      </c>
      <c r="W1356" s="4">
        <f t="shared" si="521"/>
        <v>1732559.0113475225</v>
      </c>
      <c r="X1356" s="4">
        <f t="shared" si="525"/>
        <v>359.03687707637437</v>
      </c>
      <c r="Y1356" s="9">
        <f>SUM($X$6:X1356)</f>
        <v>732559.01134752249</v>
      </c>
      <c r="Z1356" s="16">
        <f t="shared" si="503"/>
        <v>0.73255901134752255</v>
      </c>
      <c r="AA1356" s="16">
        <f t="shared" si="522"/>
        <v>0.87984119775108471</v>
      </c>
      <c r="AB1356" s="16">
        <f t="shared" si="523"/>
        <v>2.0727218702686805E-4</v>
      </c>
      <c r="AC1356" s="16">
        <f t="shared" si="524"/>
        <v>-6.8683605847684362E-4</v>
      </c>
    </row>
    <row r="1357" spans="1:29" x14ac:dyDescent="0.15">
      <c r="A1357" s="8">
        <v>42872</v>
      </c>
      <c r="B1357" s="4">
        <v>2357.0300000000002</v>
      </c>
      <c r="C1357" s="1">
        <v>12.106999999999999</v>
      </c>
      <c r="D1357" s="1">
        <v>2.08</v>
      </c>
      <c r="E1357" s="1">
        <v>1.204</v>
      </c>
      <c r="F1357" s="4">
        <f t="shared" si="514"/>
        <v>0.12107</v>
      </c>
      <c r="G1357" s="4">
        <f t="shared" si="515"/>
        <v>2.0799999999999999E-2</v>
      </c>
      <c r="H1357" s="4">
        <f t="shared" si="516"/>
        <v>1.204E-2</v>
      </c>
      <c r="I1357" s="3">
        <f t="shared" si="517"/>
        <v>59.203647865789158</v>
      </c>
      <c r="J1357" s="4">
        <f t="shared" si="504"/>
        <v>1734298.6135655094</v>
      </c>
      <c r="K1357" s="1">
        <f t="shared" si="505"/>
        <v>2365.38</v>
      </c>
      <c r="L1357" s="5">
        <f t="shared" si="506"/>
        <v>1.6438356164383876E-2</v>
      </c>
      <c r="M1357" s="5">
        <f t="shared" si="507"/>
        <v>-0.59049307631219661</v>
      </c>
      <c r="N1357" s="5">
        <f t="shared" si="508"/>
        <v>19.370778406234475</v>
      </c>
      <c r="O1357" s="1">
        <f t="shared" si="509"/>
        <v>0</v>
      </c>
      <c r="P1357" s="1">
        <f t="shared" si="510"/>
        <v>2365.38</v>
      </c>
      <c r="Q1357" s="5">
        <f t="shared" si="511"/>
        <v>1.6438356164383876E-2</v>
      </c>
      <c r="R1357" s="5">
        <f t="shared" si="512"/>
        <v>-0.59049307631219661</v>
      </c>
      <c r="S1357" s="5">
        <f t="shared" si="518"/>
        <v>19.370778406234475</v>
      </c>
      <c r="T1357" s="5">
        <f t="shared" si="519"/>
        <v>-715.44176785467243</v>
      </c>
      <c r="U1357" s="4">
        <f t="shared" si="520"/>
        <v>1734326.5999184791</v>
      </c>
      <c r="V1357" s="4">
        <f t="shared" si="513"/>
        <v>27.986804584985865</v>
      </c>
      <c r="W1357" s="4">
        <f t="shared" si="521"/>
        <v>1720467.9359708016</v>
      </c>
      <c r="X1357" s="4">
        <f t="shared" si="525"/>
        <v>-12091.075376720866</v>
      </c>
      <c r="Y1357" s="9">
        <f>SUM($X$6:X1357)</f>
        <v>720467.93597080163</v>
      </c>
      <c r="Z1357" s="16">
        <f t="shared" si="503"/>
        <v>0.72046793597080161</v>
      </c>
      <c r="AA1357" s="16">
        <f t="shared" si="522"/>
        <v>0.84566895838879952</v>
      </c>
      <c r="AB1357" s="16">
        <f t="shared" si="523"/>
        <v>-6.9787379809458034E-3</v>
      </c>
      <c r="AC1357" s="16">
        <f t="shared" si="524"/>
        <v>-1.8178258569482634E-2</v>
      </c>
    </row>
    <row r="1358" spans="1:29" x14ac:dyDescent="0.15">
      <c r="A1358" s="8">
        <v>42873</v>
      </c>
      <c r="B1358" s="4">
        <v>2365.7199999999998</v>
      </c>
      <c r="C1358" s="1">
        <v>11.7502</v>
      </c>
      <c r="D1358" s="1">
        <v>2.0699999999999998</v>
      </c>
      <c r="E1358" s="1">
        <v>1.1978</v>
      </c>
      <c r="F1358" s="4">
        <f t="shared" si="514"/>
        <v>0.117502</v>
      </c>
      <c r="G1358" s="4">
        <f t="shared" si="515"/>
        <v>2.07E-2</v>
      </c>
      <c r="H1358" s="4">
        <f t="shared" si="516"/>
        <v>1.1977999999999999E-2</v>
      </c>
      <c r="I1358" s="3">
        <f t="shared" si="517"/>
        <v>57.738928053867575</v>
      </c>
      <c r="J1358" s="4">
        <f t="shared" si="504"/>
        <v>1734326.5999184791</v>
      </c>
      <c r="K1358" s="1">
        <f t="shared" si="505"/>
        <v>2365.38</v>
      </c>
      <c r="L1358" s="5">
        <f t="shared" si="506"/>
        <v>1.3698630136986616E-2</v>
      </c>
      <c r="M1358" s="5">
        <f t="shared" si="507"/>
        <v>-0.49641255132508261</v>
      </c>
      <c r="N1358" s="5">
        <f t="shared" si="508"/>
        <v>12.946882633066556</v>
      </c>
      <c r="O1358" s="1">
        <f t="shared" si="509"/>
        <v>0</v>
      </c>
      <c r="P1358" s="1">
        <f t="shared" si="510"/>
        <v>2365.38</v>
      </c>
      <c r="Q1358" s="5">
        <f t="shared" si="511"/>
        <v>1.3698630136986616E-2</v>
      </c>
      <c r="R1358" s="5">
        <f t="shared" si="512"/>
        <v>-0.49641255132508261</v>
      </c>
      <c r="S1358" s="5">
        <f t="shared" si="518"/>
        <v>12.946882633066556</v>
      </c>
      <c r="T1358" s="5">
        <f t="shared" si="519"/>
        <v>-715.44176785467243</v>
      </c>
      <c r="U1358" s="4">
        <f t="shared" si="520"/>
        <v>1734354.5867230641</v>
      </c>
      <c r="V1358" s="4">
        <f t="shared" si="513"/>
        <v>27.987256207668075</v>
      </c>
      <c r="W1358" s="4">
        <f t="shared" si="521"/>
        <v>1725091.846123856</v>
      </c>
      <c r="X1358" s="4">
        <f t="shared" si="525"/>
        <v>4623.9101530543994</v>
      </c>
      <c r="Y1358" s="9">
        <f>SUM($X$6:X1358)</f>
        <v>725091.84612385603</v>
      </c>
      <c r="Z1358" s="16">
        <f t="shared" si="503"/>
        <v>0.72509184612385602</v>
      </c>
      <c r="AA1358" s="16">
        <f t="shared" si="522"/>
        <v>0.8524736504157987</v>
      </c>
      <c r="AB1358" s="16">
        <f t="shared" si="523"/>
        <v>2.6875886823460524E-3</v>
      </c>
      <c r="AC1358" s="16">
        <f t="shared" si="524"/>
        <v>3.686843188249449E-3</v>
      </c>
    </row>
    <row r="1359" spans="1:29" x14ac:dyDescent="0.15">
      <c r="A1359" s="8">
        <v>42874</v>
      </c>
      <c r="B1359" s="4">
        <v>2381.73</v>
      </c>
      <c r="C1359" s="1">
        <v>10.7918</v>
      </c>
      <c r="D1359" s="1">
        <v>2.06</v>
      </c>
      <c r="E1359" s="1">
        <v>1.2128000000000001</v>
      </c>
      <c r="F1359" s="4">
        <f t="shared" si="514"/>
        <v>0.107918</v>
      </c>
      <c r="G1359" s="4">
        <f t="shared" si="515"/>
        <v>2.06E-2</v>
      </c>
      <c r="H1359" s="4">
        <f t="shared" si="516"/>
        <v>1.2128000000000002E-2</v>
      </c>
      <c r="I1359" s="3">
        <f t="shared" si="517"/>
        <v>53.529748398042258</v>
      </c>
      <c r="J1359" s="4">
        <f t="shared" si="504"/>
        <v>1734354.5867230641</v>
      </c>
      <c r="K1359" s="1">
        <f t="shared" si="505"/>
        <v>2365.38</v>
      </c>
      <c r="L1359" s="5">
        <f t="shared" si="506"/>
        <v>1.0958904109589357E-2</v>
      </c>
      <c r="M1359" s="5">
        <f t="shared" si="507"/>
        <v>-0.27180842741582023</v>
      </c>
      <c r="N1359" s="5">
        <f t="shared" si="508"/>
        <v>4.5109127930290418</v>
      </c>
      <c r="O1359" s="1">
        <f t="shared" si="509"/>
        <v>0</v>
      </c>
      <c r="P1359" s="1">
        <f t="shared" si="510"/>
        <v>2365.38</v>
      </c>
      <c r="Q1359" s="5">
        <f t="shared" si="511"/>
        <v>1.0958904109589357E-2</v>
      </c>
      <c r="R1359" s="5">
        <f t="shared" si="512"/>
        <v>-0.27180842741582023</v>
      </c>
      <c r="S1359" s="5">
        <f t="shared" si="518"/>
        <v>4.5109127930290418</v>
      </c>
      <c r="T1359" s="5">
        <f t="shared" si="519"/>
        <v>-715.44176785467243</v>
      </c>
      <c r="U1359" s="4">
        <f t="shared" si="520"/>
        <v>1734382.5739792718</v>
      </c>
      <c r="V1359" s="4">
        <f t="shared" si="513"/>
        <v>27.987707837638109</v>
      </c>
      <c r="W1359" s="4">
        <f t="shared" si="521"/>
        <v>1731155.2785559888</v>
      </c>
      <c r="X1359" s="4">
        <f t="shared" si="525"/>
        <v>6063.4324321327731</v>
      </c>
      <c r="Y1359" s="9">
        <f>SUM($X$6:X1359)</f>
        <v>731155.2785559888</v>
      </c>
      <c r="Z1359" s="16">
        <f t="shared" si="503"/>
        <v>0.73115527855598883</v>
      </c>
      <c r="AA1359" s="16">
        <f t="shared" si="522"/>
        <v>0.86501025793619735</v>
      </c>
      <c r="AB1359" s="16">
        <f t="shared" si="523"/>
        <v>3.5148461490655254E-3</v>
      </c>
      <c r="AC1359" s="16">
        <f t="shared" si="524"/>
        <v>6.7674957306867334E-3</v>
      </c>
    </row>
    <row r="1360" spans="1:29" x14ac:dyDescent="0.15">
      <c r="A1360" s="8">
        <v>42877</v>
      </c>
      <c r="B1360" s="4">
        <v>2394.02</v>
      </c>
      <c r="C1360" s="1">
        <v>10.3026</v>
      </c>
      <c r="D1360" s="1">
        <v>2.0499999999999998</v>
      </c>
      <c r="E1360" s="1">
        <v>1.2184999999999999</v>
      </c>
      <c r="F1360" s="4">
        <f t="shared" si="514"/>
        <v>0.10302600000000001</v>
      </c>
      <c r="G1360" s="4">
        <f t="shared" si="515"/>
        <v>2.0499999999999997E-2</v>
      </c>
      <c r="H1360" s="4">
        <f t="shared" si="516"/>
        <v>1.2185E-2</v>
      </c>
      <c r="I1360" s="3">
        <f t="shared" si="517"/>
        <v>51.437325110401162</v>
      </c>
      <c r="J1360" s="4">
        <f t="shared" si="504"/>
        <v>1734382.5739792718</v>
      </c>
      <c r="K1360" s="1">
        <f t="shared" si="505"/>
        <v>2365.38</v>
      </c>
      <c r="L1360" s="5">
        <f t="shared" si="506"/>
        <v>2.7397260273975769E-3</v>
      </c>
      <c r="M1360" s="5">
        <f t="shared" si="507"/>
        <v>-1.2863914730833479E-2</v>
      </c>
      <c r="N1360" s="5">
        <f t="shared" si="508"/>
        <v>5.7959621811486596E-2</v>
      </c>
      <c r="O1360" s="1">
        <f t="shared" si="509"/>
        <v>1</v>
      </c>
      <c r="P1360" s="1">
        <f t="shared" si="510"/>
        <v>2394.02</v>
      </c>
      <c r="Q1360" s="5">
        <f t="shared" si="511"/>
        <v>0.24931506849315069</v>
      </c>
      <c r="R1360" s="5">
        <f t="shared" si="512"/>
        <v>-0.503236721537063</v>
      </c>
      <c r="S1360" s="5">
        <f t="shared" si="518"/>
        <v>51.437325110401162</v>
      </c>
      <c r="T1360" s="5">
        <f t="shared" si="519"/>
        <v>-724.44720898111916</v>
      </c>
      <c r="U1360" s="4">
        <f t="shared" si="520"/>
        <v>1771632.7215665011</v>
      </c>
      <c r="V1360" s="4">
        <f t="shared" si="513"/>
        <v>85.766438876931701</v>
      </c>
      <c r="W1360" s="4">
        <f t="shared" si="521"/>
        <v>1734369.0949528166</v>
      </c>
      <c r="X1360" s="4">
        <f t="shared" si="525"/>
        <v>3213.8163968278095</v>
      </c>
      <c r="Y1360" s="9">
        <f>SUM($X$6:X1360)</f>
        <v>734369.09495281661</v>
      </c>
      <c r="Z1360" s="16">
        <f t="shared" si="503"/>
        <v>0.73436909495281666</v>
      </c>
      <c r="AA1360" s="16">
        <f t="shared" si="522"/>
        <v>0.87463392479601587</v>
      </c>
      <c r="AB1360" s="16">
        <f t="shared" si="523"/>
        <v>1.8564576133855279E-3</v>
      </c>
      <c r="AC1360" s="16">
        <f t="shared" si="524"/>
        <v>5.1601147065368294E-3</v>
      </c>
    </row>
    <row r="1361" spans="1:29" x14ac:dyDescent="0.15">
      <c r="A1361" s="8">
        <v>42878</v>
      </c>
      <c r="B1361" s="4">
        <v>2398.42</v>
      </c>
      <c r="C1361" s="1">
        <v>10.1897</v>
      </c>
      <c r="D1361" s="1">
        <v>2.04</v>
      </c>
      <c r="E1361" s="1">
        <v>1.2151000000000001</v>
      </c>
      <c r="F1361" s="4">
        <f t="shared" si="514"/>
        <v>0.101897</v>
      </c>
      <c r="G1361" s="4">
        <f t="shared" si="515"/>
        <v>2.0400000000000001E-2</v>
      </c>
      <c r="H1361" s="4">
        <f t="shared" si="516"/>
        <v>1.2151E-2</v>
      </c>
      <c r="I1361" s="3">
        <f t="shared" si="517"/>
        <v>50.975843910582888</v>
      </c>
      <c r="J1361" s="4">
        <f t="shared" si="504"/>
        <v>1771632.7215665011</v>
      </c>
      <c r="K1361" s="1">
        <f t="shared" si="505"/>
        <v>2394.02</v>
      </c>
      <c r="L1361" s="5">
        <f t="shared" si="506"/>
        <v>0.24657534246575344</v>
      </c>
      <c r="M1361" s="5">
        <f t="shared" si="507"/>
        <v>-0.48900115241673242</v>
      </c>
      <c r="N1361" s="5">
        <f t="shared" si="508"/>
        <v>48.407143451750656</v>
      </c>
      <c r="O1361" s="1">
        <f t="shared" si="509"/>
        <v>0</v>
      </c>
      <c r="P1361" s="1">
        <f t="shared" si="510"/>
        <v>2394.02</v>
      </c>
      <c r="Q1361" s="5">
        <f t="shared" si="511"/>
        <v>0.24657534246575344</v>
      </c>
      <c r="R1361" s="5">
        <f t="shared" si="512"/>
        <v>-0.48900115241673242</v>
      </c>
      <c r="S1361" s="5">
        <f t="shared" si="518"/>
        <v>48.407143451750656</v>
      </c>
      <c r="T1361" s="5">
        <f t="shared" si="519"/>
        <v>-724.44720898111916</v>
      </c>
      <c r="U1361" s="4">
        <f t="shared" si="520"/>
        <v>1771718.4880053781</v>
      </c>
      <c r="V1361" s="4">
        <f t="shared" si="513"/>
        <v>28.590196970826508</v>
      </c>
      <c r="W1361" s="4">
        <f t="shared" si="521"/>
        <v>1736650.0680370086</v>
      </c>
      <c r="X1361" s="4">
        <f t="shared" si="525"/>
        <v>2280.9730841920245</v>
      </c>
      <c r="Y1361" s="9">
        <f>SUM($X$6:X1361)</f>
        <v>736650.06803700863</v>
      </c>
      <c r="Z1361" s="16">
        <f t="shared" si="503"/>
        <v>0.73665006803700861</v>
      </c>
      <c r="AA1361" s="16">
        <f t="shared" si="522"/>
        <v>0.87807933848057274</v>
      </c>
      <c r="AB1361" s="16">
        <f t="shared" si="523"/>
        <v>1.3151601298880837E-3</v>
      </c>
      <c r="AC1361" s="16">
        <f t="shared" si="524"/>
        <v>1.837912799391856E-3</v>
      </c>
    </row>
    <row r="1362" spans="1:29" x14ac:dyDescent="0.15">
      <c r="A1362" s="8">
        <v>42879</v>
      </c>
      <c r="B1362" s="4">
        <v>2404.39</v>
      </c>
      <c r="C1362" s="1">
        <v>9.9611999999999998</v>
      </c>
      <c r="D1362" s="1">
        <v>2.04</v>
      </c>
      <c r="E1362" s="1">
        <v>1.2234</v>
      </c>
      <c r="F1362" s="4">
        <f t="shared" si="514"/>
        <v>9.9611999999999992E-2</v>
      </c>
      <c r="G1362" s="4">
        <f t="shared" si="515"/>
        <v>2.0400000000000001E-2</v>
      </c>
      <c r="H1362" s="4">
        <f t="shared" si="516"/>
        <v>1.2234E-2</v>
      </c>
      <c r="I1362" s="3">
        <f t="shared" si="517"/>
        <v>49.987911224994114</v>
      </c>
      <c r="J1362" s="4">
        <f t="shared" si="504"/>
        <v>1771718.4880053781</v>
      </c>
      <c r="K1362" s="1">
        <f t="shared" si="505"/>
        <v>2394.02</v>
      </c>
      <c r="L1362" s="5">
        <f t="shared" si="506"/>
        <v>0.24383561643835619</v>
      </c>
      <c r="M1362" s="5">
        <f t="shared" si="507"/>
        <v>-0.4689680336982931</v>
      </c>
      <c r="N1362" s="5">
        <f t="shared" si="508"/>
        <v>44.155720340410895</v>
      </c>
      <c r="O1362" s="1">
        <f t="shared" si="509"/>
        <v>0</v>
      </c>
      <c r="P1362" s="1">
        <f t="shared" si="510"/>
        <v>2394.02</v>
      </c>
      <c r="Q1362" s="5">
        <f t="shared" si="511"/>
        <v>0.24383561643835619</v>
      </c>
      <c r="R1362" s="5">
        <f t="shared" si="512"/>
        <v>-0.4689680336982931</v>
      </c>
      <c r="S1362" s="5">
        <f t="shared" si="518"/>
        <v>44.155720340410895</v>
      </c>
      <c r="T1362" s="5">
        <f t="shared" si="519"/>
        <v>-724.44720898111916</v>
      </c>
      <c r="U1362" s="4">
        <f t="shared" si="520"/>
        <v>1771747.0782023489</v>
      </c>
      <c r="V1362" s="4">
        <f t="shared" si="513"/>
        <v>28.590658330443379</v>
      </c>
      <c r="W1362" s="4">
        <f t="shared" si="521"/>
        <v>1739758.5898411875</v>
      </c>
      <c r="X1362" s="4">
        <f t="shared" si="525"/>
        <v>3108.5218041788321</v>
      </c>
      <c r="Y1362" s="9">
        <f>SUM($X$6:X1362)</f>
        <v>739758.58984118747</v>
      </c>
      <c r="Z1362" s="16">
        <f t="shared" ref="Z1362:Z1425" si="526">Y1362/$H$3</f>
        <v>0.73975858984118747</v>
      </c>
      <c r="AA1362" s="16">
        <f t="shared" si="522"/>
        <v>0.88275413841166428</v>
      </c>
      <c r="AB1362" s="16">
        <f t="shared" si="523"/>
        <v>1.7899528876836393E-3</v>
      </c>
      <c r="AC1362" s="16">
        <f t="shared" si="524"/>
        <v>2.4891386829662028E-3</v>
      </c>
    </row>
    <row r="1363" spans="1:29" x14ac:dyDescent="0.15">
      <c r="A1363" s="8">
        <v>42880</v>
      </c>
      <c r="B1363" s="4">
        <v>2415.0700000000002</v>
      </c>
      <c r="C1363" s="1">
        <v>9.7203999999999997</v>
      </c>
      <c r="D1363" s="1">
        <v>2.0299999999999998</v>
      </c>
      <c r="E1363" s="1">
        <v>1.2271000000000001</v>
      </c>
      <c r="F1363" s="4">
        <f t="shared" si="514"/>
        <v>9.7203999999999999E-2</v>
      </c>
      <c r="G1363" s="4">
        <f t="shared" si="515"/>
        <v>2.0299999999999999E-2</v>
      </c>
      <c r="H1363" s="4">
        <f t="shared" si="516"/>
        <v>1.2271000000000001E-2</v>
      </c>
      <c r="I1363" s="3">
        <f t="shared" si="517"/>
        <v>49.015504555113274</v>
      </c>
      <c r="J1363" s="4">
        <f t="shared" si="504"/>
        <v>1771747.0782023489</v>
      </c>
      <c r="K1363" s="1">
        <f t="shared" si="505"/>
        <v>2394.02</v>
      </c>
      <c r="L1363" s="5">
        <f t="shared" si="506"/>
        <v>0.24109589041095894</v>
      </c>
      <c r="M1363" s="5">
        <f t="shared" si="507"/>
        <v>-0.43167526161604364</v>
      </c>
      <c r="N1363" s="5">
        <f t="shared" si="508"/>
        <v>37.899845913236213</v>
      </c>
      <c r="O1363" s="1">
        <f t="shared" si="509"/>
        <v>0</v>
      </c>
      <c r="P1363" s="1">
        <f t="shared" si="510"/>
        <v>2394.02</v>
      </c>
      <c r="Q1363" s="5">
        <f t="shared" si="511"/>
        <v>0.24109589041095894</v>
      </c>
      <c r="R1363" s="5">
        <f t="shared" si="512"/>
        <v>-0.43167526161604364</v>
      </c>
      <c r="S1363" s="5">
        <f t="shared" si="518"/>
        <v>37.899845913236213</v>
      </c>
      <c r="T1363" s="5">
        <f t="shared" si="519"/>
        <v>-724.44720898111916</v>
      </c>
      <c r="U1363" s="4">
        <f t="shared" si="520"/>
        <v>1771775.6688606793</v>
      </c>
      <c r="V1363" s="4">
        <f t="shared" si="513"/>
        <v>28.591119697505206</v>
      </c>
      <c r="W1363" s="4">
        <f t="shared" si="521"/>
        <v>1744319.2312680208</v>
      </c>
      <c r="X1363" s="4">
        <f t="shared" si="525"/>
        <v>4560.6414268333465</v>
      </c>
      <c r="Y1363" s="9">
        <f>SUM($X$6:X1363)</f>
        <v>744319.23126802081</v>
      </c>
      <c r="Z1363" s="16">
        <f t="shared" si="526"/>
        <v>0.7443192312680208</v>
      </c>
      <c r="AA1363" s="16">
        <f t="shared" si="522"/>
        <v>0.89111709708236131</v>
      </c>
      <c r="AB1363" s="16">
        <f t="shared" si="523"/>
        <v>2.6214219912256108E-3</v>
      </c>
      <c r="AC1363" s="16">
        <f t="shared" si="524"/>
        <v>4.4418750701842426E-3</v>
      </c>
    </row>
    <row r="1364" spans="1:29" x14ac:dyDescent="0.15">
      <c r="A1364" s="8">
        <v>42881</v>
      </c>
      <c r="B1364" s="4">
        <v>2415.8200000000002</v>
      </c>
      <c r="C1364" s="1">
        <v>9.6971000000000007</v>
      </c>
      <c r="D1364" s="1">
        <v>2.04</v>
      </c>
      <c r="E1364" s="1">
        <v>1.2284999999999999</v>
      </c>
      <c r="F1364" s="4">
        <f t="shared" si="514"/>
        <v>9.6971000000000002E-2</v>
      </c>
      <c r="G1364" s="4">
        <f t="shared" si="515"/>
        <v>2.0400000000000001E-2</v>
      </c>
      <c r="H1364" s="4">
        <f t="shared" si="516"/>
        <v>1.2284999999999999E-2</v>
      </c>
      <c r="I1364" s="3">
        <f t="shared" si="517"/>
        <v>48.945136808487867</v>
      </c>
      <c r="J1364" s="4">
        <f t="shared" si="504"/>
        <v>1771775.6688606793</v>
      </c>
      <c r="K1364" s="1">
        <f t="shared" si="505"/>
        <v>2394.02</v>
      </c>
      <c r="L1364" s="5">
        <f t="shared" si="506"/>
        <v>0.23835616438356169</v>
      </c>
      <c r="M1364" s="5">
        <f t="shared" si="507"/>
        <v>-0.42873042194957822</v>
      </c>
      <c r="N1364" s="5">
        <f t="shared" si="508"/>
        <v>37.21223382295311</v>
      </c>
      <c r="O1364" s="1">
        <f t="shared" si="509"/>
        <v>0</v>
      </c>
      <c r="P1364" s="1">
        <f t="shared" si="510"/>
        <v>2394.02</v>
      </c>
      <c r="Q1364" s="5">
        <f t="shared" si="511"/>
        <v>0.23835616438356169</v>
      </c>
      <c r="R1364" s="5">
        <f t="shared" si="512"/>
        <v>-0.42873042194957822</v>
      </c>
      <c r="S1364" s="5">
        <f t="shared" si="518"/>
        <v>37.21223382295311</v>
      </c>
      <c r="T1364" s="5">
        <f t="shared" si="519"/>
        <v>-724.44720898111916</v>
      </c>
      <c r="U1364" s="4">
        <f t="shared" si="520"/>
        <v>1771804.2599803768</v>
      </c>
      <c r="V1364" s="4">
        <f t="shared" si="513"/>
        <v>28.591581072012104</v>
      </c>
      <c r="W1364" s="4">
        <f t="shared" si="521"/>
        <v>1744845.9610473856</v>
      </c>
      <c r="X1364" s="4">
        <f t="shared" si="525"/>
        <v>526.729779364774</v>
      </c>
      <c r="Y1364" s="9">
        <f>SUM($X$6:X1364)</f>
        <v>744845.96104738559</v>
      </c>
      <c r="Z1364" s="16">
        <f t="shared" si="526"/>
        <v>0.74484596104738554</v>
      </c>
      <c r="AA1364" s="16">
        <f t="shared" si="522"/>
        <v>0.89170438350586523</v>
      </c>
      <c r="AB1364" s="16">
        <f t="shared" si="523"/>
        <v>3.0196868206393127E-4</v>
      </c>
      <c r="AC1364" s="16">
        <f t="shared" si="524"/>
        <v>3.105500047617667E-4</v>
      </c>
    </row>
    <row r="1365" spans="1:29" x14ac:dyDescent="0.15">
      <c r="A1365" s="8">
        <v>42885</v>
      </c>
      <c r="B1365" s="4">
        <v>2412.91</v>
      </c>
      <c r="C1365" s="1">
        <v>10.0124</v>
      </c>
      <c r="D1365" s="1">
        <v>2.0299999999999998</v>
      </c>
      <c r="E1365" s="1">
        <v>1.2284999999999999</v>
      </c>
      <c r="F1365" s="4">
        <f t="shared" si="514"/>
        <v>0.10012399999999999</v>
      </c>
      <c r="G1365" s="4">
        <f t="shared" si="515"/>
        <v>2.0299999999999999E-2</v>
      </c>
      <c r="H1365" s="4">
        <f t="shared" si="516"/>
        <v>1.2284999999999999E-2</v>
      </c>
      <c r="I1365" s="3">
        <f t="shared" si="517"/>
        <v>50.363472586057988</v>
      </c>
      <c r="J1365" s="4">
        <f t="shared" si="504"/>
        <v>1771804.2599803768</v>
      </c>
      <c r="K1365" s="1">
        <f t="shared" si="505"/>
        <v>2394.02</v>
      </c>
      <c r="L1365" s="5">
        <f t="shared" si="506"/>
        <v>0.22739726027397264</v>
      </c>
      <c r="M1365" s="5">
        <f t="shared" si="507"/>
        <v>-0.43823118889979795</v>
      </c>
      <c r="N1365" s="5">
        <f t="shared" si="508"/>
        <v>38.742624915836672</v>
      </c>
      <c r="O1365" s="1">
        <f t="shared" si="509"/>
        <v>0</v>
      </c>
      <c r="P1365" s="1">
        <f t="shared" si="510"/>
        <v>2394.02</v>
      </c>
      <c r="Q1365" s="5">
        <f t="shared" si="511"/>
        <v>0.22739726027397264</v>
      </c>
      <c r="R1365" s="5">
        <f t="shared" si="512"/>
        <v>-0.43823118889979795</v>
      </c>
      <c r="S1365" s="5">
        <f t="shared" si="518"/>
        <v>38.742624915836672</v>
      </c>
      <c r="T1365" s="5">
        <f t="shared" si="519"/>
        <v>-724.44720898111916</v>
      </c>
      <c r="U1365" s="4">
        <f t="shared" si="520"/>
        <v>1771832.8515614488</v>
      </c>
      <c r="V1365" s="4">
        <f t="shared" si="513"/>
        <v>114.3681698158568</v>
      </c>
      <c r="W1365" s="4">
        <f t="shared" si="521"/>
        <v>1743765.8650725684</v>
      </c>
      <c r="X1365" s="4">
        <f t="shared" si="525"/>
        <v>-1080.0959748171736</v>
      </c>
      <c r="Y1365" s="9">
        <f>SUM($X$6:X1365)</f>
        <v>743765.86507256841</v>
      </c>
      <c r="Z1365" s="16">
        <f t="shared" si="526"/>
        <v>0.74376586507256837</v>
      </c>
      <c r="AA1365" s="16">
        <f t="shared" si="522"/>
        <v>0.88942571218266953</v>
      </c>
      <c r="AB1365" s="16">
        <f t="shared" si="523"/>
        <v>-6.1902081841586748E-4</v>
      </c>
      <c r="AC1365" s="16">
        <f t="shared" si="524"/>
        <v>-1.204559942379941E-3</v>
      </c>
    </row>
    <row r="1366" spans="1:29" x14ac:dyDescent="0.15">
      <c r="A1366" s="8">
        <v>42886</v>
      </c>
      <c r="B1366" s="4">
        <v>2411.8000000000002</v>
      </c>
      <c r="C1366" s="1">
        <v>9.9091000000000005</v>
      </c>
      <c r="D1366" s="1">
        <v>2.0299999999999998</v>
      </c>
      <c r="E1366" s="1">
        <v>1.236</v>
      </c>
      <c r="F1366" s="4">
        <f t="shared" si="514"/>
        <v>9.9090999999999999E-2</v>
      </c>
      <c r="G1366" s="4">
        <f t="shared" si="515"/>
        <v>2.0299999999999999E-2</v>
      </c>
      <c r="H1366" s="4">
        <f t="shared" si="516"/>
        <v>1.2359999999999999E-2</v>
      </c>
      <c r="I1366" s="3">
        <f t="shared" si="517"/>
        <v>49.822944899476838</v>
      </c>
      <c r="J1366" s="4">
        <f t="shared" si="504"/>
        <v>1771832.8515614488</v>
      </c>
      <c r="K1366" s="1">
        <f t="shared" si="505"/>
        <v>2394.02</v>
      </c>
      <c r="L1366" s="5">
        <f t="shared" si="506"/>
        <v>0.22465753424657539</v>
      </c>
      <c r="M1366" s="5">
        <f t="shared" si="507"/>
        <v>-0.44110976333987145</v>
      </c>
      <c r="N1366" s="5">
        <f t="shared" si="508"/>
        <v>38.452694910120869</v>
      </c>
      <c r="O1366" s="1">
        <f t="shared" si="509"/>
        <v>0</v>
      </c>
      <c r="P1366" s="1">
        <f t="shared" si="510"/>
        <v>2394.02</v>
      </c>
      <c r="Q1366" s="5">
        <f t="shared" si="511"/>
        <v>0.22465753424657539</v>
      </c>
      <c r="R1366" s="5">
        <f t="shared" si="512"/>
        <v>-0.44110976333987145</v>
      </c>
      <c r="S1366" s="5">
        <f t="shared" si="518"/>
        <v>38.452694910120869</v>
      </c>
      <c r="T1366" s="5">
        <f t="shared" si="519"/>
        <v>-724.44720898111916</v>
      </c>
      <c r="U1366" s="4">
        <f t="shared" si="520"/>
        <v>1771947.2197312645</v>
      </c>
      <c r="V1366" s="4">
        <f t="shared" si="513"/>
        <v>28.59388801155383</v>
      </c>
      <c r="W1366" s="4">
        <f t="shared" si="521"/>
        <v>1744090.2722258249</v>
      </c>
      <c r="X1366" s="4">
        <f t="shared" si="525"/>
        <v>324.40715325647034</v>
      </c>
      <c r="Y1366" s="9">
        <f>SUM($X$6:X1366)</f>
        <v>744090.27222582488</v>
      </c>
      <c r="Z1366" s="16">
        <f t="shared" si="526"/>
        <v>0.74409027222582491</v>
      </c>
      <c r="AA1366" s="16">
        <f t="shared" si="522"/>
        <v>0.88855652827588394</v>
      </c>
      <c r="AB1366" s="16">
        <f t="shared" si="523"/>
        <v>1.8603825189740701E-4</v>
      </c>
      <c r="AC1366" s="16">
        <f t="shared" si="524"/>
        <v>-4.6002544645248791E-4</v>
      </c>
    </row>
    <row r="1367" spans="1:29" x14ac:dyDescent="0.15">
      <c r="A1367" s="8">
        <v>42887</v>
      </c>
      <c r="B1367" s="4">
        <v>2430.06</v>
      </c>
      <c r="C1367" s="1">
        <v>9.6349999999999998</v>
      </c>
      <c r="D1367" s="1">
        <v>2.02</v>
      </c>
      <c r="E1367" s="1">
        <v>1.2451000000000001</v>
      </c>
      <c r="F1367" s="4">
        <f t="shared" si="514"/>
        <v>9.6349999999999991E-2</v>
      </c>
      <c r="G1367" s="4">
        <f t="shared" si="515"/>
        <v>2.0199999999999999E-2</v>
      </c>
      <c r="H1367" s="4">
        <f t="shared" si="516"/>
        <v>1.2451E-2</v>
      </c>
      <c r="I1367" s="3">
        <f t="shared" si="517"/>
        <v>48.820777918580696</v>
      </c>
      <c r="J1367" s="4">
        <f t="shared" si="504"/>
        <v>1771947.2197312645</v>
      </c>
      <c r="K1367" s="1">
        <f t="shared" si="505"/>
        <v>2394.02</v>
      </c>
      <c r="L1367" s="5">
        <f t="shared" si="506"/>
        <v>0.22191780821917814</v>
      </c>
      <c r="M1367" s="5">
        <f t="shared" si="507"/>
        <v>-0.37507238326453635</v>
      </c>
      <c r="N1367" s="5">
        <f t="shared" si="508"/>
        <v>29.458667761124758</v>
      </c>
      <c r="O1367" s="1">
        <f t="shared" si="509"/>
        <v>0</v>
      </c>
      <c r="P1367" s="1">
        <f t="shared" si="510"/>
        <v>2394.02</v>
      </c>
      <c r="Q1367" s="5">
        <f t="shared" si="511"/>
        <v>0.22191780821917814</v>
      </c>
      <c r="R1367" s="5">
        <f t="shared" si="512"/>
        <v>-0.37507238326453635</v>
      </c>
      <c r="S1367" s="5">
        <f t="shared" si="518"/>
        <v>29.458667761124758</v>
      </c>
      <c r="T1367" s="5">
        <f t="shared" si="519"/>
        <v>-724.44720898111916</v>
      </c>
      <c r="U1367" s="4">
        <f t="shared" si="520"/>
        <v>1771975.813619276</v>
      </c>
      <c r="V1367" s="4">
        <f t="shared" si="513"/>
        <v>28.594349430732972</v>
      </c>
      <c r="W1367" s="4">
        <f t="shared" si="521"/>
        <v>1750634.5639794271</v>
      </c>
      <c r="X1367" s="4">
        <f t="shared" si="525"/>
        <v>6544.2917536022142</v>
      </c>
      <c r="Y1367" s="9">
        <f>SUM($X$6:X1367)</f>
        <v>750634.5639794271</v>
      </c>
      <c r="Z1367" s="16">
        <f t="shared" si="526"/>
        <v>0.75063456397942707</v>
      </c>
      <c r="AA1367" s="16">
        <f t="shared" si="522"/>
        <v>0.90285499506679412</v>
      </c>
      <c r="AB1367" s="16">
        <f t="shared" si="523"/>
        <v>3.7522666445758716E-3</v>
      </c>
      <c r="AC1367" s="16">
        <f t="shared" si="524"/>
        <v>7.5711087154821137E-3</v>
      </c>
    </row>
    <row r="1368" spans="1:29" x14ac:dyDescent="0.15">
      <c r="A1368" s="8">
        <v>42888</v>
      </c>
      <c r="B1368" s="4">
        <v>2439.0700000000002</v>
      </c>
      <c r="C1368" s="1">
        <v>9.5878999999999994</v>
      </c>
      <c r="D1368" s="1">
        <v>2.0099999999999998</v>
      </c>
      <c r="E1368" s="1">
        <v>1.2497</v>
      </c>
      <c r="F1368" s="4">
        <f t="shared" si="514"/>
        <v>9.5878999999999992E-2</v>
      </c>
      <c r="G1368" s="4">
        <f t="shared" si="515"/>
        <v>2.0099999999999996E-2</v>
      </c>
      <c r="H1368" s="4">
        <f t="shared" si="516"/>
        <v>1.2497000000000001E-2</v>
      </c>
      <c r="I1368" s="3">
        <f t="shared" si="517"/>
        <v>48.72884010485874</v>
      </c>
      <c r="J1368" s="4">
        <f t="shared" si="504"/>
        <v>1771975.813619276</v>
      </c>
      <c r="K1368" s="1">
        <f t="shared" si="505"/>
        <v>2394.02</v>
      </c>
      <c r="L1368" s="5">
        <f t="shared" si="506"/>
        <v>0.21917808219178089</v>
      </c>
      <c r="M1368" s="5">
        <f t="shared" si="507"/>
        <v>-0.34282660057193304</v>
      </c>
      <c r="N1368" s="5">
        <f t="shared" si="508"/>
        <v>25.724101301020045</v>
      </c>
      <c r="O1368" s="1">
        <f t="shared" si="509"/>
        <v>0</v>
      </c>
      <c r="P1368" s="1">
        <f t="shared" si="510"/>
        <v>2394.02</v>
      </c>
      <c r="Q1368" s="5">
        <f t="shared" si="511"/>
        <v>0.21917808219178089</v>
      </c>
      <c r="R1368" s="5">
        <f t="shared" si="512"/>
        <v>-0.34282660057193304</v>
      </c>
      <c r="S1368" s="5">
        <f t="shared" si="518"/>
        <v>25.724101301020045</v>
      </c>
      <c r="T1368" s="5">
        <f t="shared" si="519"/>
        <v>-724.44720898111916</v>
      </c>
      <c r="U1368" s="4">
        <f t="shared" si="520"/>
        <v>1772004.4079687067</v>
      </c>
      <c r="V1368" s="4">
        <f t="shared" si="513"/>
        <v>28.594810857358027</v>
      </c>
      <c r="W1368" s="4">
        <f t="shared" si="521"/>
        <v>1753368.6545776352</v>
      </c>
      <c r="X1368" s="4">
        <f t="shared" si="525"/>
        <v>2734.0905982081313</v>
      </c>
      <c r="Y1368" s="9">
        <f>SUM($X$6:X1368)</f>
        <v>753368.65457763523</v>
      </c>
      <c r="Z1368" s="16">
        <f t="shared" si="526"/>
        <v>0.75336865457763524</v>
      </c>
      <c r="AA1368" s="16">
        <f t="shared" si="522"/>
        <v>0.90991026263448882</v>
      </c>
      <c r="AB1368" s="16">
        <f t="shared" si="523"/>
        <v>1.5617711739868638E-3</v>
      </c>
      <c r="AC1368" s="16">
        <f t="shared" si="524"/>
        <v>3.7077273812170146E-3</v>
      </c>
    </row>
    <row r="1369" spans="1:29" x14ac:dyDescent="0.15">
      <c r="A1369" s="8">
        <v>42891</v>
      </c>
      <c r="B1369" s="4">
        <v>2436.1</v>
      </c>
      <c r="C1369" s="1">
        <v>9.8582999999999998</v>
      </c>
      <c r="D1369" s="1">
        <v>2.0099999999999998</v>
      </c>
      <c r="E1369" s="1">
        <v>1.2466999999999999</v>
      </c>
      <c r="F1369" s="4">
        <f t="shared" si="514"/>
        <v>9.8583000000000004E-2</v>
      </c>
      <c r="G1369" s="4">
        <f t="shared" si="515"/>
        <v>2.0099999999999996E-2</v>
      </c>
      <c r="H1369" s="4">
        <f t="shared" si="516"/>
        <v>1.2466999999999999E-2</v>
      </c>
      <c r="I1369" s="3">
        <f t="shared" si="517"/>
        <v>49.984500085145513</v>
      </c>
      <c r="J1369" s="4">
        <f t="shared" si="504"/>
        <v>1772004.4079687067</v>
      </c>
      <c r="K1369" s="1">
        <f t="shared" si="505"/>
        <v>2394.02</v>
      </c>
      <c r="L1369" s="5">
        <f t="shared" si="506"/>
        <v>0.21095890410958912</v>
      </c>
      <c r="M1369" s="5">
        <f t="shared" si="507"/>
        <v>-0.35348257481433015</v>
      </c>
      <c r="N1369" s="5">
        <f t="shared" si="508"/>
        <v>27.065866298097028</v>
      </c>
      <c r="O1369" s="1">
        <f t="shared" si="509"/>
        <v>0</v>
      </c>
      <c r="P1369" s="1">
        <f t="shared" si="510"/>
        <v>2394.02</v>
      </c>
      <c r="Q1369" s="5">
        <f t="shared" si="511"/>
        <v>0.21095890410958912</v>
      </c>
      <c r="R1369" s="5">
        <f t="shared" si="512"/>
        <v>-0.35348257481433015</v>
      </c>
      <c r="S1369" s="5">
        <f t="shared" si="518"/>
        <v>27.065866298097028</v>
      </c>
      <c r="T1369" s="5">
        <f t="shared" si="519"/>
        <v>-724.44720898111916</v>
      </c>
      <c r="U1369" s="4">
        <f t="shared" si="520"/>
        <v>1772033.0027795641</v>
      </c>
      <c r="V1369" s="4">
        <f t="shared" si="513"/>
        <v>85.785816874287377</v>
      </c>
      <c r="W1369" s="4">
        <f t="shared" si="521"/>
        <v>1752425.2114812515</v>
      </c>
      <c r="X1369" s="4">
        <f t="shared" si="525"/>
        <v>-943.4430963837076</v>
      </c>
      <c r="Y1369" s="9">
        <f>SUM($X$6:X1369)</f>
        <v>752425.21148125152</v>
      </c>
      <c r="Z1369" s="16">
        <f t="shared" si="526"/>
        <v>0.75242521148125152</v>
      </c>
      <c r="AA1369" s="16">
        <f t="shared" si="522"/>
        <v>0.90758460839741284</v>
      </c>
      <c r="AB1369" s="16">
        <f t="shared" si="523"/>
        <v>-5.380745765704197E-4</v>
      </c>
      <c r="AC1369" s="16">
        <f t="shared" si="524"/>
        <v>-1.217677229435914E-3</v>
      </c>
    </row>
    <row r="1370" spans="1:29" x14ac:dyDescent="0.15">
      <c r="A1370" s="8">
        <v>42892</v>
      </c>
      <c r="B1370" s="4">
        <v>2429.33</v>
      </c>
      <c r="C1370" s="1">
        <v>10.1456</v>
      </c>
      <c r="D1370" s="1">
        <v>2.02</v>
      </c>
      <c r="E1370" s="1">
        <v>1.2461</v>
      </c>
      <c r="F1370" s="4">
        <f t="shared" si="514"/>
        <v>0.101456</v>
      </c>
      <c r="G1370" s="4">
        <f t="shared" si="515"/>
        <v>2.0199999999999999E-2</v>
      </c>
      <c r="H1370" s="4">
        <f t="shared" si="516"/>
        <v>1.2461E-2</v>
      </c>
      <c r="I1370" s="3">
        <f t="shared" si="517"/>
        <v>51.261150475618784</v>
      </c>
      <c r="J1370" s="4">
        <f t="shared" si="504"/>
        <v>1772033.0027795641</v>
      </c>
      <c r="K1370" s="1">
        <f t="shared" si="505"/>
        <v>2394.02</v>
      </c>
      <c r="L1370" s="5">
        <f t="shared" si="506"/>
        <v>0.20821917808219187</v>
      </c>
      <c r="M1370" s="5">
        <f t="shared" si="507"/>
        <v>-0.37873762904016711</v>
      </c>
      <c r="N1370" s="5">
        <f t="shared" si="508"/>
        <v>30.473960965629068</v>
      </c>
      <c r="O1370" s="1">
        <f t="shared" si="509"/>
        <v>0</v>
      </c>
      <c r="P1370" s="1">
        <f t="shared" si="510"/>
        <v>2394.02</v>
      </c>
      <c r="Q1370" s="5">
        <f t="shared" si="511"/>
        <v>0.20821917808219187</v>
      </c>
      <c r="R1370" s="5">
        <f t="shared" si="512"/>
        <v>-0.37873762904016711</v>
      </c>
      <c r="S1370" s="5">
        <f t="shared" si="518"/>
        <v>30.473960965629068</v>
      </c>
      <c r="T1370" s="5">
        <f t="shared" si="519"/>
        <v>-724.44720898111916</v>
      </c>
      <c r="U1370" s="4">
        <f t="shared" si="520"/>
        <v>1772118.7885964385</v>
      </c>
      <c r="V1370" s="4">
        <f t="shared" si="513"/>
        <v>28.596656615980883</v>
      </c>
      <c r="W1370" s="4">
        <f t="shared" si="521"/>
        <v>1750042.0126282889</v>
      </c>
      <c r="X1370" s="4">
        <f t="shared" si="525"/>
        <v>-2383.1988529625814</v>
      </c>
      <c r="Y1370" s="9">
        <f>SUM($X$6:X1370)</f>
        <v>750042.01262828894</v>
      </c>
      <c r="Z1370" s="16">
        <f t="shared" si="526"/>
        <v>0.75004201262828896</v>
      </c>
      <c r="AA1370" s="16">
        <f t="shared" si="522"/>
        <v>0.90228336961458355</v>
      </c>
      <c r="AB1370" s="16">
        <f t="shared" si="523"/>
        <v>-1.3599432588328054E-3</v>
      </c>
      <c r="AC1370" s="16">
        <f t="shared" si="524"/>
        <v>-2.7790320594392602E-3</v>
      </c>
    </row>
    <row r="1371" spans="1:29" x14ac:dyDescent="0.15">
      <c r="A1371" s="8">
        <v>42893</v>
      </c>
      <c r="B1371" s="4">
        <v>2433.14</v>
      </c>
      <c r="C1371" s="1">
        <v>10.161799999999999</v>
      </c>
      <c r="D1371" s="1">
        <v>2.02</v>
      </c>
      <c r="E1371" s="1">
        <v>1.2475000000000001</v>
      </c>
      <c r="F1371" s="4">
        <f t="shared" si="514"/>
        <v>0.101618</v>
      </c>
      <c r="G1371" s="4">
        <f t="shared" si="515"/>
        <v>2.0199999999999999E-2</v>
      </c>
      <c r="H1371" s="4">
        <f t="shared" si="516"/>
        <v>1.2475E-2</v>
      </c>
      <c r="I1371" s="3">
        <f t="shared" si="517"/>
        <v>51.415214802679884</v>
      </c>
      <c r="J1371" s="4">
        <f t="shared" si="504"/>
        <v>1772118.7885964385</v>
      </c>
      <c r="K1371" s="1">
        <f t="shared" si="505"/>
        <v>2394.02</v>
      </c>
      <c r="L1371" s="5">
        <f t="shared" si="506"/>
        <v>0.20547945205479462</v>
      </c>
      <c r="M1371" s="5">
        <f t="shared" si="507"/>
        <v>-0.36523982067060534</v>
      </c>
      <c r="N1371" s="5">
        <f t="shared" si="508"/>
        <v>28.822991069742905</v>
      </c>
      <c r="O1371" s="1">
        <f t="shared" si="509"/>
        <v>0</v>
      </c>
      <c r="P1371" s="1">
        <f t="shared" si="510"/>
        <v>2394.02</v>
      </c>
      <c r="Q1371" s="5">
        <f t="shared" si="511"/>
        <v>0.20547945205479462</v>
      </c>
      <c r="R1371" s="5">
        <f t="shared" si="512"/>
        <v>-0.36523982067060534</v>
      </c>
      <c r="S1371" s="5">
        <f t="shared" si="518"/>
        <v>28.822991069742905</v>
      </c>
      <c r="T1371" s="5">
        <f t="shared" si="519"/>
        <v>-724.44720898111916</v>
      </c>
      <c r="U1371" s="4">
        <f t="shared" si="520"/>
        <v>1772147.3852530546</v>
      </c>
      <c r="V1371" s="4">
        <f t="shared" si="513"/>
        <v>28.59711807983696</v>
      </c>
      <c r="W1371" s="4">
        <f t="shared" si="521"/>
        <v>1751266.6498180917</v>
      </c>
      <c r="X1371" s="4">
        <f t="shared" si="525"/>
        <v>1224.6371898027137</v>
      </c>
      <c r="Y1371" s="9">
        <f>SUM($X$6:X1371)</f>
        <v>751266.64981809165</v>
      </c>
      <c r="Z1371" s="16">
        <f t="shared" si="526"/>
        <v>0.75126664981809166</v>
      </c>
      <c r="AA1371" s="16">
        <f t="shared" si="522"/>
        <v>0.90526678464598376</v>
      </c>
      <c r="AB1371" s="16">
        <f t="shared" si="523"/>
        <v>6.9977588021644143E-4</v>
      </c>
      <c r="AC1371" s="16">
        <f t="shared" si="524"/>
        <v>1.5683336557816129E-3</v>
      </c>
    </row>
    <row r="1372" spans="1:29" x14ac:dyDescent="0.15">
      <c r="A1372" s="8">
        <v>42894</v>
      </c>
      <c r="B1372" s="4">
        <v>2433.79</v>
      </c>
      <c r="C1372" s="1">
        <v>9.9781999999999993</v>
      </c>
      <c r="D1372" s="1">
        <v>2.02</v>
      </c>
      <c r="E1372" s="1">
        <v>1.2554000000000001</v>
      </c>
      <c r="F1372" s="4">
        <f t="shared" si="514"/>
        <v>9.9781999999999996E-2</v>
      </c>
      <c r="G1372" s="4">
        <f t="shared" si="515"/>
        <v>2.0199999999999999E-2</v>
      </c>
      <c r="H1372" s="4">
        <f t="shared" si="516"/>
        <v>1.2554000000000001E-2</v>
      </c>
      <c r="I1372" s="3">
        <f t="shared" si="517"/>
        <v>50.518295194389566</v>
      </c>
      <c r="J1372" s="4">
        <f t="shared" ref="J1372:J1435" si="527">U1371</f>
        <v>1772147.3852530546</v>
      </c>
      <c r="K1372" s="1">
        <f t="shared" ref="K1372:K1435" si="528">P1371</f>
        <v>2394.02</v>
      </c>
      <c r="L1372" s="5">
        <f t="shared" ref="L1372:L1435" si="529">Q1371-(A1372-A1371)/365</f>
        <v>0.20273972602739737</v>
      </c>
      <c r="M1372" s="5">
        <f t="shared" ref="M1372:M1435" si="530">BSM_Put(B1372,K1372,F1372,H1372,G1372,L1372,$G$3)</f>
        <v>-0.35994042001909993</v>
      </c>
      <c r="N1372" s="5">
        <f t="shared" ref="N1372:N1435" si="531">BSM_Put(B1372,K1372,F1372,H1372,G1372,L1372,$F$3)</f>
        <v>27.52213637432834</v>
      </c>
      <c r="O1372" s="1">
        <f t="shared" ref="O1372:O1435" si="532">IF(OR(M1372&gt;-0.05,L1372&lt;=0.00001),1,0)</f>
        <v>0</v>
      </c>
      <c r="P1372" s="1">
        <f t="shared" ref="P1372:P1435" si="533">IF(O1372,B1372,K1372)</f>
        <v>2394.02</v>
      </c>
      <c r="Q1372" s="5">
        <f t="shared" ref="Q1372:Q1435" si="534">IF(O1372,$B$3,L1372)</f>
        <v>0.20273972602739737</v>
      </c>
      <c r="R1372" s="5">
        <f t="shared" ref="R1372:R1435" si="535">IF(O1372,BSM_Put(B1372,P1372,F1372,H1372,G1372,Q1372,$G$3),M1372)</f>
        <v>-0.35994042001909993</v>
      </c>
      <c r="S1372" s="5">
        <f t="shared" si="518"/>
        <v>27.52213637432834</v>
      </c>
      <c r="T1372" s="5">
        <f t="shared" si="519"/>
        <v>-724.44720898111916</v>
      </c>
      <c r="U1372" s="4">
        <f t="shared" si="520"/>
        <v>1772175.9823711345</v>
      </c>
      <c r="V1372" s="4">
        <f t="shared" ref="V1372:V1435" si="536">U1372*$H$6*(A1372-A1371)/365</f>
        <v>28.597579551139674</v>
      </c>
      <c r="W1372" s="4">
        <f t="shared" si="521"/>
        <v>1752237.6474895545</v>
      </c>
      <c r="X1372" s="4">
        <f t="shared" si="525"/>
        <v>970.99767146282829</v>
      </c>
      <c r="Y1372" s="9">
        <f>SUM($X$6:X1372)</f>
        <v>752237.64748955448</v>
      </c>
      <c r="Z1372" s="16">
        <f t="shared" si="526"/>
        <v>0.75223764748955446</v>
      </c>
      <c r="AA1372" s="16">
        <f t="shared" si="522"/>
        <v>0.90577576621302058</v>
      </c>
      <c r="AB1372" s="16">
        <f t="shared" si="523"/>
        <v>5.5445449815634193E-4</v>
      </c>
      <c r="AC1372" s="16">
        <f t="shared" si="524"/>
        <v>2.6714451285174342E-4</v>
      </c>
    </row>
    <row r="1373" spans="1:29" x14ac:dyDescent="0.15">
      <c r="A1373" s="8">
        <v>42895</v>
      </c>
      <c r="B1373" s="4">
        <v>2431.77</v>
      </c>
      <c r="C1373" s="1">
        <v>9.9420000000000002</v>
      </c>
      <c r="D1373" s="1">
        <v>2.02</v>
      </c>
      <c r="E1373" s="1">
        <v>1.2639</v>
      </c>
      <c r="F1373" s="4">
        <f t="shared" si="514"/>
        <v>9.9420000000000008E-2</v>
      </c>
      <c r="G1373" s="4">
        <f t="shared" si="515"/>
        <v>2.0199999999999999E-2</v>
      </c>
      <c r="H1373" s="4">
        <f t="shared" si="516"/>
        <v>1.2639000000000001E-2</v>
      </c>
      <c r="I1373" s="3">
        <f t="shared" si="517"/>
        <v>50.274932346355058</v>
      </c>
      <c r="J1373" s="4">
        <f t="shared" si="527"/>
        <v>1772175.9823711345</v>
      </c>
      <c r="K1373" s="1">
        <f t="shared" si="528"/>
        <v>2394.02</v>
      </c>
      <c r="L1373" s="5">
        <f t="shared" si="529"/>
        <v>0.20000000000000012</v>
      </c>
      <c r="M1373" s="5">
        <f t="shared" si="530"/>
        <v>-0.36541016810896099</v>
      </c>
      <c r="N1373" s="5">
        <f t="shared" si="531"/>
        <v>27.797213563647777</v>
      </c>
      <c r="O1373" s="1">
        <f t="shared" si="532"/>
        <v>0</v>
      </c>
      <c r="P1373" s="1">
        <f t="shared" si="533"/>
        <v>2394.02</v>
      </c>
      <c r="Q1373" s="5">
        <f t="shared" si="534"/>
        <v>0.20000000000000012</v>
      </c>
      <c r="R1373" s="5">
        <f t="shared" si="535"/>
        <v>-0.36541016810896099</v>
      </c>
      <c r="S1373" s="5">
        <f t="shared" si="518"/>
        <v>27.797213563647777</v>
      </c>
      <c r="T1373" s="5">
        <f t="shared" si="519"/>
        <v>-724.44720898111916</v>
      </c>
      <c r="U1373" s="4">
        <f t="shared" si="520"/>
        <v>1772204.5799506856</v>
      </c>
      <c r="V1373" s="4">
        <f t="shared" si="536"/>
        <v>28.598041029889142</v>
      </c>
      <c r="W1373" s="4">
        <f t="shared" si="521"/>
        <v>1752066.9661670488</v>
      </c>
      <c r="X1373" s="4">
        <f t="shared" si="525"/>
        <v>-170.68132250569761</v>
      </c>
      <c r="Y1373" s="9">
        <f>SUM($X$6:X1373)</f>
        <v>752066.96616704878</v>
      </c>
      <c r="Z1373" s="16">
        <f t="shared" si="526"/>
        <v>0.75206696616704882</v>
      </c>
      <c r="AA1373" s="16">
        <f t="shared" si="522"/>
        <v>0.90419400811238315</v>
      </c>
      <c r="AB1373" s="16">
        <f t="shared" si="523"/>
        <v>-9.7407633462409722E-5</v>
      </c>
      <c r="AC1373" s="16">
        <f t="shared" si="524"/>
        <v>-8.2998122270203339E-4</v>
      </c>
    </row>
    <row r="1374" spans="1:29" x14ac:dyDescent="0.15">
      <c r="A1374" s="8">
        <v>42898</v>
      </c>
      <c r="B1374" s="4">
        <v>2429.39</v>
      </c>
      <c r="C1374" s="1">
        <v>10.1891</v>
      </c>
      <c r="D1374" s="1">
        <v>2.02</v>
      </c>
      <c r="E1374" s="1">
        <v>1.2692999999999999</v>
      </c>
      <c r="F1374" s="4">
        <f t="shared" si="514"/>
        <v>0.101891</v>
      </c>
      <c r="G1374" s="4">
        <f t="shared" si="515"/>
        <v>2.0199999999999999E-2</v>
      </c>
      <c r="H1374" s="4">
        <f t="shared" si="516"/>
        <v>1.2692999999999999E-2</v>
      </c>
      <c r="I1374" s="3">
        <f t="shared" si="517"/>
        <v>51.398305261496859</v>
      </c>
      <c r="J1374" s="4">
        <f t="shared" si="527"/>
        <v>1772204.5799506856</v>
      </c>
      <c r="K1374" s="1">
        <f t="shared" si="528"/>
        <v>2394.02</v>
      </c>
      <c r="L1374" s="5">
        <f t="shared" si="529"/>
        <v>0.19178082191780835</v>
      </c>
      <c r="M1374" s="5">
        <f t="shared" si="530"/>
        <v>-0.37351560204907047</v>
      </c>
      <c r="N1374" s="5">
        <f t="shared" si="531"/>
        <v>28.759465232773618</v>
      </c>
      <c r="O1374" s="1">
        <f t="shared" si="532"/>
        <v>0</v>
      </c>
      <c r="P1374" s="1">
        <f t="shared" si="533"/>
        <v>2394.02</v>
      </c>
      <c r="Q1374" s="5">
        <f t="shared" si="534"/>
        <v>0.19178082191780835</v>
      </c>
      <c r="R1374" s="5">
        <f t="shared" si="535"/>
        <v>-0.37351560204907047</v>
      </c>
      <c r="S1374" s="5">
        <f t="shared" si="518"/>
        <v>28.759465232773618</v>
      </c>
      <c r="T1374" s="5">
        <f t="shared" si="519"/>
        <v>-724.44720898111916</v>
      </c>
      <c r="U1374" s="4">
        <f t="shared" si="520"/>
        <v>1772233.1779917155</v>
      </c>
      <c r="V1374" s="4">
        <f t="shared" si="536"/>
        <v>85.795507548256481</v>
      </c>
      <c r="W1374" s="4">
        <f t="shared" si="521"/>
        <v>1751398.4636720431</v>
      </c>
      <c r="X1374" s="4">
        <f t="shared" si="525"/>
        <v>-668.50249500572681</v>
      </c>
      <c r="Y1374" s="9">
        <f>SUM($X$6:X1374)</f>
        <v>751398.46367204306</v>
      </c>
      <c r="Z1374" s="16">
        <f t="shared" si="526"/>
        <v>0.7513984636720431</v>
      </c>
      <c r="AA1374" s="16">
        <f t="shared" si="522"/>
        <v>0.90233035252846383</v>
      </c>
      <c r="AB1374" s="16">
        <f t="shared" si="523"/>
        <v>-3.8155076713088901E-4</v>
      </c>
      <c r="AC1374" s="16">
        <f t="shared" si="524"/>
        <v>-9.7871098006806125E-4</v>
      </c>
    </row>
    <row r="1375" spans="1:29" x14ac:dyDescent="0.15">
      <c r="A1375" s="8">
        <v>42899</v>
      </c>
      <c r="B1375" s="4">
        <v>2440.35</v>
      </c>
      <c r="C1375" s="1">
        <v>9.7941000000000003</v>
      </c>
      <c r="D1375" s="1">
        <v>2.0099999999999998</v>
      </c>
      <c r="E1375" s="1">
        <v>1.2732000000000001</v>
      </c>
      <c r="F1375" s="4">
        <f t="shared" si="514"/>
        <v>9.7941E-2</v>
      </c>
      <c r="G1375" s="4">
        <f t="shared" si="515"/>
        <v>2.0099999999999996E-2</v>
      </c>
      <c r="H1375" s="4">
        <f t="shared" si="516"/>
        <v>1.2732E-2</v>
      </c>
      <c r="I1375" s="3">
        <f t="shared" si="517"/>
        <v>49.676830880029542</v>
      </c>
      <c r="J1375" s="4">
        <f t="shared" si="527"/>
        <v>1772233.1779917155</v>
      </c>
      <c r="K1375" s="1">
        <f t="shared" si="528"/>
        <v>2394.02</v>
      </c>
      <c r="L1375" s="5">
        <f t="shared" si="529"/>
        <v>0.1890410958904111</v>
      </c>
      <c r="M1375" s="5">
        <f t="shared" si="530"/>
        <v>-0.32918710500221615</v>
      </c>
      <c r="N1375" s="5">
        <f t="shared" si="531"/>
        <v>23.032829543605473</v>
      </c>
      <c r="O1375" s="1">
        <f t="shared" si="532"/>
        <v>0</v>
      </c>
      <c r="P1375" s="1">
        <f t="shared" si="533"/>
        <v>2394.02</v>
      </c>
      <c r="Q1375" s="5">
        <f t="shared" si="534"/>
        <v>0.1890410958904111</v>
      </c>
      <c r="R1375" s="5">
        <f t="shared" si="535"/>
        <v>-0.32918710500221615</v>
      </c>
      <c r="S1375" s="5">
        <f t="shared" si="518"/>
        <v>23.032829543605473</v>
      </c>
      <c r="T1375" s="5">
        <f t="shared" si="519"/>
        <v>-724.44720898111916</v>
      </c>
      <c r="U1375" s="4">
        <f t="shared" si="520"/>
        <v>1772318.9734992636</v>
      </c>
      <c r="V1375" s="4">
        <f t="shared" si="536"/>
        <v>28.59988699701551</v>
      </c>
      <c r="W1375" s="4">
        <f t="shared" si="521"/>
        <v>1755632.9044214608</v>
      </c>
      <c r="X1375" s="4">
        <f t="shared" si="525"/>
        <v>4234.4407494177576</v>
      </c>
      <c r="Y1375" s="9">
        <f>SUM($X$6:X1375)</f>
        <v>755632.90442146081</v>
      </c>
      <c r="Z1375" s="16">
        <f t="shared" si="526"/>
        <v>0.7556329044214608</v>
      </c>
      <c r="AA1375" s="16">
        <f t="shared" si="522"/>
        <v>0.91091256479726879</v>
      </c>
      <c r="AB1375" s="16">
        <f t="shared" si="523"/>
        <v>2.4177483521024001E-3</v>
      </c>
      <c r="AC1375" s="16">
        <f t="shared" si="524"/>
        <v>4.5114205623634071E-3</v>
      </c>
    </row>
    <row r="1376" spans="1:29" x14ac:dyDescent="0.15">
      <c r="A1376" s="8">
        <v>42900</v>
      </c>
      <c r="B1376" s="4">
        <v>2437.92</v>
      </c>
      <c r="C1376" s="1">
        <v>9.8636999999999997</v>
      </c>
      <c r="D1376" s="1">
        <v>2.0099999999999998</v>
      </c>
      <c r="E1376" s="1">
        <v>1.2775000000000001</v>
      </c>
      <c r="F1376" s="4">
        <f t="shared" si="514"/>
        <v>9.8637000000000002E-2</v>
      </c>
      <c r="G1376" s="4">
        <f t="shared" si="515"/>
        <v>2.0099999999999996E-2</v>
      </c>
      <c r="H1376" s="4">
        <f t="shared" si="516"/>
        <v>1.2775000000000002E-2</v>
      </c>
      <c r="I1376" s="3">
        <f t="shared" si="517"/>
        <v>49.949975881686996</v>
      </c>
      <c r="J1376" s="4">
        <f t="shared" si="527"/>
        <v>1772318.9734992636</v>
      </c>
      <c r="K1376" s="1">
        <f t="shared" si="528"/>
        <v>2394.02</v>
      </c>
      <c r="L1376" s="5">
        <f t="shared" si="529"/>
        <v>0.18630136986301385</v>
      </c>
      <c r="M1376" s="5">
        <f t="shared" si="530"/>
        <v>-0.3374222472807239</v>
      </c>
      <c r="N1376" s="5">
        <f t="shared" si="531"/>
        <v>23.812226693264343</v>
      </c>
      <c r="O1376" s="1">
        <f t="shared" si="532"/>
        <v>0</v>
      </c>
      <c r="P1376" s="1">
        <f t="shared" si="533"/>
        <v>2394.02</v>
      </c>
      <c r="Q1376" s="5">
        <f t="shared" si="534"/>
        <v>0.18630136986301385</v>
      </c>
      <c r="R1376" s="5">
        <f t="shared" si="535"/>
        <v>-0.3374222472807239</v>
      </c>
      <c r="S1376" s="5">
        <f t="shared" si="518"/>
        <v>23.812226693264343</v>
      </c>
      <c r="T1376" s="5">
        <f t="shared" si="519"/>
        <v>-724.44720898111916</v>
      </c>
      <c r="U1376" s="4">
        <f t="shared" si="520"/>
        <v>1772347.5733862605</v>
      </c>
      <c r="V1376" s="4">
        <f t="shared" si="536"/>
        <v>28.600348513000203</v>
      </c>
      <c r="W1376" s="4">
        <f t="shared" si="521"/>
        <v>1755096.8722186994</v>
      </c>
      <c r="X1376" s="4">
        <f t="shared" si="525"/>
        <v>-536.03220276138745</v>
      </c>
      <c r="Y1376" s="9">
        <f>SUM($X$6:X1376)</f>
        <v>755096.87221869943</v>
      </c>
      <c r="Z1376" s="16">
        <f t="shared" si="526"/>
        <v>0.75509687221869948</v>
      </c>
      <c r="AA1376" s="16">
        <f t="shared" si="522"/>
        <v>0.90900975678511597</v>
      </c>
      <c r="AB1376" s="16">
        <f t="shared" si="523"/>
        <v>-3.0532134674134955E-4</v>
      </c>
      <c r="AC1376" s="16">
        <f t="shared" si="524"/>
        <v>-9.9575880508936693E-4</v>
      </c>
    </row>
    <row r="1377" spans="1:29" x14ac:dyDescent="0.15">
      <c r="A1377" s="8">
        <v>42901</v>
      </c>
      <c r="B1377" s="4">
        <v>2432.46</v>
      </c>
      <c r="C1377" s="1">
        <v>10.0183</v>
      </c>
      <c r="D1377" s="1">
        <v>2.02</v>
      </c>
      <c r="E1377" s="1">
        <v>1.2955999999999999</v>
      </c>
      <c r="F1377" s="4">
        <f t="shared" si="514"/>
        <v>0.10018299999999999</v>
      </c>
      <c r="G1377" s="4">
        <f t="shared" si="515"/>
        <v>2.0199999999999999E-2</v>
      </c>
      <c r="H1377" s="4">
        <f t="shared" si="516"/>
        <v>1.2955999999999999E-2</v>
      </c>
      <c r="I1377" s="3">
        <f t="shared" si="517"/>
        <v>50.556468409594849</v>
      </c>
      <c r="J1377" s="4">
        <f t="shared" si="527"/>
        <v>1772347.5733862605</v>
      </c>
      <c r="K1377" s="1">
        <f t="shared" si="528"/>
        <v>2394.02</v>
      </c>
      <c r="L1377" s="5">
        <f t="shared" si="529"/>
        <v>0.1835616438356166</v>
      </c>
      <c r="M1377" s="5">
        <f t="shared" si="530"/>
        <v>-0.35749914237204616</v>
      </c>
      <c r="N1377" s="5">
        <f t="shared" si="531"/>
        <v>25.992204836148204</v>
      </c>
      <c r="O1377" s="1">
        <f t="shared" si="532"/>
        <v>0</v>
      </c>
      <c r="P1377" s="1">
        <f t="shared" si="533"/>
        <v>2394.02</v>
      </c>
      <c r="Q1377" s="5">
        <f t="shared" si="534"/>
        <v>0.1835616438356166</v>
      </c>
      <c r="R1377" s="5">
        <f t="shared" si="535"/>
        <v>-0.35749914237204616</v>
      </c>
      <c r="S1377" s="5">
        <f t="shared" si="518"/>
        <v>25.992204836148204</v>
      </c>
      <c r="T1377" s="5">
        <f t="shared" si="519"/>
        <v>-724.44720898111916</v>
      </c>
      <c r="U1377" s="4">
        <f t="shared" si="520"/>
        <v>1772376.1737347736</v>
      </c>
      <c r="V1377" s="4">
        <f t="shared" si="536"/>
        <v>28.600810036432371</v>
      </c>
      <c r="W1377" s="4">
        <f t="shared" si="521"/>
        <v>1753546.1934859606</v>
      </c>
      <c r="X1377" s="4">
        <f t="shared" si="525"/>
        <v>-1550.6787327388301</v>
      </c>
      <c r="Y1377" s="9">
        <f>SUM($X$6:X1377)</f>
        <v>753546.1934859606</v>
      </c>
      <c r="Z1377" s="16">
        <f t="shared" si="526"/>
        <v>0.75354619348596064</v>
      </c>
      <c r="AA1377" s="16">
        <f t="shared" si="522"/>
        <v>0.9047343116220069</v>
      </c>
      <c r="AB1377" s="16">
        <f t="shared" si="523"/>
        <v>-8.8352885660296636E-4</v>
      </c>
      <c r="AC1377" s="16">
        <f t="shared" si="524"/>
        <v>-2.2396140972632556E-3</v>
      </c>
    </row>
    <row r="1378" spans="1:29" x14ac:dyDescent="0.15">
      <c r="A1378" s="8">
        <v>42902</v>
      </c>
      <c r="B1378" s="4">
        <v>2433.15</v>
      </c>
      <c r="C1378" s="1">
        <v>9.7937999999999992</v>
      </c>
      <c r="D1378" s="1">
        <v>2.02</v>
      </c>
      <c r="E1378" s="1">
        <v>1.3019000000000001</v>
      </c>
      <c r="F1378" s="4">
        <f t="shared" si="514"/>
        <v>9.7937999999999997E-2</v>
      </c>
      <c r="G1378" s="4">
        <f t="shared" si="515"/>
        <v>2.0199999999999999E-2</v>
      </c>
      <c r="H1378" s="4">
        <f t="shared" si="516"/>
        <v>1.3019000000000001E-2</v>
      </c>
      <c r="I1378" s="3">
        <f t="shared" si="517"/>
        <v>49.468272283274125</v>
      </c>
      <c r="J1378" s="4">
        <f t="shared" si="527"/>
        <v>1772376.1737347736</v>
      </c>
      <c r="K1378" s="1">
        <f t="shared" si="528"/>
        <v>2394.02</v>
      </c>
      <c r="L1378" s="5">
        <f t="shared" si="529"/>
        <v>0.18082191780821935</v>
      </c>
      <c r="M1378" s="5">
        <f t="shared" si="530"/>
        <v>-0.35108134567840538</v>
      </c>
      <c r="N1378" s="5">
        <f t="shared" si="531"/>
        <v>24.569105960946821</v>
      </c>
      <c r="O1378" s="1">
        <f t="shared" si="532"/>
        <v>0</v>
      </c>
      <c r="P1378" s="1">
        <f t="shared" si="533"/>
        <v>2394.02</v>
      </c>
      <c r="Q1378" s="5">
        <f t="shared" si="534"/>
        <v>0.18082191780821935</v>
      </c>
      <c r="R1378" s="5">
        <f t="shared" si="535"/>
        <v>-0.35108134567840538</v>
      </c>
      <c r="S1378" s="5">
        <f t="shared" si="518"/>
        <v>24.569105960946821</v>
      </c>
      <c r="T1378" s="5">
        <f t="shared" si="519"/>
        <v>-724.44720898111916</v>
      </c>
      <c r="U1378" s="4">
        <f t="shared" si="520"/>
        <v>1772404.7745448102</v>
      </c>
      <c r="V1378" s="4">
        <f t="shared" si="536"/>
        <v>28.601271567312136</v>
      </c>
      <c r="W1378" s="4">
        <f t="shared" si="521"/>
        <v>1754605.7543042409</v>
      </c>
      <c r="X1378" s="4">
        <f t="shared" si="525"/>
        <v>1059.5608182803262</v>
      </c>
      <c r="Y1378" s="9">
        <f>SUM($X$6:X1378)</f>
        <v>754605.75430424092</v>
      </c>
      <c r="Z1378" s="16">
        <f t="shared" si="526"/>
        <v>0.75460575430424093</v>
      </c>
      <c r="AA1378" s="16">
        <f t="shared" si="522"/>
        <v>0.90527461513163066</v>
      </c>
      <c r="AB1378" s="16">
        <f t="shared" si="523"/>
        <v>6.0423889727933156E-4</v>
      </c>
      <c r="AC1378" s="16">
        <f t="shared" si="524"/>
        <v>2.8366345181423519E-4</v>
      </c>
    </row>
    <row r="1379" spans="1:29" x14ac:dyDescent="0.15">
      <c r="A1379" s="8">
        <v>42905</v>
      </c>
      <c r="B1379" s="4">
        <v>2453.46</v>
      </c>
      <c r="C1379" s="1">
        <v>9.5634999999999994</v>
      </c>
      <c r="D1379" s="1">
        <v>2</v>
      </c>
      <c r="E1379" s="1">
        <v>1.3087</v>
      </c>
      <c r="F1379" s="4">
        <f t="shared" si="514"/>
        <v>9.5634999999999998E-2</v>
      </c>
      <c r="G1379" s="4">
        <f t="shared" si="515"/>
        <v>0.02</v>
      </c>
      <c r="H1379" s="4">
        <f t="shared" si="516"/>
        <v>1.3087E-2</v>
      </c>
      <c r="I1379" s="3">
        <f t="shared" si="517"/>
        <v>48.678188290194825</v>
      </c>
      <c r="J1379" s="4">
        <f t="shared" si="527"/>
        <v>1772404.7745448102</v>
      </c>
      <c r="K1379" s="1">
        <f t="shared" si="528"/>
        <v>2394.02</v>
      </c>
      <c r="L1379" s="5">
        <f t="shared" si="529"/>
        <v>0.17260273972602758</v>
      </c>
      <c r="M1379" s="5">
        <f t="shared" si="530"/>
        <v>-0.27095436247254268</v>
      </c>
      <c r="N1379" s="5">
        <f t="shared" si="531"/>
        <v>16.532631136500047</v>
      </c>
      <c r="O1379" s="1">
        <f t="shared" si="532"/>
        <v>0</v>
      </c>
      <c r="P1379" s="1">
        <f t="shared" si="533"/>
        <v>2394.02</v>
      </c>
      <c r="Q1379" s="5">
        <f t="shared" si="534"/>
        <v>0.17260273972602758</v>
      </c>
      <c r="R1379" s="5">
        <f t="shared" si="535"/>
        <v>-0.27095436247254268</v>
      </c>
      <c r="S1379" s="5">
        <f t="shared" si="518"/>
        <v>16.532631136500047</v>
      </c>
      <c r="T1379" s="5">
        <f t="shared" si="519"/>
        <v>-724.44720898111916</v>
      </c>
      <c r="U1379" s="4">
        <f t="shared" si="520"/>
        <v>1772433.3758163776</v>
      </c>
      <c r="V1379" s="4">
        <f t="shared" si="536"/>
        <v>85.805199316918873</v>
      </c>
      <c r="W1379" s="4">
        <f t="shared" si="521"/>
        <v>1760456.3573324257</v>
      </c>
      <c r="X1379" s="4">
        <f t="shared" si="525"/>
        <v>5850.6030281847343</v>
      </c>
      <c r="Y1379" s="9">
        <f>SUM($X$6:X1379)</f>
        <v>760456.35733242566</v>
      </c>
      <c r="Z1379" s="16">
        <f t="shared" si="526"/>
        <v>0.76045635733242567</v>
      </c>
      <c r="AA1379" s="16">
        <f t="shared" si="522"/>
        <v>0.92117833148011852</v>
      </c>
      <c r="AB1379" s="16">
        <f t="shared" si="523"/>
        <v>3.3344259893326816E-3</v>
      </c>
      <c r="AC1379" s="16">
        <f t="shared" si="524"/>
        <v>8.3472042414154263E-3</v>
      </c>
    </row>
    <row r="1380" spans="1:29" x14ac:dyDescent="0.15">
      <c r="A1380" s="8">
        <v>42906</v>
      </c>
      <c r="B1380" s="4">
        <v>2437.0300000000002</v>
      </c>
      <c r="C1380" s="1">
        <v>9.9108000000000001</v>
      </c>
      <c r="D1380" s="1">
        <v>2.0099999999999998</v>
      </c>
      <c r="E1380" s="1">
        <v>1.3158000000000001</v>
      </c>
      <c r="F1380" s="4">
        <f t="shared" si="514"/>
        <v>9.9108000000000002E-2</v>
      </c>
      <c r="G1380" s="4">
        <f t="shared" si="515"/>
        <v>2.0099999999999996E-2</v>
      </c>
      <c r="H1380" s="4">
        <f t="shared" si="516"/>
        <v>1.3158000000000001E-2</v>
      </c>
      <c r="I1380" s="3">
        <f t="shared" si="517"/>
        <v>50.037638507733831</v>
      </c>
      <c r="J1380" s="4">
        <f t="shared" si="527"/>
        <v>1772433.3758163776</v>
      </c>
      <c r="K1380" s="1">
        <f t="shared" si="528"/>
        <v>2394.02</v>
      </c>
      <c r="L1380" s="5">
        <f t="shared" si="529"/>
        <v>0.16986301369863033</v>
      </c>
      <c r="M1380" s="5">
        <f t="shared" si="530"/>
        <v>-0.333374956647218</v>
      </c>
      <c r="N1380" s="5">
        <f t="shared" si="531"/>
        <v>22.431004557888681</v>
      </c>
      <c r="O1380" s="1">
        <f t="shared" si="532"/>
        <v>0</v>
      </c>
      <c r="P1380" s="1">
        <f t="shared" si="533"/>
        <v>2394.02</v>
      </c>
      <c r="Q1380" s="5">
        <f t="shared" si="534"/>
        <v>0.16986301369863033</v>
      </c>
      <c r="R1380" s="5">
        <f t="shared" si="535"/>
        <v>-0.333374956647218</v>
      </c>
      <c r="S1380" s="5">
        <f t="shared" si="518"/>
        <v>22.431004557888681</v>
      </c>
      <c r="T1380" s="5">
        <f t="shared" si="519"/>
        <v>-724.44720898111916</v>
      </c>
      <c r="U1380" s="4">
        <f t="shared" si="520"/>
        <v>1772519.1810156945</v>
      </c>
      <c r="V1380" s="4">
        <f t="shared" si="536"/>
        <v>28.603117742965587</v>
      </c>
      <c r="W1380" s="4">
        <f t="shared" si="521"/>
        <v>1756269.1023690894</v>
      </c>
      <c r="X1380" s="4">
        <f t="shared" si="525"/>
        <v>-4187.2549633362796</v>
      </c>
      <c r="Y1380" s="9">
        <f>SUM($X$6:X1380)</f>
        <v>756269.10236908938</v>
      </c>
      <c r="Z1380" s="16">
        <f t="shared" si="526"/>
        <v>0.7562691023690894</v>
      </c>
      <c r="AA1380" s="16">
        <f t="shared" si="522"/>
        <v>0.90831284356255804</v>
      </c>
      <c r="AB1380" s="16">
        <f t="shared" si="523"/>
        <v>-2.3785054062238271E-3</v>
      </c>
      <c r="AC1380" s="16">
        <f t="shared" si="524"/>
        <v>-6.6966651178335234E-3</v>
      </c>
    </row>
    <row r="1381" spans="1:29" x14ac:dyDescent="0.15">
      <c r="A1381" s="8">
        <v>42907</v>
      </c>
      <c r="B1381" s="4">
        <v>2435.61</v>
      </c>
      <c r="C1381" s="1">
        <v>9.9681999999999995</v>
      </c>
      <c r="D1381" s="1">
        <v>2.02</v>
      </c>
      <c r="E1381" s="1">
        <v>1.3174999999999999</v>
      </c>
      <c r="F1381" s="4">
        <f t="shared" si="514"/>
        <v>9.9681999999999993E-2</v>
      </c>
      <c r="G1381" s="4">
        <f t="shared" si="515"/>
        <v>2.0199999999999999E-2</v>
      </c>
      <c r="H1381" s="4">
        <f t="shared" si="516"/>
        <v>1.3174999999999999E-2</v>
      </c>
      <c r="I1381" s="3">
        <f t="shared" si="517"/>
        <v>50.310625761637489</v>
      </c>
      <c r="J1381" s="4">
        <f t="shared" si="527"/>
        <v>1772519.1810156945</v>
      </c>
      <c r="K1381" s="1">
        <f t="shared" si="528"/>
        <v>2394.02</v>
      </c>
      <c r="L1381" s="5">
        <f t="shared" si="529"/>
        <v>0.16712328767123308</v>
      </c>
      <c r="M1381" s="5">
        <f t="shared" si="530"/>
        <v>-0.33821472017252863</v>
      </c>
      <c r="N1381" s="5">
        <f t="shared" si="531"/>
        <v>22.819174390025651</v>
      </c>
      <c r="O1381" s="1">
        <f t="shared" si="532"/>
        <v>0</v>
      </c>
      <c r="P1381" s="1">
        <f t="shared" si="533"/>
        <v>2394.02</v>
      </c>
      <c r="Q1381" s="5">
        <f t="shared" si="534"/>
        <v>0.16712328767123308</v>
      </c>
      <c r="R1381" s="5">
        <f t="shared" si="535"/>
        <v>-0.33821472017252863</v>
      </c>
      <c r="S1381" s="5">
        <f t="shared" si="518"/>
        <v>22.819174390025651</v>
      </c>
      <c r="T1381" s="5">
        <f t="shared" si="519"/>
        <v>-724.44720898111916</v>
      </c>
      <c r="U1381" s="4">
        <f t="shared" si="520"/>
        <v>1772547.7841334376</v>
      </c>
      <c r="V1381" s="4">
        <f t="shared" si="536"/>
        <v>28.603579311084783</v>
      </c>
      <c r="W1381" s="4">
        <f t="shared" si="521"/>
        <v>1756016.4969353301</v>
      </c>
      <c r="X1381" s="4">
        <f t="shared" si="525"/>
        <v>-252.60543375927955</v>
      </c>
      <c r="Y1381" s="9">
        <f>SUM($X$6:X1381)</f>
        <v>756016.4969353301</v>
      </c>
      <c r="Z1381" s="16">
        <f t="shared" si="526"/>
        <v>0.75601649693533013</v>
      </c>
      <c r="AA1381" s="16">
        <f t="shared" si="522"/>
        <v>0.90720091460072372</v>
      </c>
      <c r="AB1381" s="16">
        <f t="shared" si="523"/>
        <v>-1.4383071103313936E-4</v>
      </c>
      <c r="AC1381" s="16">
        <f t="shared" si="524"/>
        <v>-5.826764545369046E-4</v>
      </c>
    </row>
    <row r="1382" spans="1:29" x14ac:dyDescent="0.15">
      <c r="A1382" s="8">
        <v>42908</v>
      </c>
      <c r="B1382" s="4">
        <v>2434.5</v>
      </c>
      <c r="C1382" s="1">
        <v>9.9084000000000003</v>
      </c>
      <c r="D1382" s="1">
        <v>2.0099999999999998</v>
      </c>
      <c r="E1382" s="1">
        <v>1.3244</v>
      </c>
      <c r="F1382" s="4">
        <f t="shared" si="514"/>
        <v>9.9084000000000005E-2</v>
      </c>
      <c r="G1382" s="4">
        <f t="shared" si="515"/>
        <v>2.0099999999999996E-2</v>
      </c>
      <c r="H1382" s="4">
        <f t="shared" si="516"/>
        <v>1.3244000000000001E-2</v>
      </c>
      <c r="I1382" s="3">
        <f t="shared" si="517"/>
        <v>49.946864330486271</v>
      </c>
      <c r="J1382" s="4">
        <f t="shared" si="527"/>
        <v>1772547.7841334376</v>
      </c>
      <c r="K1382" s="1">
        <f t="shared" si="528"/>
        <v>2394.02</v>
      </c>
      <c r="L1382" s="5">
        <f t="shared" si="529"/>
        <v>0.16438356164383583</v>
      </c>
      <c r="M1382" s="5">
        <f t="shared" si="530"/>
        <v>-0.33999251503223377</v>
      </c>
      <c r="N1382" s="5">
        <f t="shared" si="531"/>
        <v>22.643309076835337</v>
      </c>
      <c r="O1382" s="1">
        <f t="shared" si="532"/>
        <v>0</v>
      </c>
      <c r="P1382" s="1">
        <f t="shared" si="533"/>
        <v>2394.02</v>
      </c>
      <c r="Q1382" s="5">
        <f t="shared" si="534"/>
        <v>0.16438356164383583</v>
      </c>
      <c r="R1382" s="5">
        <f t="shared" si="535"/>
        <v>-0.33999251503223377</v>
      </c>
      <c r="S1382" s="5">
        <f t="shared" si="518"/>
        <v>22.643309076835337</v>
      </c>
      <c r="T1382" s="5">
        <f t="shared" si="519"/>
        <v>-724.44720898111916</v>
      </c>
      <c r="U1382" s="4">
        <f t="shared" si="520"/>
        <v>1772576.3877127487</v>
      </c>
      <c r="V1382" s="4">
        <f t="shared" si="536"/>
        <v>28.604040886652299</v>
      </c>
      <c r="W1382" s="4">
        <f t="shared" si="521"/>
        <v>1756172.5056499385</v>
      </c>
      <c r="X1382" s="4">
        <f t="shared" si="525"/>
        <v>156.00871460838243</v>
      </c>
      <c r="Y1382" s="9">
        <f>SUM($X$6:X1382)</f>
        <v>756172.50564993848</v>
      </c>
      <c r="Z1382" s="16">
        <f t="shared" si="526"/>
        <v>0.75617250564993843</v>
      </c>
      <c r="AA1382" s="16">
        <f t="shared" si="522"/>
        <v>0.90633173069393769</v>
      </c>
      <c r="AB1382" s="16">
        <f t="shared" si="523"/>
        <v>8.8842396914069456E-5</v>
      </c>
      <c r="AC1382" s="16">
        <f t="shared" si="524"/>
        <v>-4.557379876089059E-4</v>
      </c>
    </row>
    <row r="1383" spans="1:29" x14ac:dyDescent="0.15">
      <c r="A1383" s="8">
        <v>42909</v>
      </c>
      <c r="B1383" s="4">
        <v>2438.3000000000002</v>
      </c>
      <c r="C1383" s="1">
        <v>9.7362000000000002</v>
      </c>
      <c r="D1383" s="1">
        <v>2.0099999999999998</v>
      </c>
      <c r="E1383" s="1">
        <v>1.3220000000000001</v>
      </c>
      <c r="F1383" s="4">
        <f t="shared" si="514"/>
        <v>9.7362000000000004E-2</v>
      </c>
      <c r="G1383" s="4">
        <f t="shared" si="515"/>
        <v>2.0099999999999996E-2</v>
      </c>
      <c r="H1383" s="4">
        <f t="shared" si="516"/>
        <v>1.3220000000000001E-2</v>
      </c>
      <c r="I1383" s="3">
        <f t="shared" si="517"/>
        <v>49.20028552760126</v>
      </c>
      <c r="J1383" s="4">
        <f t="shared" si="527"/>
        <v>1772576.3877127487</v>
      </c>
      <c r="K1383" s="1">
        <f t="shared" si="528"/>
        <v>2394.02</v>
      </c>
      <c r="L1383" s="5">
        <f t="shared" si="529"/>
        <v>0.16164383561643858</v>
      </c>
      <c r="M1383" s="5">
        <f t="shared" si="530"/>
        <v>-0.32194199453988454</v>
      </c>
      <c r="N1383" s="5">
        <f t="shared" si="531"/>
        <v>20.467590614266115</v>
      </c>
      <c r="O1383" s="1">
        <f t="shared" si="532"/>
        <v>0</v>
      </c>
      <c r="P1383" s="1">
        <f t="shared" si="533"/>
        <v>2394.02</v>
      </c>
      <c r="Q1383" s="5">
        <f t="shared" si="534"/>
        <v>0.16164383561643858</v>
      </c>
      <c r="R1383" s="5">
        <f t="shared" si="535"/>
        <v>-0.32194199453988454</v>
      </c>
      <c r="S1383" s="5">
        <f t="shared" si="518"/>
        <v>20.467590614266115</v>
      </c>
      <c r="T1383" s="5">
        <f t="shared" si="519"/>
        <v>-724.44720898111916</v>
      </c>
      <c r="U1383" s="4">
        <f t="shared" si="520"/>
        <v>1772604.9917536355</v>
      </c>
      <c r="V1383" s="4">
        <f t="shared" si="536"/>
        <v>28.604502469668251</v>
      </c>
      <c r="W1383" s="4">
        <f t="shared" si="521"/>
        <v>1757777.3028585622</v>
      </c>
      <c r="X1383" s="4">
        <f t="shared" si="525"/>
        <v>1604.7972086237278</v>
      </c>
      <c r="Y1383" s="9">
        <f>SUM($X$6:X1383)</f>
        <v>757777.30285856221</v>
      </c>
      <c r="Z1383" s="16">
        <f t="shared" si="526"/>
        <v>0.75777730285856226</v>
      </c>
      <c r="AA1383" s="16">
        <f t="shared" si="522"/>
        <v>0.90930731523969144</v>
      </c>
      <c r="AB1383" s="16">
        <f t="shared" si="523"/>
        <v>9.1380385666031791E-4</v>
      </c>
      <c r="AC1383" s="16">
        <f t="shared" si="524"/>
        <v>1.5608954610803786E-3</v>
      </c>
    </row>
    <row r="1384" spans="1:29" x14ac:dyDescent="0.15">
      <c r="A1384" s="8">
        <v>42912</v>
      </c>
      <c r="B1384" s="4">
        <v>2439.0700000000002</v>
      </c>
      <c r="C1384" s="1">
        <v>9.6159999999999997</v>
      </c>
      <c r="D1384" s="1">
        <v>2.0099999999999998</v>
      </c>
      <c r="E1384" s="1">
        <v>1.3235999999999999</v>
      </c>
      <c r="F1384" s="4">
        <f t="shared" si="514"/>
        <v>9.6159999999999995E-2</v>
      </c>
      <c r="G1384" s="4">
        <f t="shared" si="515"/>
        <v>2.0099999999999996E-2</v>
      </c>
      <c r="H1384" s="4">
        <f t="shared" si="516"/>
        <v>1.3236E-2</v>
      </c>
      <c r="I1384" s="3">
        <f t="shared" si="517"/>
        <v>48.629699491894186</v>
      </c>
      <c r="J1384" s="4">
        <f t="shared" si="527"/>
        <v>1772604.9917536355</v>
      </c>
      <c r="K1384" s="1">
        <f t="shared" si="528"/>
        <v>2394.02</v>
      </c>
      <c r="L1384" s="5">
        <f t="shared" si="529"/>
        <v>0.15342465753424681</v>
      </c>
      <c r="M1384" s="5">
        <f t="shared" si="530"/>
        <v>-0.31257718284160219</v>
      </c>
      <c r="N1384" s="5">
        <f t="shared" si="531"/>
        <v>18.896817781251602</v>
      </c>
      <c r="O1384" s="1">
        <f t="shared" si="532"/>
        <v>0</v>
      </c>
      <c r="P1384" s="1">
        <f t="shared" si="533"/>
        <v>2394.02</v>
      </c>
      <c r="Q1384" s="5">
        <f t="shared" si="534"/>
        <v>0.15342465753424681</v>
      </c>
      <c r="R1384" s="5">
        <f t="shared" si="535"/>
        <v>-0.31257718284160219</v>
      </c>
      <c r="S1384" s="5">
        <f t="shared" si="518"/>
        <v>18.896817781251602</v>
      </c>
      <c r="T1384" s="5">
        <f t="shared" si="519"/>
        <v>-724.44720898111916</v>
      </c>
      <c r="U1384" s="4">
        <f t="shared" si="520"/>
        <v>1772633.5962561052</v>
      </c>
      <c r="V1384" s="4">
        <f t="shared" si="536"/>
        <v>85.814892180398289</v>
      </c>
      <c r="W1384" s="4">
        <f t="shared" si="521"/>
        <v>1758943.8493558527</v>
      </c>
      <c r="X1384" s="4">
        <f t="shared" si="525"/>
        <v>1166.5464972904883</v>
      </c>
      <c r="Y1384" s="9">
        <f>SUM($X$6:X1384)</f>
        <v>758943.8493558527</v>
      </c>
      <c r="Z1384" s="16">
        <f t="shared" si="526"/>
        <v>0.75894384935585268</v>
      </c>
      <c r="AA1384" s="16">
        <f t="shared" si="522"/>
        <v>0.90991026263448882</v>
      </c>
      <c r="AB1384" s="16">
        <f t="shared" si="523"/>
        <v>6.6364862909164171E-4</v>
      </c>
      <c r="AC1384" s="16">
        <f t="shared" si="524"/>
        <v>3.1579379075584701E-4</v>
      </c>
    </row>
    <row r="1385" spans="1:29" x14ac:dyDescent="0.15">
      <c r="A1385" s="8">
        <v>42913</v>
      </c>
      <c r="B1385" s="4">
        <v>2419.38</v>
      </c>
      <c r="C1385" s="1">
        <v>10.3568</v>
      </c>
      <c r="D1385" s="1">
        <v>2.0299999999999998</v>
      </c>
      <c r="E1385" s="1">
        <v>1.3237999999999999</v>
      </c>
      <c r="F1385" s="4">
        <f t="shared" si="514"/>
        <v>0.10356799999999999</v>
      </c>
      <c r="G1385" s="4">
        <f t="shared" si="515"/>
        <v>2.0299999999999999E-2</v>
      </c>
      <c r="H1385" s="4">
        <f t="shared" si="516"/>
        <v>1.3237999999999998E-2</v>
      </c>
      <c r="I1385" s="3">
        <f t="shared" si="517"/>
        <v>51.849047472267486</v>
      </c>
      <c r="J1385" s="4">
        <f t="shared" si="527"/>
        <v>1772633.5962561052</v>
      </c>
      <c r="K1385" s="1">
        <f t="shared" si="528"/>
        <v>2394.02</v>
      </c>
      <c r="L1385" s="5">
        <f t="shared" si="529"/>
        <v>0.15068493150684956</v>
      </c>
      <c r="M1385" s="5">
        <f t="shared" si="530"/>
        <v>-0.39785889302595168</v>
      </c>
      <c r="N1385" s="5">
        <f t="shared" si="531"/>
        <v>28.193408025538353</v>
      </c>
      <c r="O1385" s="1">
        <f t="shared" si="532"/>
        <v>0</v>
      </c>
      <c r="P1385" s="1">
        <f t="shared" si="533"/>
        <v>2394.02</v>
      </c>
      <c r="Q1385" s="5">
        <f t="shared" si="534"/>
        <v>0.15068493150684956</v>
      </c>
      <c r="R1385" s="5">
        <f t="shared" si="535"/>
        <v>-0.39785889302595168</v>
      </c>
      <c r="S1385" s="5">
        <f t="shared" si="518"/>
        <v>28.193408025538353</v>
      </c>
      <c r="T1385" s="5">
        <f t="shared" si="519"/>
        <v>-724.44720898111916</v>
      </c>
      <c r="U1385" s="4">
        <f t="shared" si="520"/>
        <v>1772719.4111482857</v>
      </c>
      <c r="V1385" s="4">
        <f t="shared" si="536"/>
        <v>28.606348853872333</v>
      </c>
      <c r="W1385" s="4">
        <f t="shared" si="521"/>
        <v>1752294.7753925186</v>
      </c>
      <c r="X1385" s="4">
        <f t="shared" si="525"/>
        <v>-6649.0739633340854</v>
      </c>
      <c r="Y1385" s="9">
        <f>SUM($X$6:X1385)</f>
        <v>752294.77539251861</v>
      </c>
      <c r="Z1385" s="16">
        <f t="shared" si="526"/>
        <v>0.75229477539251866</v>
      </c>
      <c r="AA1385" s="16">
        <f t="shared" si="522"/>
        <v>0.89449203639609742</v>
      </c>
      <c r="AB1385" s="16">
        <f t="shared" si="523"/>
        <v>-3.7801513480768927E-3</v>
      </c>
      <c r="AC1385" s="16">
        <f t="shared" si="524"/>
        <v>-8.0727490395929823E-3</v>
      </c>
    </row>
    <row r="1386" spans="1:29" x14ac:dyDescent="0.15">
      <c r="A1386" s="8">
        <v>42914</v>
      </c>
      <c r="B1386" s="4">
        <v>2440.69</v>
      </c>
      <c r="C1386" s="1">
        <v>9.7939000000000007</v>
      </c>
      <c r="D1386" s="1">
        <v>2.0099999999999998</v>
      </c>
      <c r="E1386" s="1">
        <v>1.3254999999999999</v>
      </c>
      <c r="F1386" s="4">
        <f t="shared" si="514"/>
        <v>9.7939000000000012E-2</v>
      </c>
      <c r="G1386" s="4">
        <f t="shared" si="515"/>
        <v>2.0099999999999996E-2</v>
      </c>
      <c r="H1386" s="4">
        <f t="shared" si="516"/>
        <v>1.3254999999999999E-2</v>
      </c>
      <c r="I1386" s="3">
        <f t="shared" si="517"/>
        <v>49.516501708345771</v>
      </c>
      <c r="J1386" s="4">
        <f t="shared" si="527"/>
        <v>1772719.4111482857</v>
      </c>
      <c r="K1386" s="1">
        <f t="shared" si="528"/>
        <v>2394.02</v>
      </c>
      <c r="L1386" s="5">
        <f t="shared" si="529"/>
        <v>0.14794520547945231</v>
      </c>
      <c r="M1386" s="5">
        <f t="shared" si="530"/>
        <v>-0.30605554632101684</v>
      </c>
      <c r="N1386" s="5">
        <f t="shared" si="531"/>
        <v>18.371298454397881</v>
      </c>
      <c r="O1386" s="1">
        <f t="shared" si="532"/>
        <v>0</v>
      </c>
      <c r="P1386" s="1">
        <f t="shared" si="533"/>
        <v>2394.02</v>
      </c>
      <c r="Q1386" s="5">
        <f t="shared" si="534"/>
        <v>0.14794520547945231</v>
      </c>
      <c r="R1386" s="5">
        <f t="shared" si="535"/>
        <v>-0.30605554632101684</v>
      </c>
      <c r="S1386" s="5">
        <f t="shared" si="518"/>
        <v>18.371298454397881</v>
      </c>
      <c r="T1386" s="5">
        <f t="shared" si="519"/>
        <v>-724.44720898111916</v>
      </c>
      <c r="U1386" s="4">
        <f t="shared" si="520"/>
        <v>1772748.0174971395</v>
      </c>
      <c r="V1386" s="4">
        <f t="shared" si="536"/>
        <v>28.606810474131919</v>
      </c>
      <c r="W1386" s="4">
        <f t="shared" si="521"/>
        <v>1759438.9816064918</v>
      </c>
      <c r="X1386" s="4">
        <f t="shared" si="525"/>
        <v>7144.2062139732298</v>
      </c>
      <c r="Y1386" s="9">
        <f>SUM($X$6:X1386)</f>
        <v>759438.98160649184</v>
      </c>
      <c r="Z1386" s="16">
        <f t="shared" si="526"/>
        <v>0.75943898160649181</v>
      </c>
      <c r="AA1386" s="16">
        <f t="shared" si="522"/>
        <v>0.91117880130925732</v>
      </c>
      <c r="AB1386" s="16">
        <f t="shared" si="523"/>
        <v>4.0770573046837446E-3</v>
      </c>
      <c r="AC1386" s="16">
        <f t="shared" si="524"/>
        <v>8.8080417296993209E-3</v>
      </c>
    </row>
    <row r="1387" spans="1:29" x14ac:dyDescent="0.15">
      <c r="A1387" s="8">
        <v>42915</v>
      </c>
      <c r="B1387" s="4">
        <v>2419.6999999999998</v>
      </c>
      <c r="C1387" s="1">
        <v>10.6258</v>
      </c>
      <c r="D1387" s="1">
        <v>2.0299999999999998</v>
      </c>
      <c r="E1387" s="1">
        <v>1.3275000000000001</v>
      </c>
      <c r="F1387" s="4">
        <f t="shared" si="514"/>
        <v>0.10625800000000001</v>
      </c>
      <c r="G1387" s="4">
        <f t="shared" si="515"/>
        <v>2.0299999999999999E-2</v>
      </c>
      <c r="H1387" s="4">
        <f t="shared" si="516"/>
        <v>1.3275000000000002E-2</v>
      </c>
      <c r="I1387" s="3">
        <f t="shared" si="517"/>
        <v>53.134248093088843</v>
      </c>
      <c r="J1387" s="4">
        <f t="shared" si="527"/>
        <v>1772748.0174971395</v>
      </c>
      <c r="K1387" s="1">
        <f t="shared" si="528"/>
        <v>2394.02</v>
      </c>
      <c r="L1387" s="5">
        <f t="shared" si="529"/>
        <v>0.14520547945205506</v>
      </c>
      <c r="M1387" s="5">
        <f t="shared" si="530"/>
        <v>-0.39681546873655482</v>
      </c>
      <c r="N1387" s="5">
        <f t="shared" si="531"/>
        <v>28.293296191389132</v>
      </c>
      <c r="O1387" s="1">
        <f t="shared" si="532"/>
        <v>0</v>
      </c>
      <c r="P1387" s="1">
        <f t="shared" si="533"/>
        <v>2394.02</v>
      </c>
      <c r="Q1387" s="5">
        <f t="shared" si="534"/>
        <v>0.14520547945205506</v>
      </c>
      <c r="R1387" s="5">
        <f t="shared" si="535"/>
        <v>-0.39681546873655482</v>
      </c>
      <c r="S1387" s="5">
        <f t="shared" si="518"/>
        <v>28.293296191389132</v>
      </c>
      <c r="T1387" s="5">
        <f t="shared" si="519"/>
        <v>-724.44720898111916</v>
      </c>
      <c r="U1387" s="4">
        <f t="shared" si="520"/>
        <v>1772776.6243076136</v>
      </c>
      <c r="V1387" s="4">
        <f t="shared" si="536"/>
        <v>28.607272101840664</v>
      </c>
      <c r="W1387" s="4">
        <f t="shared" si="521"/>
        <v>1752279.6248488857</v>
      </c>
      <c r="X1387" s="4">
        <f t="shared" si="525"/>
        <v>-7159.3567576061469</v>
      </c>
      <c r="Y1387" s="9">
        <f>SUM($X$6:X1387)</f>
        <v>752279.62484888569</v>
      </c>
      <c r="Z1387" s="16">
        <f t="shared" si="526"/>
        <v>0.75227962484888566</v>
      </c>
      <c r="AA1387" s="16">
        <f t="shared" si="522"/>
        <v>0.89474261193679228</v>
      </c>
      <c r="AB1387" s="16">
        <f t="shared" si="523"/>
        <v>-4.0691134119747356E-3</v>
      </c>
      <c r="AC1387" s="16">
        <f t="shared" si="524"/>
        <v>-8.6000270415334343E-3</v>
      </c>
    </row>
    <row r="1388" spans="1:29" x14ac:dyDescent="0.15">
      <c r="A1388" s="8">
        <v>42916</v>
      </c>
      <c r="B1388" s="4">
        <v>2423.41</v>
      </c>
      <c r="C1388" s="1">
        <v>10.5105</v>
      </c>
      <c r="D1388" s="1">
        <v>2.02</v>
      </c>
      <c r="E1388" s="1">
        <v>1.3280000000000001</v>
      </c>
      <c r="F1388" s="4">
        <f t="shared" si="514"/>
        <v>0.105105</v>
      </c>
      <c r="G1388" s="4">
        <f t="shared" si="515"/>
        <v>2.0199999999999999E-2</v>
      </c>
      <c r="H1388" s="4">
        <f t="shared" si="516"/>
        <v>1.328E-2</v>
      </c>
      <c r="I1388" s="3">
        <f t="shared" si="517"/>
        <v>52.630142865531695</v>
      </c>
      <c r="J1388" s="4">
        <f t="shared" si="527"/>
        <v>1772776.6243076136</v>
      </c>
      <c r="K1388" s="1">
        <f t="shared" si="528"/>
        <v>2394.02</v>
      </c>
      <c r="L1388" s="5">
        <f t="shared" si="529"/>
        <v>0.14246575342465781</v>
      </c>
      <c r="M1388" s="5">
        <f t="shared" si="530"/>
        <v>-0.38002009098575629</v>
      </c>
      <c r="N1388" s="5">
        <f t="shared" si="531"/>
        <v>26.062483721940353</v>
      </c>
      <c r="O1388" s="1">
        <f t="shared" si="532"/>
        <v>0</v>
      </c>
      <c r="P1388" s="1">
        <f t="shared" si="533"/>
        <v>2394.02</v>
      </c>
      <c r="Q1388" s="5">
        <f t="shared" si="534"/>
        <v>0.14246575342465781</v>
      </c>
      <c r="R1388" s="5">
        <f t="shared" si="535"/>
        <v>-0.38002009098575629</v>
      </c>
      <c r="S1388" s="5">
        <f t="shared" si="518"/>
        <v>26.062483721940353</v>
      </c>
      <c r="T1388" s="5">
        <f t="shared" si="519"/>
        <v>-724.44720898111916</v>
      </c>
      <c r="U1388" s="4">
        <f t="shared" si="520"/>
        <v>1772805.2315797154</v>
      </c>
      <c r="V1388" s="4">
        <f t="shared" si="536"/>
        <v>28.607733736998693</v>
      </c>
      <c r="W1388" s="4">
        <f t="shared" si="521"/>
        <v>1753924.3379882399</v>
      </c>
      <c r="X1388" s="4">
        <f t="shared" si="525"/>
        <v>1644.7131393542513</v>
      </c>
      <c r="Y1388" s="9">
        <f>SUM($X$6:X1388)</f>
        <v>753924.33798823995</v>
      </c>
      <c r="Z1388" s="16">
        <f t="shared" si="526"/>
        <v>0.75392433798823999</v>
      </c>
      <c r="AA1388" s="16">
        <f t="shared" si="522"/>
        <v>0.89764772211172539</v>
      </c>
      <c r="AB1388" s="16">
        <f t="shared" si="523"/>
        <v>9.3861340166874864E-4</v>
      </c>
      <c r="AC1388" s="16">
        <f t="shared" si="524"/>
        <v>1.5332479232962916E-3</v>
      </c>
    </row>
    <row r="1389" spans="1:29" x14ac:dyDescent="0.15">
      <c r="A1389" s="8">
        <v>42919</v>
      </c>
      <c r="B1389" s="4">
        <v>2429.0100000000002</v>
      </c>
      <c r="C1389" s="1">
        <v>10.6379</v>
      </c>
      <c r="D1389" s="1">
        <v>2.0299999999999998</v>
      </c>
      <c r="E1389" s="1">
        <v>1.3296000000000001</v>
      </c>
      <c r="F1389" s="4">
        <f t="shared" si="514"/>
        <v>0.106379</v>
      </c>
      <c r="G1389" s="4">
        <f t="shared" si="515"/>
        <v>2.0299999999999999E-2</v>
      </c>
      <c r="H1389" s="4">
        <f t="shared" si="516"/>
        <v>1.3296000000000001E-2</v>
      </c>
      <c r="I1389" s="3">
        <f t="shared" si="517"/>
        <v>53.390297801754372</v>
      </c>
      <c r="J1389" s="4">
        <f t="shared" si="527"/>
        <v>1772805.2315797154</v>
      </c>
      <c r="K1389" s="1">
        <f t="shared" si="528"/>
        <v>2394.02</v>
      </c>
      <c r="L1389" s="5">
        <f t="shared" si="529"/>
        <v>0.13424657534246603</v>
      </c>
      <c r="M1389" s="5">
        <f t="shared" si="530"/>
        <v>-0.35560360326903206</v>
      </c>
      <c r="N1389" s="5">
        <f t="shared" si="531"/>
        <v>23.330797540233348</v>
      </c>
      <c r="O1389" s="1">
        <f t="shared" si="532"/>
        <v>0</v>
      </c>
      <c r="P1389" s="1">
        <f t="shared" si="533"/>
        <v>2394.02</v>
      </c>
      <c r="Q1389" s="5">
        <f t="shared" si="534"/>
        <v>0.13424657534246603</v>
      </c>
      <c r="R1389" s="5">
        <f t="shared" si="535"/>
        <v>-0.35560360326903206</v>
      </c>
      <c r="S1389" s="5">
        <f t="shared" si="518"/>
        <v>23.330797540233348</v>
      </c>
      <c r="T1389" s="5">
        <f t="shared" si="519"/>
        <v>-724.44720898111916</v>
      </c>
      <c r="U1389" s="4">
        <f t="shared" si="520"/>
        <v>1772833.8393134524</v>
      </c>
      <c r="V1389" s="4">
        <f t="shared" si="536"/>
        <v>85.824586138818361</v>
      </c>
      <c r="W1389" s="4">
        <f t="shared" si="521"/>
        <v>1755931.9081521267</v>
      </c>
      <c r="X1389" s="4">
        <f t="shared" si="525"/>
        <v>2007.5701638867613</v>
      </c>
      <c r="Y1389" s="9">
        <f>SUM($X$6:X1389)</f>
        <v>755931.90815212671</v>
      </c>
      <c r="Z1389" s="16">
        <f t="shared" si="526"/>
        <v>0.75593190815212674</v>
      </c>
      <c r="AA1389" s="16">
        <f t="shared" si="522"/>
        <v>0.9020327940738887</v>
      </c>
      <c r="AB1389" s="16">
        <f t="shared" si="523"/>
        <v>1.1446161732321101E-3</v>
      </c>
      <c r="AC1389" s="16">
        <f t="shared" si="524"/>
        <v>2.3107934687074676E-3</v>
      </c>
    </row>
    <row r="1390" spans="1:29" x14ac:dyDescent="0.15">
      <c r="A1390" s="8">
        <v>42921</v>
      </c>
      <c r="B1390" s="4">
        <v>2432.54</v>
      </c>
      <c r="C1390" s="1">
        <v>10.522600000000001</v>
      </c>
      <c r="D1390" s="1">
        <v>2.0299999999999998</v>
      </c>
      <c r="E1390" s="1">
        <v>1.331</v>
      </c>
      <c r="F1390" s="4">
        <f t="shared" si="514"/>
        <v>0.105226</v>
      </c>
      <c r="G1390" s="4">
        <f t="shared" si="515"/>
        <v>2.0299999999999999E-2</v>
      </c>
      <c r="H1390" s="4">
        <f t="shared" si="516"/>
        <v>1.3309999999999999E-2</v>
      </c>
      <c r="I1390" s="3">
        <f t="shared" si="517"/>
        <v>52.907595481004336</v>
      </c>
      <c r="J1390" s="4">
        <f t="shared" si="527"/>
        <v>1772833.8393134524</v>
      </c>
      <c r="K1390" s="1">
        <f t="shared" si="528"/>
        <v>2394.02</v>
      </c>
      <c r="L1390" s="5">
        <f t="shared" si="529"/>
        <v>0.12876712328767151</v>
      </c>
      <c r="M1390" s="5">
        <f t="shared" si="530"/>
        <v>-0.33717453133173508</v>
      </c>
      <c r="N1390" s="5">
        <f t="shared" si="531"/>
        <v>20.985421158763145</v>
      </c>
      <c r="O1390" s="1">
        <f t="shared" si="532"/>
        <v>0</v>
      </c>
      <c r="P1390" s="1">
        <f t="shared" si="533"/>
        <v>2394.02</v>
      </c>
      <c r="Q1390" s="5">
        <f t="shared" si="534"/>
        <v>0.12876712328767151</v>
      </c>
      <c r="R1390" s="5">
        <f t="shared" si="535"/>
        <v>-0.33717453133173508</v>
      </c>
      <c r="S1390" s="5">
        <f t="shared" si="518"/>
        <v>20.985421158763145</v>
      </c>
      <c r="T1390" s="5">
        <f t="shared" si="519"/>
        <v>-724.44720898111916</v>
      </c>
      <c r="U1390" s="4">
        <f t="shared" si="520"/>
        <v>1772919.6638995912</v>
      </c>
      <c r="V1390" s="4">
        <f t="shared" si="536"/>
        <v>57.219160659553921</v>
      </c>
      <c r="W1390" s="4">
        <f t="shared" si="521"/>
        <v>1757716.8341118318</v>
      </c>
      <c r="X1390" s="4">
        <f t="shared" si="525"/>
        <v>1784.9259597051423</v>
      </c>
      <c r="Y1390" s="9">
        <f>SUM($X$6:X1390)</f>
        <v>757716.83411183185</v>
      </c>
      <c r="Z1390" s="16">
        <f t="shared" si="526"/>
        <v>0.75771683411183188</v>
      </c>
      <c r="AA1390" s="16">
        <f t="shared" si="522"/>
        <v>0.90479695550718064</v>
      </c>
      <c r="AB1390" s="16">
        <f t="shared" si="523"/>
        <v>1.0165120591626631E-3</v>
      </c>
      <c r="AC1390" s="16">
        <f t="shared" si="524"/>
        <v>1.4532669688472855E-3</v>
      </c>
    </row>
    <row r="1391" spans="1:29" x14ac:dyDescent="0.15">
      <c r="A1391" s="8">
        <v>42922</v>
      </c>
      <c r="B1391" s="4">
        <v>2409.75</v>
      </c>
      <c r="C1391" s="1">
        <v>11.304500000000001</v>
      </c>
      <c r="D1391" s="1">
        <v>2.0499999999999998</v>
      </c>
      <c r="E1391" s="1">
        <v>1.3331</v>
      </c>
      <c r="F1391" s="4">
        <f t="shared" si="514"/>
        <v>0.11304500000000001</v>
      </c>
      <c r="G1391" s="4">
        <f t="shared" si="515"/>
        <v>2.0499999999999997E-2</v>
      </c>
      <c r="H1391" s="4">
        <f t="shared" si="516"/>
        <v>1.3330999999999999E-2</v>
      </c>
      <c r="I1391" s="3">
        <f t="shared" si="517"/>
        <v>56.199505878707392</v>
      </c>
      <c r="J1391" s="4">
        <f t="shared" si="527"/>
        <v>1772919.6638995912</v>
      </c>
      <c r="K1391" s="1">
        <f t="shared" si="528"/>
        <v>2394.02</v>
      </c>
      <c r="L1391" s="5">
        <f t="shared" si="529"/>
        <v>0.12602739726027426</v>
      </c>
      <c r="M1391" s="5">
        <f t="shared" si="530"/>
        <v>-0.43502270453385755</v>
      </c>
      <c r="N1391" s="5">
        <f t="shared" si="531"/>
        <v>31.983359294572171</v>
      </c>
      <c r="O1391" s="1">
        <f t="shared" si="532"/>
        <v>0</v>
      </c>
      <c r="P1391" s="1">
        <f t="shared" si="533"/>
        <v>2394.02</v>
      </c>
      <c r="Q1391" s="5">
        <f t="shared" si="534"/>
        <v>0.12602739726027426</v>
      </c>
      <c r="R1391" s="5">
        <f t="shared" si="535"/>
        <v>-0.43502270453385755</v>
      </c>
      <c r="S1391" s="5">
        <f t="shared" si="518"/>
        <v>31.983359294572171</v>
      </c>
      <c r="T1391" s="5">
        <f t="shared" si="519"/>
        <v>-724.44720898111916</v>
      </c>
      <c r="U1391" s="4">
        <f t="shared" si="520"/>
        <v>1772976.8830602507</v>
      </c>
      <c r="V1391" s="4">
        <f t="shared" si="536"/>
        <v>28.610503674588703</v>
      </c>
      <c r="W1391" s="4">
        <f t="shared" si="521"/>
        <v>1749806.6276854575</v>
      </c>
      <c r="X1391" s="4">
        <f t="shared" si="525"/>
        <v>-7910.2064263743814</v>
      </c>
      <c r="Y1391" s="9">
        <f>SUM($X$6:X1391)</f>
        <v>749806.62768545747</v>
      </c>
      <c r="Z1391" s="16">
        <f t="shared" si="526"/>
        <v>0.74980662768545747</v>
      </c>
      <c r="AA1391" s="16">
        <f t="shared" si="522"/>
        <v>0.88695127871830615</v>
      </c>
      <c r="AB1391" s="16">
        <f t="shared" si="523"/>
        <v>-4.5002734643384019E-3</v>
      </c>
      <c r="AC1391" s="16">
        <f t="shared" si="524"/>
        <v>-9.3688079127167336E-3</v>
      </c>
    </row>
    <row r="1392" spans="1:29" x14ac:dyDescent="0.15">
      <c r="A1392" s="8">
        <v>42923</v>
      </c>
      <c r="B1392" s="4">
        <v>2425.1799999999998</v>
      </c>
      <c r="C1392" s="1">
        <v>10.683400000000001</v>
      </c>
      <c r="D1392" s="1">
        <v>2.0299999999999998</v>
      </c>
      <c r="E1392" s="1">
        <v>1.3342000000000001</v>
      </c>
      <c r="F1392" s="4">
        <f t="shared" si="514"/>
        <v>0.10683400000000001</v>
      </c>
      <c r="G1392" s="4">
        <f t="shared" si="515"/>
        <v>2.0299999999999999E-2</v>
      </c>
      <c r="H1392" s="4">
        <f t="shared" si="516"/>
        <v>1.3342E-2</v>
      </c>
      <c r="I1392" s="3">
        <f t="shared" si="517"/>
        <v>53.51028971826463</v>
      </c>
      <c r="J1392" s="4">
        <f t="shared" si="527"/>
        <v>1772976.8830602507</v>
      </c>
      <c r="K1392" s="1">
        <f t="shared" si="528"/>
        <v>2394.02</v>
      </c>
      <c r="L1392" s="5">
        <f t="shared" si="529"/>
        <v>0.123287671232877</v>
      </c>
      <c r="M1392" s="5">
        <f t="shared" si="530"/>
        <v>-0.36577611053121001</v>
      </c>
      <c r="N1392" s="5">
        <f t="shared" si="531"/>
        <v>23.314377421635264</v>
      </c>
      <c r="O1392" s="1">
        <f t="shared" si="532"/>
        <v>0</v>
      </c>
      <c r="P1392" s="1">
        <f t="shared" si="533"/>
        <v>2394.02</v>
      </c>
      <c r="Q1392" s="5">
        <f t="shared" si="534"/>
        <v>0.123287671232877</v>
      </c>
      <c r="R1392" s="5">
        <f t="shared" si="535"/>
        <v>-0.36577611053121001</v>
      </c>
      <c r="S1392" s="5">
        <f t="shared" si="518"/>
        <v>23.314377421635264</v>
      </c>
      <c r="T1392" s="5">
        <f t="shared" si="519"/>
        <v>-724.44720898111916</v>
      </c>
      <c r="U1392" s="4">
        <f t="shared" si="520"/>
        <v>1773005.4935639251</v>
      </c>
      <c r="V1392" s="4">
        <f t="shared" si="536"/>
        <v>28.610965361894571</v>
      </c>
      <c r="W1392" s="4">
        <f t="shared" si="521"/>
        <v>1756115.4579116891</v>
      </c>
      <c r="X1392" s="4">
        <f t="shared" si="525"/>
        <v>6308.8302262315992</v>
      </c>
      <c r="Y1392" s="9">
        <f>SUM($X$6:X1392)</f>
        <v>756115.45791168907</v>
      </c>
      <c r="Z1392" s="16">
        <f t="shared" si="526"/>
        <v>0.7561154579116891</v>
      </c>
      <c r="AA1392" s="16">
        <f t="shared" si="522"/>
        <v>0.8990337180711947</v>
      </c>
      <c r="AB1392" s="16">
        <f t="shared" si="523"/>
        <v>3.6054442396166674E-3</v>
      </c>
      <c r="AC1392" s="16">
        <f t="shared" si="524"/>
        <v>6.4031538541341783E-3</v>
      </c>
    </row>
    <row r="1393" spans="1:29" x14ac:dyDescent="0.15">
      <c r="A1393" s="8">
        <v>42926</v>
      </c>
      <c r="B1393" s="4">
        <v>2427.4299999999998</v>
      </c>
      <c r="C1393" s="1">
        <v>10.5564</v>
      </c>
      <c r="D1393" s="1">
        <v>2.0299999999999998</v>
      </c>
      <c r="E1393" s="1">
        <v>1.3331</v>
      </c>
      <c r="F1393" s="4">
        <f t="shared" si="514"/>
        <v>0.10556400000000001</v>
      </c>
      <c r="G1393" s="4">
        <f t="shared" si="515"/>
        <v>2.0299999999999999E-2</v>
      </c>
      <c r="H1393" s="4">
        <f t="shared" si="516"/>
        <v>1.3330999999999999E-2</v>
      </c>
      <c r="I1393" s="3">
        <f t="shared" si="517"/>
        <v>52.952427154958649</v>
      </c>
      <c r="J1393" s="4">
        <f t="shared" si="527"/>
        <v>1773005.4935639251</v>
      </c>
      <c r="K1393" s="1">
        <f t="shared" si="528"/>
        <v>2394.02</v>
      </c>
      <c r="L1393" s="5">
        <f t="shared" si="529"/>
        <v>0.11506849315068522</v>
      </c>
      <c r="M1393" s="5">
        <f t="shared" si="530"/>
        <v>-0.3502121942854472</v>
      </c>
      <c r="N1393" s="5">
        <f t="shared" si="531"/>
        <v>20.922263097830086</v>
      </c>
      <c r="O1393" s="1">
        <f t="shared" si="532"/>
        <v>0</v>
      </c>
      <c r="P1393" s="1">
        <f t="shared" si="533"/>
        <v>2394.02</v>
      </c>
      <c r="Q1393" s="5">
        <f t="shared" si="534"/>
        <v>0.11506849315068522</v>
      </c>
      <c r="R1393" s="5">
        <f t="shared" si="535"/>
        <v>-0.3502121942854472</v>
      </c>
      <c r="S1393" s="5">
        <f t="shared" si="518"/>
        <v>20.922263097830086</v>
      </c>
      <c r="T1393" s="5">
        <f t="shared" si="519"/>
        <v>-724.44720898111916</v>
      </c>
      <c r="U1393" s="4">
        <f t="shared" si="520"/>
        <v>1773034.104529287</v>
      </c>
      <c r="V1393" s="4">
        <f t="shared" si="536"/>
        <v>85.83428116995205</v>
      </c>
      <c r="W1393" s="4">
        <f t="shared" si="521"/>
        <v>1757877.0294224953</v>
      </c>
      <c r="X1393" s="4">
        <f t="shared" si="525"/>
        <v>1761.5715108062141</v>
      </c>
      <c r="Y1393" s="9">
        <f>SUM($X$6:X1393)</f>
        <v>757877.02942249528</v>
      </c>
      <c r="Z1393" s="16">
        <f t="shared" si="526"/>
        <v>0.75787702942249524</v>
      </c>
      <c r="AA1393" s="16">
        <f t="shared" si="522"/>
        <v>0.90079557734170668</v>
      </c>
      <c r="AB1393" s="16">
        <f t="shared" si="523"/>
        <v>1.0031068873461277E-3</v>
      </c>
      <c r="AC1393" s="16">
        <f t="shared" si="524"/>
        <v>9.2776618642739924E-4</v>
      </c>
    </row>
    <row r="1394" spans="1:29" x14ac:dyDescent="0.15">
      <c r="A1394" s="8">
        <v>42927</v>
      </c>
      <c r="B1394" s="4">
        <v>2425.5300000000002</v>
      </c>
      <c r="C1394" s="1">
        <v>10.452500000000001</v>
      </c>
      <c r="D1394" s="1">
        <v>2.04</v>
      </c>
      <c r="E1394" s="1">
        <v>1.3325</v>
      </c>
      <c r="F1394" s="4">
        <f t="shared" si="514"/>
        <v>0.10452500000000001</v>
      </c>
      <c r="G1394" s="4">
        <f t="shared" si="515"/>
        <v>2.0400000000000001E-2</v>
      </c>
      <c r="H1394" s="4">
        <f t="shared" si="516"/>
        <v>1.3325E-2</v>
      </c>
      <c r="I1394" s="3">
        <f t="shared" si="517"/>
        <v>52.443679071878073</v>
      </c>
      <c r="J1394" s="4">
        <f t="shared" si="527"/>
        <v>1773034.104529287</v>
      </c>
      <c r="K1394" s="1">
        <f t="shared" si="528"/>
        <v>2394.02</v>
      </c>
      <c r="L1394" s="5">
        <f t="shared" si="529"/>
        <v>0.11232876712328796</v>
      </c>
      <c r="M1394" s="5">
        <f t="shared" si="530"/>
        <v>-0.35558685670992357</v>
      </c>
      <c r="N1394" s="5">
        <f t="shared" si="531"/>
        <v>20.887906268295854</v>
      </c>
      <c r="O1394" s="1">
        <f t="shared" si="532"/>
        <v>0</v>
      </c>
      <c r="P1394" s="1">
        <f t="shared" si="533"/>
        <v>2394.02</v>
      </c>
      <c r="Q1394" s="5">
        <f t="shared" si="534"/>
        <v>0.11232876712328796</v>
      </c>
      <c r="R1394" s="5">
        <f t="shared" si="535"/>
        <v>-0.35558685670992357</v>
      </c>
      <c r="S1394" s="5">
        <f t="shared" si="518"/>
        <v>20.887906268295854</v>
      </c>
      <c r="T1394" s="5">
        <f t="shared" si="519"/>
        <v>-724.44720898111916</v>
      </c>
      <c r="U1394" s="4">
        <f t="shared" si="520"/>
        <v>1773119.938810457</v>
      </c>
      <c r="V1394" s="4">
        <f t="shared" si="536"/>
        <v>28.612812163270114</v>
      </c>
      <c r="W1394" s="4">
        <f t="shared" si="521"/>
        <v>1757987.7534129308</v>
      </c>
      <c r="X1394" s="4">
        <f t="shared" si="525"/>
        <v>110.72399043547921</v>
      </c>
      <c r="Y1394" s="9">
        <f>SUM($X$6:X1394)</f>
        <v>757987.75341293076</v>
      </c>
      <c r="Z1394" s="16">
        <f t="shared" si="526"/>
        <v>0.75798775341293079</v>
      </c>
      <c r="AA1394" s="16">
        <f t="shared" si="522"/>
        <v>0.89930778506883025</v>
      </c>
      <c r="AB1394" s="16">
        <f t="shared" si="523"/>
        <v>6.2987335622591701E-5</v>
      </c>
      <c r="AC1394" s="16">
        <f t="shared" si="524"/>
        <v>-7.827208199617028E-4</v>
      </c>
    </row>
    <row r="1395" spans="1:29" x14ac:dyDescent="0.15">
      <c r="A1395" s="8">
        <v>42928</v>
      </c>
      <c r="B1395" s="4">
        <v>2443.25</v>
      </c>
      <c r="C1395" s="1">
        <v>10.011799999999999</v>
      </c>
      <c r="D1395" s="1">
        <v>2.02</v>
      </c>
      <c r="E1395" s="1">
        <v>1.3322000000000001</v>
      </c>
      <c r="F1395" s="4">
        <f t="shared" si="514"/>
        <v>0.10011799999999998</v>
      </c>
      <c r="G1395" s="4">
        <f t="shared" si="515"/>
        <v>2.0199999999999999E-2</v>
      </c>
      <c r="H1395" s="4">
        <f t="shared" si="516"/>
        <v>1.3322000000000001E-2</v>
      </c>
      <c r="I1395" s="3">
        <f t="shared" si="517"/>
        <v>50.632812391976316</v>
      </c>
      <c r="J1395" s="4">
        <f t="shared" si="527"/>
        <v>1773119.938810457</v>
      </c>
      <c r="K1395" s="1">
        <f t="shared" si="528"/>
        <v>2394.02</v>
      </c>
      <c r="L1395" s="5">
        <f t="shared" si="529"/>
        <v>0.1095890410958907</v>
      </c>
      <c r="M1395" s="5">
        <f t="shared" si="530"/>
        <v>-0.27099797633209988</v>
      </c>
      <c r="N1395" s="5">
        <f t="shared" si="531"/>
        <v>13.683938064837754</v>
      </c>
      <c r="O1395" s="1">
        <f t="shared" si="532"/>
        <v>0</v>
      </c>
      <c r="P1395" s="1">
        <f t="shared" si="533"/>
        <v>2394.02</v>
      </c>
      <c r="Q1395" s="5">
        <f t="shared" si="534"/>
        <v>0.1095890410958907</v>
      </c>
      <c r="R1395" s="5">
        <f t="shared" si="535"/>
        <v>-0.27099797633209988</v>
      </c>
      <c r="S1395" s="5">
        <f t="shared" si="518"/>
        <v>13.683938064837754</v>
      </c>
      <c r="T1395" s="5">
        <f t="shared" si="519"/>
        <v>-724.44720898111916</v>
      </c>
      <c r="U1395" s="4">
        <f t="shared" si="520"/>
        <v>1773148.5516226203</v>
      </c>
      <c r="V1395" s="4">
        <f t="shared" si="536"/>
        <v>28.613273887828033</v>
      </c>
      <c r="W1395" s="4">
        <f t="shared" si="521"/>
        <v>1763235.2608836782</v>
      </c>
      <c r="X1395" s="4">
        <f t="shared" si="525"/>
        <v>5247.507470747456</v>
      </c>
      <c r="Y1395" s="9">
        <f>SUM($X$6:X1395)</f>
        <v>763235.26088367822</v>
      </c>
      <c r="Z1395" s="16">
        <f t="shared" si="526"/>
        <v>0.76323526088367821</v>
      </c>
      <c r="AA1395" s="16">
        <f t="shared" si="522"/>
        <v>0.91318340563481759</v>
      </c>
      <c r="AB1395" s="16">
        <f t="shared" si="523"/>
        <v>2.9849510956831324E-3</v>
      </c>
      <c r="AC1395" s="16">
        <f t="shared" si="524"/>
        <v>7.3056198026822169E-3</v>
      </c>
    </row>
    <row r="1396" spans="1:29" x14ac:dyDescent="0.15">
      <c r="A1396" s="8">
        <v>42929</v>
      </c>
      <c r="B1396" s="4">
        <v>2447.83</v>
      </c>
      <c r="C1396" s="1">
        <v>9.7820999999999998</v>
      </c>
      <c r="D1396" s="1">
        <v>2.02</v>
      </c>
      <c r="E1396" s="1">
        <v>1.3326</v>
      </c>
      <c r="F1396" s="4">
        <f t="shared" si="514"/>
        <v>9.7820999999999991E-2</v>
      </c>
      <c r="G1396" s="4">
        <f t="shared" si="515"/>
        <v>2.0199999999999999E-2</v>
      </c>
      <c r="H1396" s="4">
        <f t="shared" si="516"/>
        <v>1.3325999999999999E-2</v>
      </c>
      <c r="I1396" s="3">
        <f t="shared" si="517"/>
        <v>49.612112103849007</v>
      </c>
      <c r="J1396" s="4">
        <f t="shared" si="527"/>
        <v>1773148.5516226203</v>
      </c>
      <c r="K1396" s="1">
        <f t="shared" si="528"/>
        <v>2394.02</v>
      </c>
      <c r="L1396" s="5">
        <f t="shared" si="529"/>
        <v>0.10684931506849343</v>
      </c>
      <c r="M1396" s="5">
        <f t="shared" si="530"/>
        <v>-0.24514239770744578</v>
      </c>
      <c r="N1396" s="5">
        <f t="shared" si="531"/>
        <v>11.568473047848643</v>
      </c>
      <c r="O1396" s="1">
        <f t="shared" si="532"/>
        <v>0</v>
      </c>
      <c r="P1396" s="1">
        <f t="shared" si="533"/>
        <v>2394.02</v>
      </c>
      <c r="Q1396" s="5">
        <f t="shared" si="534"/>
        <v>0.10684931506849343</v>
      </c>
      <c r="R1396" s="5">
        <f t="shared" si="535"/>
        <v>-0.24514239770744578</v>
      </c>
      <c r="S1396" s="5">
        <f t="shared" si="518"/>
        <v>11.568473047848643</v>
      </c>
      <c r="T1396" s="5">
        <f t="shared" si="519"/>
        <v>-724.44720898111916</v>
      </c>
      <c r="U1396" s="4">
        <f t="shared" si="520"/>
        <v>1773177.1648965082</v>
      </c>
      <c r="V1396" s="4">
        <f t="shared" si="536"/>
        <v>28.613735619836799</v>
      </c>
      <c r="W1396" s="4">
        <f t="shared" si="521"/>
        <v>1764796.4168848209</v>
      </c>
      <c r="X1396" s="4">
        <f t="shared" si="525"/>
        <v>1561.1560011426918</v>
      </c>
      <c r="Y1396" s="9">
        <f>SUM($X$6:X1396)</f>
        <v>764796.41688482091</v>
      </c>
      <c r="Z1396" s="16">
        <f t="shared" si="526"/>
        <v>0.76479641688482092</v>
      </c>
      <c r="AA1396" s="16">
        <f t="shared" si="522"/>
        <v>0.91676976806101518</v>
      </c>
      <c r="AB1396" s="16">
        <f t="shared" si="523"/>
        <v>8.8539291141460582E-4</v>
      </c>
      <c r="AC1396" s="16">
        <f t="shared" si="524"/>
        <v>1.8745523380742566E-3</v>
      </c>
    </row>
    <row r="1397" spans="1:29" x14ac:dyDescent="0.15">
      <c r="A1397" s="8">
        <v>42930</v>
      </c>
      <c r="B1397" s="4">
        <v>2459.27</v>
      </c>
      <c r="C1397" s="1">
        <v>9.5687999999999995</v>
      </c>
      <c r="D1397" s="1">
        <v>2.0099999999999998</v>
      </c>
      <c r="E1397" s="1">
        <v>1.3326</v>
      </c>
      <c r="F1397" s="4">
        <f t="shared" si="514"/>
        <v>9.5687999999999995E-2</v>
      </c>
      <c r="G1397" s="4">
        <f t="shared" si="515"/>
        <v>2.0099999999999996E-2</v>
      </c>
      <c r="H1397" s="4">
        <f t="shared" si="516"/>
        <v>1.3325999999999999E-2</v>
      </c>
      <c r="I1397" s="3">
        <f t="shared" si="517"/>
        <v>48.773587191421427</v>
      </c>
      <c r="J1397" s="4">
        <f t="shared" si="527"/>
        <v>1773177.1648965082</v>
      </c>
      <c r="K1397" s="1">
        <f t="shared" si="528"/>
        <v>2394.02</v>
      </c>
      <c r="L1397" s="5">
        <f t="shared" si="529"/>
        <v>0.10410958904109617</v>
      </c>
      <c r="M1397" s="5">
        <f t="shared" si="530"/>
        <v>-0.19351105784048098</v>
      </c>
      <c r="N1397" s="5">
        <f t="shared" si="531"/>
        <v>8.2515123569134037</v>
      </c>
      <c r="O1397" s="1">
        <f t="shared" si="532"/>
        <v>0</v>
      </c>
      <c r="P1397" s="1">
        <f t="shared" si="533"/>
        <v>2394.02</v>
      </c>
      <c r="Q1397" s="5">
        <f t="shared" si="534"/>
        <v>0.10410958904109617</v>
      </c>
      <c r="R1397" s="5">
        <f t="shared" si="535"/>
        <v>-0.19351105784048098</v>
      </c>
      <c r="S1397" s="5">
        <f t="shared" si="518"/>
        <v>8.2515123569134037</v>
      </c>
      <c r="T1397" s="5">
        <f t="shared" si="519"/>
        <v>-724.44720898111916</v>
      </c>
      <c r="U1397" s="4">
        <f t="shared" si="520"/>
        <v>1773205.7786321281</v>
      </c>
      <c r="V1397" s="4">
        <f t="shared" si="536"/>
        <v>28.614197359296529</v>
      </c>
      <c r="W1397" s="4">
        <f t="shared" si="521"/>
        <v>1767227.9935352891</v>
      </c>
      <c r="X1397" s="4">
        <f t="shared" si="525"/>
        <v>2431.5766504681669</v>
      </c>
      <c r="Y1397" s="9">
        <f>SUM($X$6:X1397)</f>
        <v>767227.99353528908</v>
      </c>
      <c r="Z1397" s="16">
        <f t="shared" si="526"/>
        <v>0.76722799353528903</v>
      </c>
      <c r="AA1397" s="16">
        <f t="shared" si="522"/>
        <v>0.92572784364086269</v>
      </c>
      <c r="AB1397" s="16">
        <f t="shared" si="523"/>
        <v>1.3778227489606601E-3</v>
      </c>
      <c r="AC1397" s="16">
        <f t="shared" si="524"/>
        <v>4.6735271648766681E-3</v>
      </c>
    </row>
    <row r="1398" spans="1:29" x14ac:dyDescent="0.15">
      <c r="A1398" s="8">
        <v>42933</v>
      </c>
      <c r="B1398" s="4">
        <v>2459.14</v>
      </c>
      <c r="C1398" s="1">
        <v>9.5889000000000006</v>
      </c>
      <c r="D1398" s="1">
        <v>2.0099999999999998</v>
      </c>
      <c r="E1398" s="1">
        <v>1.3351</v>
      </c>
      <c r="F1398" s="4">
        <f t="shared" si="514"/>
        <v>9.5889000000000002E-2</v>
      </c>
      <c r="G1398" s="4">
        <f t="shared" si="515"/>
        <v>2.0099999999999996E-2</v>
      </c>
      <c r="H1398" s="4">
        <f t="shared" si="516"/>
        <v>1.3351E-2</v>
      </c>
      <c r="I1398" s="3">
        <f t="shared" si="517"/>
        <v>48.860972704509351</v>
      </c>
      <c r="J1398" s="4">
        <f t="shared" si="527"/>
        <v>1773205.7786321281</v>
      </c>
      <c r="K1398" s="1">
        <f t="shared" si="528"/>
        <v>2394.02</v>
      </c>
      <c r="L1398" s="5">
        <f t="shared" si="529"/>
        <v>9.5890410958904396E-2</v>
      </c>
      <c r="M1398" s="5">
        <f t="shared" si="530"/>
        <v>-0.18453355488590736</v>
      </c>
      <c r="N1398" s="5">
        <f t="shared" si="531"/>
        <v>7.4644778250305537</v>
      </c>
      <c r="O1398" s="1">
        <f t="shared" si="532"/>
        <v>0</v>
      </c>
      <c r="P1398" s="1">
        <f t="shared" si="533"/>
        <v>2394.02</v>
      </c>
      <c r="Q1398" s="5">
        <f t="shared" si="534"/>
        <v>9.5890410958904396E-2</v>
      </c>
      <c r="R1398" s="5">
        <f t="shared" si="535"/>
        <v>-0.18453355488590736</v>
      </c>
      <c r="S1398" s="5">
        <f t="shared" si="518"/>
        <v>7.4644778250305537</v>
      </c>
      <c r="T1398" s="5">
        <f t="shared" si="519"/>
        <v>-724.44720898111916</v>
      </c>
      <c r="U1398" s="4">
        <f t="shared" si="520"/>
        <v>1773234.3928294873</v>
      </c>
      <c r="V1398" s="4">
        <f t="shared" si="536"/>
        <v>85.843977318622024</v>
      </c>
      <c r="W1398" s="4">
        <f t="shared" si="521"/>
        <v>1767826.7727026425</v>
      </c>
      <c r="X1398" s="4">
        <f t="shared" si="525"/>
        <v>598.77916735340841</v>
      </c>
      <c r="Y1398" s="9">
        <f>SUM($X$6:X1398)</f>
        <v>767826.77270264248</v>
      </c>
      <c r="Z1398" s="16">
        <f t="shared" si="526"/>
        <v>0.76782677270264243</v>
      </c>
      <c r="AA1398" s="16">
        <f t="shared" si="522"/>
        <v>0.92562604732745524</v>
      </c>
      <c r="AB1398" s="16">
        <f t="shared" si="523"/>
        <v>3.3882394888707474E-4</v>
      </c>
      <c r="AC1398" s="16">
        <f t="shared" si="524"/>
        <v>-5.2861214913412981E-5</v>
      </c>
    </row>
    <row r="1399" spans="1:29" x14ac:dyDescent="0.15">
      <c r="A1399" s="8">
        <v>42934</v>
      </c>
      <c r="B1399" s="4">
        <v>2460.61</v>
      </c>
      <c r="C1399" s="1">
        <v>9.5132999999999992</v>
      </c>
      <c r="D1399" s="1">
        <v>2.0099999999999998</v>
      </c>
      <c r="E1399" s="1">
        <v>1.3360000000000001</v>
      </c>
      <c r="F1399" s="4">
        <f t="shared" si="514"/>
        <v>9.5132999999999995E-2</v>
      </c>
      <c r="G1399" s="4">
        <f t="shared" si="515"/>
        <v>2.0099999999999996E-2</v>
      </c>
      <c r="H1399" s="4">
        <f t="shared" si="516"/>
        <v>1.336E-2</v>
      </c>
      <c r="I1399" s="3">
        <f t="shared" si="517"/>
        <v>48.518623734041839</v>
      </c>
      <c r="J1399" s="4">
        <f t="shared" si="527"/>
        <v>1773234.3928294873</v>
      </c>
      <c r="K1399" s="1">
        <f t="shared" si="528"/>
        <v>2394.02</v>
      </c>
      <c r="L1399" s="5">
        <f t="shared" si="529"/>
        <v>9.3150684931507133E-2</v>
      </c>
      <c r="M1399" s="5">
        <f t="shared" si="530"/>
        <v>-0.17384923320737328</v>
      </c>
      <c r="N1399" s="5">
        <f t="shared" si="531"/>
        <v>6.7695912643779934</v>
      </c>
      <c r="O1399" s="1">
        <f t="shared" si="532"/>
        <v>0</v>
      </c>
      <c r="P1399" s="1">
        <f t="shared" si="533"/>
        <v>2394.02</v>
      </c>
      <c r="Q1399" s="5">
        <f t="shared" si="534"/>
        <v>9.3150684931507133E-2</v>
      </c>
      <c r="R1399" s="5">
        <f t="shared" si="535"/>
        <v>-0.17384923320737328</v>
      </c>
      <c r="S1399" s="5">
        <f t="shared" si="518"/>
        <v>6.7695912643779934</v>
      </c>
      <c r="T1399" s="5">
        <f t="shared" si="519"/>
        <v>-724.44720898111916</v>
      </c>
      <c r="U1399" s="4">
        <f t="shared" si="520"/>
        <v>1773320.2368068059</v>
      </c>
      <c r="V1399" s="4">
        <f t="shared" si="536"/>
        <v>28.616044369293387</v>
      </c>
      <c r="W1399" s="4">
        <f t="shared" si="521"/>
        <v>1768416.0253093843</v>
      </c>
      <c r="X1399" s="4">
        <f t="shared" si="525"/>
        <v>589.2526067418512</v>
      </c>
      <c r="Y1399" s="9">
        <f>SUM($X$6:X1399)</f>
        <v>768416.02530938433</v>
      </c>
      <c r="Z1399" s="16">
        <f t="shared" si="526"/>
        <v>0.76841602530938435</v>
      </c>
      <c r="AA1399" s="16">
        <f t="shared" si="522"/>
        <v>0.92677712871752327</v>
      </c>
      <c r="AB1399" s="16">
        <f t="shared" si="523"/>
        <v>3.3332033196952068E-4</v>
      </c>
      <c r="AC1399" s="16">
        <f t="shared" si="524"/>
        <v>5.9776995209717817E-4</v>
      </c>
    </row>
    <row r="1400" spans="1:29" x14ac:dyDescent="0.15">
      <c r="A1400" s="8">
        <v>42935</v>
      </c>
      <c r="B1400" s="4">
        <v>2473.83</v>
      </c>
      <c r="C1400" s="1">
        <v>9.2487999999999992</v>
      </c>
      <c r="D1400" s="1">
        <v>2</v>
      </c>
      <c r="E1400" s="1">
        <v>1.3355999999999999</v>
      </c>
      <c r="F1400" s="4">
        <f t="shared" si="514"/>
        <v>9.2487999999999987E-2</v>
      </c>
      <c r="G1400" s="4">
        <f t="shared" si="515"/>
        <v>0.02</v>
      </c>
      <c r="H1400" s="4">
        <f t="shared" si="516"/>
        <v>1.3356E-2</v>
      </c>
      <c r="I1400" s="3">
        <f t="shared" si="517"/>
        <v>47.452790959977442</v>
      </c>
      <c r="J1400" s="4">
        <f t="shared" si="527"/>
        <v>1773320.2368068059</v>
      </c>
      <c r="K1400" s="1">
        <f t="shared" si="528"/>
        <v>2394.02</v>
      </c>
      <c r="L1400" s="5">
        <f t="shared" si="529"/>
        <v>9.041095890410987E-2</v>
      </c>
      <c r="M1400" s="5">
        <f t="shared" si="530"/>
        <v>-0.12047684523368926</v>
      </c>
      <c r="N1400" s="5">
        <f t="shared" si="531"/>
        <v>4.1324573551470705</v>
      </c>
      <c r="O1400" s="1">
        <f t="shared" si="532"/>
        <v>0</v>
      </c>
      <c r="P1400" s="1">
        <f t="shared" si="533"/>
        <v>2394.02</v>
      </c>
      <c r="Q1400" s="5">
        <f t="shared" si="534"/>
        <v>9.041095890410987E-2</v>
      </c>
      <c r="R1400" s="5">
        <f t="shared" si="535"/>
        <v>-0.12047684523368926</v>
      </c>
      <c r="S1400" s="5">
        <f t="shared" si="518"/>
        <v>4.1324573551470705</v>
      </c>
      <c r="T1400" s="5">
        <f t="shared" si="519"/>
        <v>-724.44720898111916</v>
      </c>
      <c r="U1400" s="4">
        <f t="shared" si="520"/>
        <v>1773348.8528511752</v>
      </c>
      <c r="V1400" s="4">
        <f t="shared" si="536"/>
        <v>28.616506146009375</v>
      </c>
      <c r="W1400" s="4">
        <f t="shared" si="521"/>
        <v>1770355.1056540054</v>
      </c>
      <c r="X1400" s="4">
        <f t="shared" si="525"/>
        <v>1939.0803446210921</v>
      </c>
      <c r="Y1400" s="9">
        <f>SUM($X$6:X1400)</f>
        <v>770355.10565400543</v>
      </c>
      <c r="Z1400" s="16">
        <f t="shared" si="526"/>
        <v>0.77035510565400545</v>
      </c>
      <c r="AA1400" s="16">
        <f t="shared" si="522"/>
        <v>0.93712903074248666</v>
      </c>
      <c r="AB1400" s="16">
        <f t="shared" si="523"/>
        <v>1.096506883487357E-3</v>
      </c>
      <c r="AC1400" s="16">
        <f t="shared" si="524"/>
        <v>5.3726514969864381E-3</v>
      </c>
    </row>
    <row r="1401" spans="1:29" x14ac:dyDescent="0.15">
      <c r="A1401" s="8">
        <v>42936</v>
      </c>
      <c r="B1401" s="4">
        <v>2473.4499999999998</v>
      </c>
      <c r="C1401" s="1">
        <v>9.2210999999999999</v>
      </c>
      <c r="D1401" s="1">
        <v>2</v>
      </c>
      <c r="E1401" s="1">
        <v>1.3416999999999999</v>
      </c>
      <c r="F1401" s="4">
        <f t="shared" si="514"/>
        <v>9.2211000000000001E-2</v>
      </c>
      <c r="G1401" s="4">
        <f t="shared" si="515"/>
        <v>0.02</v>
      </c>
      <c r="H1401" s="4">
        <f t="shared" si="516"/>
        <v>1.3416999999999998E-2</v>
      </c>
      <c r="I1401" s="3">
        <f t="shared" si="517"/>
        <v>47.290087301865512</v>
      </c>
      <c r="J1401" s="4">
        <f t="shared" si="527"/>
        <v>1773348.8528511752</v>
      </c>
      <c r="K1401" s="1">
        <f t="shared" si="528"/>
        <v>2394.02</v>
      </c>
      <c r="L1401" s="5">
        <f t="shared" si="529"/>
        <v>8.7671232876712607E-2</v>
      </c>
      <c r="M1401" s="5">
        <f t="shared" si="530"/>
        <v>-0.11721437487357524</v>
      </c>
      <c r="N1401" s="5">
        <f t="shared" si="531"/>
        <v>3.9219635426113113</v>
      </c>
      <c r="O1401" s="1">
        <f t="shared" si="532"/>
        <v>0</v>
      </c>
      <c r="P1401" s="1">
        <f t="shared" si="533"/>
        <v>2394.02</v>
      </c>
      <c r="Q1401" s="5">
        <f t="shared" si="534"/>
        <v>8.7671232876712607E-2</v>
      </c>
      <c r="R1401" s="5">
        <f t="shared" si="535"/>
        <v>-0.11721437487357524</v>
      </c>
      <c r="S1401" s="5">
        <f t="shared" si="518"/>
        <v>3.9219635426113113</v>
      </c>
      <c r="T1401" s="5">
        <f t="shared" si="519"/>
        <v>-724.44720898111916</v>
      </c>
      <c r="U1401" s="4">
        <f t="shared" si="520"/>
        <v>1773377.4693573213</v>
      </c>
      <c r="V1401" s="4">
        <f t="shared" si="536"/>
        <v>28.616967930177047</v>
      </c>
      <c r="W1401" s="4">
        <f t="shared" si="521"/>
        <v>1770536.2138151508</v>
      </c>
      <c r="X1401" s="4">
        <f t="shared" si="525"/>
        <v>181.10816114535555</v>
      </c>
      <c r="Y1401" s="9">
        <f>SUM($X$6:X1401)</f>
        <v>770536.21381515078</v>
      </c>
      <c r="Z1401" s="16">
        <f t="shared" si="526"/>
        <v>0.77053621381515081</v>
      </c>
      <c r="AA1401" s="16">
        <f t="shared" si="522"/>
        <v>0.93683147228791119</v>
      </c>
      <c r="AB1401" s="16">
        <f t="shared" si="523"/>
        <v>1.023004709998283E-4</v>
      </c>
      <c r="AC1401" s="16">
        <f t="shared" si="524"/>
        <v>-1.5360796821127932E-4</v>
      </c>
    </row>
    <row r="1402" spans="1:29" x14ac:dyDescent="0.15">
      <c r="A1402" s="8">
        <v>42937</v>
      </c>
      <c r="B1402" s="4">
        <v>2472.54</v>
      </c>
      <c r="C1402" s="1">
        <v>9.1638999999999999</v>
      </c>
      <c r="D1402" s="1">
        <v>2</v>
      </c>
      <c r="E1402" s="1">
        <v>1.3435999999999999</v>
      </c>
      <c r="F1402" s="4">
        <f t="shared" si="514"/>
        <v>9.1638999999999998E-2</v>
      </c>
      <c r="G1402" s="4">
        <f t="shared" si="515"/>
        <v>0.02</v>
      </c>
      <c r="H1402" s="4">
        <f t="shared" si="516"/>
        <v>1.3435999999999998E-2</v>
      </c>
      <c r="I1402" s="3">
        <f t="shared" si="517"/>
        <v>46.986279491261925</v>
      </c>
      <c r="J1402" s="4">
        <f t="shared" si="527"/>
        <v>1773377.4693573213</v>
      </c>
      <c r="K1402" s="1">
        <f t="shared" si="528"/>
        <v>2394.02</v>
      </c>
      <c r="L1402" s="5">
        <f t="shared" si="529"/>
        <v>8.4931506849315344E-2</v>
      </c>
      <c r="M1402" s="5">
        <f t="shared" si="530"/>
        <v>-0.11470396069156895</v>
      </c>
      <c r="N1402" s="5">
        <f t="shared" si="531"/>
        <v>3.7340093898215403</v>
      </c>
      <c r="O1402" s="1">
        <f t="shared" si="532"/>
        <v>0</v>
      </c>
      <c r="P1402" s="1">
        <f t="shared" si="533"/>
        <v>2394.02</v>
      </c>
      <c r="Q1402" s="5">
        <f t="shared" si="534"/>
        <v>8.4931506849315344E-2</v>
      </c>
      <c r="R1402" s="5">
        <f t="shared" si="535"/>
        <v>-0.11470396069156895</v>
      </c>
      <c r="S1402" s="5">
        <f t="shared" si="518"/>
        <v>3.7340093898215403</v>
      </c>
      <c r="T1402" s="5">
        <f t="shared" si="519"/>
        <v>-724.44720898111916</v>
      </c>
      <c r="U1402" s="4">
        <f t="shared" si="520"/>
        <v>1773406.0863252515</v>
      </c>
      <c r="V1402" s="4">
        <f t="shared" si="536"/>
        <v>28.617429721796519</v>
      </c>
      <c r="W1402" s="4">
        <f t="shared" si="521"/>
        <v>1770700.9936444859</v>
      </c>
      <c r="X1402" s="4">
        <f t="shared" si="525"/>
        <v>164.77982933516614</v>
      </c>
      <c r="Y1402" s="9">
        <f>SUM($X$6:X1402)</f>
        <v>770700.99364448595</v>
      </c>
      <c r="Z1402" s="16">
        <f t="shared" si="526"/>
        <v>0.77070099364448597</v>
      </c>
      <c r="AA1402" s="16">
        <f t="shared" si="522"/>
        <v>0.93611889809405979</v>
      </c>
      <c r="AB1402" s="16">
        <f t="shared" si="523"/>
        <v>9.3067754304837757E-5</v>
      </c>
      <c r="AC1402" s="16">
        <f t="shared" si="524"/>
        <v>-3.679071741898379E-4</v>
      </c>
    </row>
    <row r="1403" spans="1:29" x14ac:dyDescent="0.15">
      <c r="A1403" s="8">
        <v>42940</v>
      </c>
      <c r="B1403" s="4">
        <v>2469.91</v>
      </c>
      <c r="C1403" s="1">
        <v>9.1923999999999992</v>
      </c>
      <c r="D1403" s="1">
        <v>2</v>
      </c>
      <c r="E1403" s="1">
        <v>1.3431</v>
      </c>
      <c r="F1403" s="4">
        <f t="shared" si="514"/>
        <v>9.1923999999999992E-2</v>
      </c>
      <c r="G1403" s="4">
        <f t="shared" si="515"/>
        <v>0.02</v>
      </c>
      <c r="H1403" s="4">
        <f t="shared" si="516"/>
        <v>1.3431E-2</v>
      </c>
      <c r="I1403" s="3">
        <f t="shared" si="517"/>
        <v>47.077418250321635</v>
      </c>
      <c r="J1403" s="4">
        <f t="shared" si="527"/>
        <v>1773406.0863252515</v>
      </c>
      <c r="K1403" s="1">
        <f t="shared" si="528"/>
        <v>2394.02</v>
      </c>
      <c r="L1403" s="5">
        <f t="shared" si="529"/>
        <v>7.6712328767123569E-2</v>
      </c>
      <c r="M1403" s="5">
        <f t="shared" si="530"/>
        <v>-0.11131099871894629</v>
      </c>
      <c r="N1403" s="5">
        <f t="shared" si="531"/>
        <v>3.4265500266844566</v>
      </c>
      <c r="O1403" s="1">
        <f t="shared" si="532"/>
        <v>0</v>
      </c>
      <c r="P1403" s="1">
        <f t="shared" si="533"/>
        <v>2394.02</v>
      </c>
      <c r="Q1403" s="5">
        <f t="shared" si="534"/>
        <v>7.6712328767123569E-2</v>
      </c>
      <c r="R1403" s="5">
        <f t="shared" si="535"/>
        <v>-0.11131099871894629</v>
      </c>
      <c r="S1403" s="5">
        <f t="shared" si="518"/>
        <v>3.4265500266844566</v>
      </c>
      <c r="T1403" s="5">
        <f t="shared" si="519"/>
        <v>-724.44720898111916</v>
      </c>
      <c r="U1403" s="4">
        <f t="shared" si="520"/>
        <v>1773434.7037549734</v>
      </c>
      <c r="V1403" s="4">
        <f t="shared" si="536"/>
        <v>85.853674562603771</v>
      </c>
      <c r="W1403" s="4">
        <f t="shared" si="521"/>
        <v>1770952.3491517077</v>
      </c>
      <c r="X1403" s="4">
        <f t="shared" si="525"/>
        <v>251.3555072217714</v>
      </c>
      <c r="Y1403" s="9">
        <f>SUM($X$6:X1403)</f>
        <v>770952.34915170772</v>
      </c>
      <c r="Z1403" s="16">
        <f t="shared" si="526"/>
        <v>0.77095234915170774</v>
      </c>
      <c r="AA1403" s="16">
        <f t="shared" si="522"/>
        <v>0.93405948036897246</v>
      </c>
      <c r="AB1403" s="16">
        <f t="shared" si="523"/>
        <v>1.4195254202937298E-4</v>
      </c>
      <c r="AC1403" s="16">
        <f t="shared" si="524"/>
        <v>-1.0636834995592019E-3</v>
      </c>
    </row>
    <row r="1404" spans="1:29" x14ac:dyDescent="0.15">
      <c r="A1404" s="8">
        <v>42941</v>
      </c>
      <c r="B1404" s="4">
        <v>2477.13</v>
      </c>
      <c r="C1404" s="1">
        <v>9.0711999999999993</v>
      </c>
      <c r="D1404" s="1">
        <v>2</v>
      </c>
      <c r="E1404" s="1">
        <v>1.3458999999999999</v>
      </c>
      <c r="F1404" s="4">
        <f t="shared" si="514"/>
        <v>9.0711999999999987E-2</v>
      </c>
      <c r="G1404" s="4">
        <f t="shared" si="515"/>
        <v>0.02</v>
      </c>
      <c r="H1404" s="4">
        <f t="shared" si="516"/>
        <v>1.3458999999999999E-2</v>
      </c>
      <c r="I1404" s="3">
        <f t="shared" si="517"/>
        <v>46.610991615490647</v>
      </c>
      <c r="J1404" s="4">
        <f t="shared" si="527"/>
        <v>1773434.7037549734</v>
      </c>
      <c r="K1404" s="1">
        <f t="shared" si="528"/>
        <v>2394.02</v>
      </c>
      <c r="L1404" s="5">
        <f t="shared" si="529"/>
        <v>7.3972602739726306E-2</v>
      </c>
      <c r="M1404" s="5">
        <f t="shared" si="530"/>
        <v>-8.4293436974388486E-2</v>
      </c>
      <c r="N1404" s="5">
        <f t="shared" si="531"/>
        <v>2.382576315063353</v>
      </c>
      <c r="O1404" s="1">
        <f t="shared" si="532"/>
        <v>0</v>
      </c>
      <c r="P1404" s="1">
        <f t="shared" si="533"/>
        <v>2394.02</v>
      </c>
      <c r="Q1404" s="5">
        <f t="shared" si="534"/>
        <v>7.3972602739726306E-2</v>
      </c>
      <c r="R1404" s="5">
        <f t="shared" si="535"/>
        <v>-8.4293436974388486E-2</v>
      </c>
      <c r="S1404" s="5">
        <f t="shared" si="518"/>
        <v>2.382576315063353</v>
      </c>
      <c r="T1404" s="5">
        <f t="shared" si="519"/>
        <v>-724.44720898111916</v>
      </c>
      <c r="U1404" s="4">
        <f t="shared" si="520"/>
        <v>1773520.557429536</v>
      </c>
      <c r="V1404" s="4">
        <f t="shared" si="536"/>
        <v>28.619276940438262</v>
      </c>
      <c r="W1404" s="4">
        <f t="shared" si="521"/>
        <v>1771794.5066679039</v>
      </c>
      <c r="X1404" s="4">
        <f t="shared" si="525"/>
        <v>842.15751619613729</v>
      </c>
      <c r="Y1404" s="9">
        <f>SUM($X$6:X1404)</f>
        <v>771794.50666790386</v>
      </c>
      <c r="Z1404" s="16">
        <f t="shared" si="526"/>
        <v>0.77179450666790383</v>
      </c>
      <c r="AA1404" s="16">
        <f t="shared" si="522"/>
        <v>0.93971309100590439</v>
      </c>
      <c r="AB1404" s="16">
        <f t="shared" si="523"/>
        <v>4.7553934277200265E-4</v>
      </c>
      <c r="AC1404" s="16">
        <f t="shared" si="524"/>
        <v>2.9231834358337976E-3</v>
      </c>
    </row>
    <row r="1405" spans="1:29" x14ac:dyDescent="0.15">
      <c r="A1405" s="8">
        <v>42942</v>
      </c>
      <c r="B1405" s="4">
        <v>2477.83</v>
      </c>
      <c r="C1405" s="1">
        <v>9.0509000000000004</v>
      </c>
      <c r="D1405" s="1">
        <v>2</v>
      </c>
      <c r="E1405" s="1">
        <v>1.3425</v>
      </c>
      <c r="F1405" s="4">
        <f t="shared" si="514"/>
        <v>9.0509000000000006E-2</v>
      </c>
      <c r="G1405" s="4">
        <f t="shared" si="515"/>
        <v>0.02</v>
      </c>
      <c r="H1405" s="4">
        <f t="shared" si="516"/>
        <v>1.3424999999999999E-2</v>
      </c>
      <c r="I1405" s="3">
        <f t="shared" si="517"/>
        <v>46.535431544433294</v>
      </c>
      <c r="J1405" s="4">
        <f t="shared" si="527"/>
        <v>1773520.557429536</v>
      </c>
      <c r="K1405" s="1">
        <f t="shared" si="528"/>
        <v>2394.02</v>
      </c>
      <c r="L1405" s="5">
        <f t="shared" si="529"/>
        <v>7.1232876712329044E-2</v>
      </c>
      <c r="M1405" s="5">
        <f t="shared" si="530"/>
        <v>-7.8111812520802695E-2</v>
      </c>
      <c r="N1405" s="5">
        <f t="shared" si="531"/>
        <v>2.1308338715855997</v>
      </c>
      <c r="O1405" s="1">
        <f t="shared" si="532"/>
        <v>0</v>
      </c>
      <c r="P1405" s="1">
        <f t="shared" si="533"/>
        <v>2394.02</v>
      </c>
      <c r="Q1405" s="5">
        <f t="shared" si="534"/>
        <v>7.1232876712329044E-2</v>
      </c>
      <c r="R1405" s="5">
        <f t="shared" si="535"/>
        <v>-7.8111812520802695E-2</v>
      </c>
      <c r="S1405" s="5">
        <f t="shared" si="518"/>
        <v>2.1308338715855997</v>
      </c>
      <c r="T1405" s="5">
        <f t="shared" si="519"/>
        <v>-724.44720898111916</v>
      </c>
      <c r="U1405" s="4">
        <f t="shared" si="520"/>
        <v>1773549.1767064764</v>
      </c>
      <c r="V1405" s="4">
        <f t="shared" si="536"/>
        <v>28.619738769318204</v>
      </c>
      <c r="W1405" s="4">
        <f t="shared" si="521"/>
        <v>1772005.5000554037</v>
      </c>
      <c r="X1405" s="4">
        <f t="shared" si="525"/>
        <v>210.99338749982417</v>
      </c>
      <c r="Y1405" s="9">
        <f>SUM($X$6:X1405)</f>
        <v>772005.50005540368</v>
      </c>
      <c r="Z1405" s="16">
        <f t="shared" si="526"/>
        <v>0.77200550005540369</v>
      </c>
      <c r="AA1405" s="16">
        <f t="shared" si="522"/>
        <v>0.94026122500117459</v>
      </c>
      <c r="AB1405" s="16">
        <f t="shared" si="523"/>
        <v>1.1908457030754961E-4</v>
      </c>
      <c r="AC1405" s="16">
        <f t="shared" si="524"/>
        <v>2.8258508838850525E-4</v>
      </c>
    </row>
    <row r="1406" spans="1:29" x14ac:dyDescent="0.15">
      <c r="A1406" s="8">
        <v>42943</v>
      </c>
      <c r="B1406" s="4">
        <v>2475.42</v>
      </c>
      <c r="C1406" s="1">
        <v>9.1966000000000001</v>
      </c>
      <c r="D1406" s="1">
        <v>2</v>
      </c>
      <c r="E1406" s="1">
        <v>1.3402000000000001</v>
      </c>
      <c r="F1406" s="4">
        <f t="shared" si="514"/>
        <v>9.1966000000000006E-2</v>
      </c>
      <c r="G1406" s="4">
        <f t="shared" si="515"/>
        <v>0.02</v>
      </c>
      <c r="H1406" s="4">
        <f t="shared" si="516"/>
        <v>1.3402000000000001E-2</v>
      </c>
      <c r="I1406" s="3">
        <f t="shared" si="517"/>
        <v>47.212382815839916</v>
      </c>
      <c r="J1406" s="4">
        <f t="shared" si="527"/>
        <v>1773549.1767064764</v>
      </c>
      <c r="K1406" s="1">
        <f t="shared" si="528"/>
        <v>2394.02</v>
      </c>
      <c r="L1406" s="5">
        <f t="shared" si="529"/>
        <v>6.8493150684931781E-2</v>
      </c>
      <c r="M1406" s="5">
        <f t="shared" si="530"/>
        <v>-8.3301263841308676E-2</v>
      </c>
      <c r="N1406" s="5">
        <f t="shared" si="531"/>
        <v>2.289560093234948</v>
      </c>
      <c r="O1406" s="1">
        <f t="shared" si="532"/>
        <v>0</v>
      </c>
      <c r="P1406" s="1">
        <f t="shared" si="533"/>
        <v>2394.02</v>
      </c>
      <c r="Q1406" s="5">
        <f t="shared" si="534"/>
        <v>6.8493150684931781E-2</v>
      </c>
      <c r="R1406" s="5">
        <f t="shared" si="535"/>
        <v>-8.3301263841308676E-2</v>
      </c>
      <c r="S1406" s="5">
        <f t="shared" si="518"/>
        <v>2.289560093234948</v>
      </c>
      <c r="T1406" s="5">
        <f t="shared" si="519"/>
        <v>-724.44720898111916</v>
      </c>
      <c r="U1406" s="4">
        <f t="shared" si="520"/>
        <v>1773577.7964452456</v>
      </c>
      <c r="V1406" s="4">
        <f t="shared" si="536"/>
        <v>28.62020060565067</v>
      </c>
      <c r="W1406" s="4">
        <f t="shared" si="521"/>
        <v>1771919.1310259071</v>
      </c>
      <c r="X1406" s="4">
        <f t="shared" si="525"/>
        <v>-86.369029496563599</v>
      </c>
      <c r="Y1406" s="9">
        <f>SUM($X$6:X1406)</f>
        <v>771919.13102590712</v>
      </c>
      <c r="Z1406" s="16">
        <f t="shared" si="526"/>
        <v>0.77191913102590715</v>
      </c>
      <c r="AA1406" s="16">
        <f t="shared" si="522"/>
        <v>0.93837407796031524</v>
      </c>
      <c r="AB1406" s="16">
        <f t="shared" si="523"/>
        <v>-4.8740836015386622E-5</v>
      </c>
      <c r="AC1406" s="16">
        <f t="shared" si="524"/>
        <v>-9.7262524063388312E-4</v>
      </c>
    </row>
    <row r="1407" spans="1:29" x14ac:dyDescent="0.15">
      <c r="A1407" s="8">
        <v>42944</v>
      </c>
      <c r="B1407" s="4">
        <v>2472.1</v>
      </c>
      <c r="C1407" s="1">
        <v>9.4024000000000001</v>
      </c>
      <c r="D1407" s="1">
        <v>2</v>
      </c>
      <c r="E1407" s="1">
        <v>1.3397000000000001</v>
      </c>
      <c r="F1407" s="4">
        <f t="shared" si="514"/>
        <v>9.4023999999999996E-2</v>
      </c>
      <c r="G1407" s="4">
        <f t="shared" si="515"/>
        <v>0.02</v>
      </c>
      <c r="H1407" s="4">
        <f t="shared" si="516"/>
        <v>1.3397000000000001E-2</v>
      </c>
      <c r="I1407" s="3">
        <f t="shared" si="517"/>
        <v>48.158988221210535</v>
      </c>
      <c r="J1407" s="4">
        <f t="shared" si="527"/>
        <v>1773577.7964452456</v>
      </c>
      <c r="K1407" s="1">
        <f t="shared" si="528"/>
        <v>2394.02</v>
      </c>
      <c r="L1407" s="5">
        <f t="shared" si="529"/>
        <v>6.5753424657534518E-2</v>
      </c>
      <c r="M1407" s="5">
        <f t="shared" si="530"/>
        <v>-9.2431576161024792E-2</v>
      </c>
      <c r="N1407" s="5">
        <f t="shared" si="531"/>
        <v>2.5936564333898606</v>
      </c>
      <c r="O1407" s="1">
        <f t="shared" si="532"/>
        <v>0</v>
      </c>
      <c r="P1407" s="1">
        <f t="shared" si="533"/>
        <v>2394.02</v>
      </c>
      <c r="Q1407" s="5">
        <f t="shared" si="534"/>
        <v>6.5753424657534518E-2</v>
      </c>
      <c r="R1407" s="5">
        <f t="shared" si="535"/>
        <v>-9.2431576161024792E-2</v>
      </c>
      <c r="S1407" s="5">
        <f t="shared" si="518"/>
        <v>2.5936564333898606</v>
      </c>
      <c r="T1407" s="5">
        <f t="shared" si="519"/>
        <v>-724.44720898111916</v>
      </c>
      <c r="U1407" s="4">
        <f t="shared" si="520"/>
        <v>1773606.4166458512</v>
      </c>
      <c r="V1407" s="4">
        <f t="shared" si="536"/>
        <v>28.620662449435788</v>
      </c>
      <c r="W1407" s="4">
        <f t="shared" si="521"/>
        <v>1771727.449481626</v>
      </c>
      <c r="X1407" s="4">
        <f t="shared" si="525"/>
        <v>-191.68154428107664</v>
      </c>
      <c r="Y1407" s="9">
        <f>SUM($X$6:X1407)</f>
        <v>771727.44948162604</v>
      </c>
      <c r="Z1407" s="16">
        <f t="shared" si="526"/>
        <v>0.77172744948162608</v>
      </c>
      <c r="AA1407" s="16">
        <f t="shared" si="522"/>
        <v>0.93577435672560416</v>
      </c>
      <c r="AB1407" s="16">
        <f t="shared" si="523"/>
        <v>-1.0817736595580223E-4</v>
      </c>
      <c r="AC1407" s="16">
        <f t="shared" si="524"/>
        <v>-1.3411865461215324E-3</v>
      </c>
    </row>
    <row r="1408" spans="1:29" x14ac:dyDescent="0.15">
      <c r="A1408" s="8">
        <v>42947</v>
      </c>
      <c r="B1408" s="4">
        <v>2470.3000000000002</v>
      </c>
      <c r="C1408" s="1">
        <v>9.4459999999999997</v>
      </c>
      <c r="D1408" s="1">
        <v>2</v>
      </c>
      <c r="E1408" s="1">
        <v>1.3397000000000001</v>
      </c>
      <c r="F1408" s="4">
        <f t="shared" si="514"/>
        <v>9.4460000000000002E-2</v>
      </c>
      <c r="G1408" s="4">
        <f t="shared" si="515"/>
        <v>0.02</v>
      </c>
      <c r="H1408" s="4">
        <f t="shared" si="516"/>
        <v>1.3397000000000001E-2</v>
      </c>
      <c r="I1408" s="3">
        <f t="shared" si="517"/>
        <v>48.337387325280211</v>
      </c>
      <c r="J1408" s="4">
        <f t="shared" si="527"/>
        <v>1773606.4166458512</v>
      </c>
      <c r="K1408" s="1">
        <f t="shared" si="528"/>
        <v>2394.02</v>
      </c>
      <c r="L1408" s="5">
        <f t="shared" si="529"/>
        <v>5.7534246575342736E-2</v>
      </c>
      <c r="M1408" s="5">
        <f t="shared" si="530"/>
        <v>-8.3865867234468358E-2</v>
      </c>
      <c r="N1408" s="5">
        <f t="shared" si="531"/>
        <v>2.1669160351970174</v>
      </c>
      <c r="O1408" s="1">
        <f t="shared" si="532"/>
        <v>0</v>
      </c>
      <c r="P1408" s="1">
        <f t="shared" si="533"/>
        <v>2394.02</v>
      </c>
      <c r="Q1408" s="5">
        <f t="shared" si="534"/>
        <v>5.7534246575342736E-2</v>
      </c>
      <c r="R1408" s="5">
        <f t="shared" si="535"/>
        <v>-8.3865867234468358E-2</v>
      </c>
      <c r="S1408" s="5">
        <f t="shared" si="518"/>
        <v>2.1669160351970174</v>
      </c>
      <c r="T1408" s="5">
        <f t="shared" si="519"/>
        <v>-724.44720898111916</v>
      </c>
      <c r="U1408" s="4">
        <f t="shared" si="520"/>
        <v>1773635.0373083006</v>
      </c>
      <c r="V1408" s="4">
        <f t="shared" si="536"/>
        <v>85.863372902021013</v>
      </c>
      <c r="W1408" s="4">
        <f t="shared" si="521"/>
        <v>1772065.2210345056</v>
      </c>
      <c r="X1408" s="4">
        <f t="shared" si="525"/>
        <v>337.77155287959613</v>
      </c>
      <c r="Y1408" s="9">
        <f>SUM($X$6:X1408)</f>
        <v>772065.22103450564</v>
      </c>
      <c r="Z1408" s="16">
        <f t="shared" si="526"/>
        <v>0.77206522103450559</v>
      </c>
      <c r="AA1408" s="16">
        <f t="shared" si="522"/>
        <v>0.93436486930919482</v>
      </c>
      <c r="AB1408" s="16">
        <f t="shared" si="523"/>
        <v>1.9064532356735892E-4</v>
      </c>
      <c r="AC1408" s="16">
        <f t="shared" si="524"/>
        <v>-7.2812588487509696E-4</v>
      </c>
    </row>
    <row r="1409" spans="1:29" x14ac:dyDescent="0.15">
      <c r="A1409" s="8">
        <v>42948</v>
      </c>
      <c r="B1409" s="4">
        <v>2476.35</v>
      </c>
      <c r="C1409" s="1">
        <v>9.1748999999999992</v>
      </c>
      <c r="D1409" s="1">
        <v>2</v>
      </c>
      <c r="E1409" s="1">
        <v>1.3397000000000001</v>
      </c>
      <c r="F1409" s="4">
        <f t="shared" si="514"/>
        <v>9.1748999999999997E-2</v>
      </c>
      <c r="G1409" s="4">
        <f t="shared" si="515"/>
        <v>0.02</v>
      </c>
      <c r="H1409" s="4">
        <f t="shared" si="516"/>
        <v>1.3397000000000001E-2</v>
      </c>
      <c r="I1409" s="3">
        <f t="shared" si="517"/>
        <v>47.125229571728113</v>
      </c>
      <c r="J1409" s="4">
        <f t="shared" si="527"/>
        <v>1773635.0373083006</v>
      </c>
      <c r="K1409" s="1">
        <f t="shared" si="528"/>
        <v>2394.02</v>
      </c>
      <c r="L1409" s="5">
        <f t="shared" si="529"/>
        <v>5.4794520547945473E-2</v>
      </c>
      <c r="M1409" s="5">
        <f t="shared" si="530"/>
        <v>-5.834990838123727E-2</v>
      </c>
      <c r="N1409" s="5">
        <f t="shared" si="531"/>
        <v>1.3412738654101946</v>
      </c>
      <c r="O1409" s="1">
        <f t="shared" si="532"/>
        <v>0</v>
      </c>
      <c r="P1409" s="1">
        <f t="shared" si="533"/>
        <v>2394.02</v>
      </c>
      <c r="Q1409" s="5">
        <f t="shared" si="534"/>
        <v>5.4794520547945473E-2</v>
      </c>
      <c r="R1409" s="5">
        <f t="shared" si="535"/>
        <v>-5.834990838123727E-2</v>
      </c>
      <c r="S1409" s="5">
        <f t="shared" si="518"/>
        <v>1.3412738654101946</v>
      </c>
      <c r="T1409" s="5">
        <f t="shared" si="519"/>
        <v>-724.44720898111916</v>
      </c>
      <c r="U1409" s="4">
        <f t="shared" si="520"/>
        <v>1773720.9006812025</v>
      </c>
      <c r="V1409" s="4">
        <f t="shared" si="536"/>
        <v>28.622509876745976</v>
      </c>
      <c r="W1409" s="4">
        <f t="shared" si="521"/>
        <v>1772749.2185729267</v>
      </c>
      <c r="X1409" s="4">
        <f t="shared" si="525"/>
        <v>683.9975384210702</v>
      </c>
      <c r="Y1409" s="9">
        <f>SUM($X$6:X1409)</f>
        <v>772749.21857292671</v>
      </c>
      <c r="Z1409" s="16">
        <f t="shared" si="526"/>
        <v>0.77274921857292667</v>
      </c>
      <c r="AA1409" s="16">
        <f t="shared" si="522"/>
        <v>0.93910231312546</v>
      </c>
      <c r="AB1409" s="16">
        <f t="shared" si="523"/>
        <v>3.8598891863684479E-4</v>
      </c>
      <c r="AC1409" s="16">
        <f t="shared" si="524"/>
        <v>2.4490952515887651E-3</v>
      </c>
    </row>
    <row r="1410" spans="1:29" x14ac:dyDescent="0.15">
      <c r="A1410" s="8">
        <v>42949</v>
      </c>
      <c r="B1410" s="4">
        <v>2477.5700000000002</v>
      </c>
      <c r="C1410" s="1">
        <v>9.3529</v>
      </c>
      <c r="D1410" s="1">
        <v>2</v>
      </c>
      <c r="E1410" s="1">
        <v>1.3412999999999999</v>
      </c>
      <c r="F1410" s="4">
        <f t="shared" si="514"/>
        <v>9.3529000000000001E-2</v>
      </c>
      <c r="G1410" s="4">
        <f t="shared" si="515"/>
        <v>0.02</v>
      </c>
      <c r="H1410" s="4">
        <f t="shared" si="516"/>
        <v>1.3413E-2</v>
      </c>
      <c r="I1410" s="3">
        <f t="shared" si="517"/>
        <v>48.017330621117367</v>
      </c>
      <c r="J1410" s="4">
        <f t="shared" si="527"/>
        <v>1773720.9006812025</v>
      </c>
      <c r="K1410" s="1">
        <f t="shared" si="528"/>
        <v>2394.02</v>
      </c>
      <c r="L1410" s="5">
        <f t="shared" si="529"/>
        <v>5.205479452054821E-2</v>
      </c>
      <c r="M1410" s="5">
        <f t="shared" si="530"/>
        <v>-5.4501390474576916E-2</v>
      </c>
      <c r="N1410" s="5">
        <f t="shared" si="531"/>
        <v>1.2311575093390232</v>
      </c>
      <c r="O1410" s="1">
        <f t="shared" si="532"/>
        <v>0</v>
      </c>
      <c r="P1410" s="1">
        <f t="shared" si="533"/>
        <v>2394.02</v>
      </c>
      <c r="Q1410" s="5">
        <f t="shared" si="534"/>
        <v>5.205479452054821E-2</v>
      </c>
      <c r="R1410" s="5">
        <f t="shared" si="535"/>
        <v>-5.4501390474576916E-2</v>
      </c>
      <c r="S1410" s="5">
        <f t="shared" si="518"/>
        <v>1.2311575093390232</v>
      </c>
      <c r="T1410" s="5">
        <f t="shared" si="519"/>
        <v>-724.44720898111916</v>
      </c>
      <c r="U1410" s="4">
        <f t="shared" si="520"/>
        <v>1773749.5231910793</v>
      </c>
      <c r="V1410" s="4">
        <f t="shared" si="536"/>
        <v>28.622971757795771</v>
      </c>
      <c r="W1410" s="4">
        <f t="shared" si="521"/>
        <v>1772857.6145696226</v>
      </c>
      <c r="X1410" s="4">
        <f t="shared" si="525"/>
        <v>108.39599669585004</v>
      </c>
      <c r="Y1410" s="9">
        <f>SUM($X$6:X1410)</f>
        <v>772857.61456962256</v>
      </c>
      <c r="Z1410" s="16">
        <f t="shared" si="526"/>
        <v>0.77285761456962254</v>
      </c>
      <c r="AA1410" s="16">
        <f t="shared" si="522"/>
        <v>0.94005763237436002</v>
      </c>
      <c r="AB1410" s="16">
        <f t="shared" si="523"/>
        <v>6.1145702708649026E-5</v>
      </c>
      <c r="AC1410" s="16">
        <f t="shared" si="524"/>
        <v>4.9266056898267805E-4</v>
      </c>
    </row>
    <row r="1411" spans="1:29" x14ac:dyDescent="0.15">
      <c r="A1411" s="8">
        <v>42950</v>
      </c>
      <c r="B1411" s="4">
        <v>2472.16</v>
      </c>
      <c r="C1411" s="1">
        <v>9.6478000000000002</v>
      </c>
      <c r="D1411" s="1">
        <v>2</v>
      </c>
      <c r="E1411" s="1">
        <v>1.3408</v>
      </c>
      <c r="F1411" s="4">
        <f t="shared" si="514"/>
        <v>9.6478000000000008E-2</v>
      </c>
      <c r="G1411" s="4">
        <f t="shared" si="515"/>
        <v>0.02</v>
      </c>
      <c r="H1411" s="4">
        <f t="shared" si="516"/>
        <v>1.3408E-2</v>
      </c>
      <c r="I1411" s="3">
        <f t="shared" si="517"/>
        <v>49.35900896353634</v>
      </c>
      <c r="J1411" s="4">
        <f t="shared" si="527"/>
        <v>1773749.5231910793</v>
      </c>
      <c r="K1411" s="1">
        <f t="shared" si="528"/>
        <v>2394.02</v>
      </c>
      <c r="L1411" s="5">
        <f t="shared" si="529"/>
        <v>4.9315068493150947E-2</v>
      </c>
      <c r="M1411" s="5">
        <f t="shared" si="530"/>
        <v>-6.7436038070572704E-2</v>
      </c>
      <c r="N1411" s="5">
        <f t="shared" si="531"/>
        <v>1.5829562254916543</v>
      </c>
      <c r="O1411" s="1">
        <f t="shared" si="532"/>
        <v>0</v>
      </c>
      <c r="P1411" s="1">
        <f t="shared" si="533"/>
        <v>2394.02</v>
      </c>
      <c r="Q1411" s="5">
        <f t="shared" si="534"/>
        <v>4.9315068493150947E-2</v>
      </c>
      <c r="R1411" s="5">
        <f t="shared" si="535"/>
        <v>-6.7436038070572704E-2</v>
      </c>
      <c r="S1411" s="5">
        <f t="shared" si="518"/>
        <v>1.5829562254916543</v>
      </c>
      <c r="T1411" s="5">
        <f t="shared" si="519"/>
        <v>-724.44720898111916</v>
      </c>
      <c r="U1411" s="4">
        <f t="shared" si="520"/>
        <v>1773778.146162837</v>
      </c>
      <c r="V1411" s="4">
        <f t="shared" si="536"/>
        <v>28.623433646298928</v>
      </c>
      <c r="W1411" s="4">
        <f t="shared" si="521"/>
        <v>1772631.3779433402</v>
      </c>
      <c r="X1411" s="4">
        <f t="shared" si="525"/>
        <v>-226.23662628233433</v>
      </c>
      <c r="Y1411" s="9">
        <f>SUM($X$6:X1411)</f>
        <v>772631.37794334022</v>
      </c>
      <c r="Z1411" s="16">
        <f t="shared" si="526"/>
        <v>0.77263137794334025</v>
      </c>
      <c r="AA1411" s="16">
        <f t="shared" si="522"/>
        <v>0.93582133963948444</v>
      </c>
      <c r="AB1411" s="16">
        <f t="shared" si="523"/>
        <v>-1.276112782115643E-4</v>
      </c>
      <c r="AC1411" s="16">
        <f t="shared" si="524"/>
        <v>-2.1835911800676907E-3</v>
      </c>
    </row>
    <row r="1412" spans="1:29" x14ac:dyDescent="0.15">
      <c r="A1412" s="8">
        <v>42951</v>
      </c>
      <c r="B1412" s="4">
        <v>2476.83</v>
      </c>
      <c r="C1412" s="1">
        <v>9.6068999999999996</v>
      </c>
      <c r="D1412" s="1">
        <v>2</v>
      </c>
      <c r="E1412" s="1">
        <v>1.3411</v>
      </c>
      <c r="F1412" s="4">
        <f t="shared" si="514"/>
        <v>9.6069000000000002E-2</v>
      </c>
      <c r="G1412" s="4">
        <f t="shared" si="515"/>
        <v>0.02</v>
      </c>
      <c r="H1412" s="4">
        <f t="shared" si="516"/>
        <v>1.3410999999999999E-2</v>
      </c>
      <c r="I1412" s="3">
        <f t="shared" si="517"/>
        <v>49.250505966682262</v>
      </c>
      <c r="J1412" s="4">
        <f t="shared" si="527"/>
        <v>1773778.146162837</v>
      </c>
      <c r="K1412" s="1">
        <f t="shared" si="528"/>
        <v>2394.02</v>
      </c>
      <c r="L1412" s="5">
        <f t="shared" si="529"/>
        <v>4.6575342465753684E-2</v>
      </c>
      <c r="M1412" s="5">
        <f t="shared" si="530"/>
        <v>-5.0900241673587913E-2</v>
      </c>
      <c r="N1412" s="5">
        <f t="shared" si="531"/>
        <v>1.1040934685314545</v>
      </c>
      <c r="O1412" s="1">
        <f t="shared" si="532"/>
        <v>0</v>
      </c>
      <c r="P1412" s="1">
        <f t="shared" si="533"/>
        <v>2394.02</v>
      </c>
      <c r="Q1412" s="5">
        <f t="shared" si="534"/>
        <v>4.6575342465753684E-2</v>
      </c>
      <c r="R1412" s="5">
        <f t="shared" si="535"/>
        <v>-5.0900241673587913E-2</v>
      </c>
      <c r="S1412" s="5">
        <f t="shared" si="518"/>
        <v>1.1040934685314545</v>
      </c>
      <c r="T1412" s="5">
        <f t="shared" si="519"/>
        <v>-724.44720898111916</v>
      </c>
      <c r="U1412" s="4">
        <f t="shared" si="520"/>
        <v>1773806.7695964833</v>
      </c>
      <c r="V1412" s="4">
        <f t="shared" si="536"/>
        <v>28.623895542255578</v>
      </c>
      <c r="W1412" s="4">
        <f t="shared" si="521"/>
        <v>1773006.9121647514</v>
      </c>
      <c r="X1412" s="4">
        <f t="shared" si="525"/>
        <v>375.534221411217</v>
      </c>
      <c r="Y1412" s="9">
        <f>SUM($X$6:X1412)</f>
        <v>773006.91216475144</v>
      </c>
      <c r="Z1412" s="16">
        <f t="shared" si="526"/>
        <v>0.77300691216475148</v>
      </c>
      <c r="AA1412" s="16">
        <f t="shared" si="522"/>
        <v>0.93947817643650267</v>
      </c>
      <c r="AB1412" s="16">
        <f t="shared" si="523"/>
        <v>2.1185127719386475E-4</v>
      </c>
      <c r="AC1412" s="16">
        <f t="shared" si="524"/>
        <v>1.8890363083295875E-3</v>
      </c>
    </row>
    <row r="1413" spans="1:29" x14ac:dyDescent="0.15">
      <c r="A1413" s="8">
        <v>42954</v>
      </c>
      <c r="B1413" s="4">
        <v>2480.91</v>
      </c>
      <c r="C1413" s="1">
        <v>9.5539000000000005</v>
      </c>
      <c r="D1413" s="1">
        <v>1.99</v>
      </c>
      <c r="E1413" s="1">
        <v>1.3405</v>
      </c>
      <c r="F1413" s="4">
        <f t="shared" si="514"/>
        <v>9.5538999999999999E-2</v>
      </c>
      <c r="G1413" s="4">
        <f t="shared" si="515"/>
        <v>1.9900000000000001E-2</v>
      </c>
      <c r="H1413" s="4">
        <f t="shared" si="516"/>
        <v>1.3405E-2</v>
      </c>
      <c r="I1413" s="3">
        <f t="shared" si="517"/>
        <v>49.041938266561282</v>
      </c>
      <c r="J1413" s="4">
        <f t="shared" si="527"/>
        <v>1773806.7695964833</v>
      </c>
      <c r="K1413" s="1">
        <f t="shared" si="528"/>
        <v>2394.02</v>
      </c>
      <c r="L1413" s="5">
        <f t="shared" si="529"/>
        <v>3.8356164383561903E-2</v>
      </c>
      <c r="M1413" s="5">
        <f t="shared" si="530"/>
        <v>-2.8602296119510859E-2</v>
      </c>
      <c r="N1413" s="5">
        <f t="shared" si="531"/>
        <v>0.51423456321493177</v>
      </c>
      <c r="O1413" s="1">
        <f t="shared" si="532"/>
        <v>1</v>
      </c>
      <c r="P1413" s="1">
        <f t="shared" si="533"/>
        <v>2480.91</v>
      </c>
      <c r="Q1413" s="5">
        <f t="shared" si="534"/>
        <v>0.24931506849315069</v>
      </c>
      <c r="R1413" s="5">
        <f t="shared" si="535"/>
        <v>-0.50153188833780693</v>
      </c>
      <c r="S1413" s="5">
        <f t="shared" si="518"/>
        <v>49.041938266561282</v>
      </c>
      <c r="T1413" s="5">
        <f t="shared" si="519"/>
        <v>-714.83215183235211</v>
      </c>
      <c r="U1413" s="4">
        <f t="shared" si="520"/>
        <v>1808519.6119590581</v>
      </c>
      <c r="V1413" s="4">
        <f t="shared" si="536"/>
        <v>87.552168611826175</v>
      </c>
      <c r="W1413" s="4">
        <f t="shared" si="521"/>
        <v>1773462.8576979428</v>
      </c>
      <c r="X1413" s="4">
        <f t="shared" si="525"/>
        <v>455.94553319131956</v>
      </c>
      <c r="Y1413" s="9">
        <f>SUM($X$6:X1413)</f>
        <v>773462.85769794276</v>
      </c>
      <c r="Z1413" s="16">
        <f t="shared" si="526"/>
        <v>0.77346285769794276</v>
      </c>
      <c r="AA1413" s="16">
        <f t="shared" si="522"/>
        <v>0.94267301458036423</v>
      </c>
      <c r="AB1413" s="16">
        <f t="shared" si="523"/>
        <v>2.5715947865912896E-4</v>
      </c>
      <c r="AC1413" s="16">
        <f t="shared" si="524"/>
        <v>1.6472668693450609E-3</v>
      </c>
    </row>
    <row r="1414" spans="1:29" x14ac:dyDescent="0.15">
      <c r="A1414" s="8">
        <v>42955</v>
      </c>
      <c r="B1414" s="4">
        <v>2474.92</v>
      </c>
      <c r="C1414" s="1">
        <v>10.0808</v>
      </c>
      <c r="D1414" s="1">
        <v>2</v>
      </c>
      <c r="E1414" s="1">
        <v>1.3385</v>
      </c>
      <c r="F1414" s="4">
        <f t="shared" si="514"/>
        <v>0.10080799999999999</v>
      </c>
      <c r="G1414" s="4">
        <f t="shared" si="515"/>
        <v>0.02</v>
      </c>
      <c r="H1414" s="4">
        <f t="shared" si="516"/>
        <v>1.3385000000000001E-2</v>
      </c>
      <c r="I1414" s="3">
        <f t="shared" si="517"/>
        <v>51.545497118894943</v>
      </c>
      <c r="J1414" s="4">
        <f t="shared" si="527"/>
        <v>1808519.6119590581</v>
      </c>
      <c r="K1414" s="1">
        <f t="shared" si="528"/>
        <v>2480.91</v>
      </c>
      <c r="L1414" s="5">
        <f t="shared" si="529"/>
        <v>0.24657534246575344</v>
      </c>
      <c r="M1414" s="5">
        <f t="shared" si="530"/>
        <v>-0.51969897250495078</v>
      </c>
      <c r="N1414" s="5">
        <f t="shared" si="531"/>
        <v>54.432123944722917</v>
      </c>
      <c r="O1414" s="1">
        <f t="shared" si="532"/>
        <v>0</v>
      </c>
      <c r="P1414" s="1">
        <f t="shared" si="533"/>
        <v>2480.91</v>
      </c>
      <c r="Q1414" s="5">
        <f t="shared" si="534"/>
        <v>0.24657534246575344</v>
      </c>
      <c r="R1414" s="5">
        <f t="shared" si="535"/>
        <v>-0.51969897250495078</v>
      </c>
      <c r="S1414" s="5">
        <f t="shared" si="518"/>
        <v>54.432123944722917</v>
      </c>
      <c r="T1414" s="5">
        <f t="shared" si="519"/>
        <v>-714.83215183235211</v>
      </c>
      <c r="U1414" s="4">
        <f t="shared" si="520"/>
        <v>1808607.16412767</v>
      </c>
      <c r="V1414" s="4">
        <f t="shared" si="536"/>
        <v>29.185469032087603</v>
      </c>
      <c r="W1414" s="4">
        <f t="shared" si="521"/>
        <v>1769697.3318394583</v>
      </c>
      <c r="X1414" s="4">
        <f t="shared" si="525"/>
        <v>-3765.5258584844414</v>
      </c>
      <c r="Y1414" s="9">
        <f>SUM($X$6:X1414)</f>
        <v>769697.33183945832</v>
      </c>
      <c r="Z1414" s="16">
        <f t="shared" si="526"/>
        <v>0.76969733183945832</v>
      </c>
      <c r="AA1414" s="16">
        <f t="shared" si="522"/>
        <v>0.93798255367797922</v>
      </c>
      <c r="AB1414" s="16">
        <f t="shared" si="523"/>
        <v>-2.1232617543354201E-3</v>
      </c>
      <c r="AC1414" s="16">
        <f t="shared" si="524"/>
        <v>-2.4144366381689711E-3</v>
      </c>
    </row>
    <row r="1415" spans="1:29" x14ac:dyDescent="0.15">
      <c r="A1415" s="8">
        <v>42956</v>
      </c>
      <c r="B1415" s="4">
        <v>2474.02</v>
      </c>
      <c r="C1415" s="1">
        <v>10.369199999999999</v>
      </c>
      <c r="D1415" s="1">
        <v>2</v>
      </c>
      <c r="E1415" s="1">
        <v>1.3376000000000001</v>
      </c>
      <c r="F1415" s="4">
        <f t="shared" ref="F1415:F1478" si="537">C1415/100</f>
        <v>0.10369199999999999</v>
      </c>
      <c r="G1415" s="4">
        <f t="shared" ref="G1415:G1478" si="538">D1415/100</f>
        <v>0.02</v>
      </c>
      <c r="H1415" s="4">
        <f t="shared" ref="H1415:H1478" si="539">E1415/100</f>
        <v>1.3376000000000001E-2</v>
      </c>
      <c r="I1415" s="3">
        <f t="shared" ref="I1415:I1478" si="540">BSM_Put(B1415,B1415,F1415,H1415,G1415,$B$3,$F$3)</f>
        <v>52.943834846023982</v>
      </c>
      <c r="J1415" s="4">
        <f t="shared" si="527"/>
        <v>1808607.16412767</v>
      </c>
      <c r="K1415" s="1">
        <f t="shared" si="528"/>
        <v>2480.91</v>
      </c>
      <c r="L1415" s="5">
        <f t="shared" si="529"/>
        <v>0.24383561643835619</v>
      </c>
      <c r="M1415" s="5">
        <f t="shared" si="530"/>
        <v>-0.52147558221818291</v>
      </c>
      <c r="N1415" s="5">
        <f t="shared" si="531"/>
        <v>56.005402842694387</v>
      </c>
      <c r="O1415" s="1">
        <f t="shared" si="532"/>
        <v>0</v>
      </c>
      <c r="P1415" s="1">
        <f t="shared" si="533"/>
        <v>2480.91</v>
      </c>
      <c r="Q1415" s="5">
        <f t="shared" si="534"/>
        <v>0.24383561643835619</v>
      </c>
      <c r="R1415" s="5">
        <f t="shared" si="535"/>
        <v>-0.52147558221818291</v>
      </c>
      <c r="S1415" s="5">
        <f t="shared" ref="S1415:S1478" si="541">BSM_Put(B1415,P1415,F1415,H1415,G1415,Q1415,$F$3)</f>
        <v>56.005402842694387</v>
      </c>
      <c r="T1415" s="5">
        <f t="shared" si="519"/>
        <v>-714.83215183235211</v>
      </c>
      <c r="U1415" s="4">
        <f t="shared" si="520"/>
        <v>1808636.349596702</v>
      </c>
      <c r="V1415" s="4">
        <f t="shared" si="536"/>
        <v>29.185939997601576</v>
      </c>
      <c r="W1415" s="4">
        <f t="shared" si="521"/>
        <v>1768601.8869684211</v>
      </c>
      <c r="X1415" s="4">
        <f t="shared" si="525"/>
        <v>-1095.4448710372671</v>
      </c>
      <c r="Y1415" s="9">
        <f>SUM($X$6:X1415)</f>
        <v>768601.88696842105</v>
      </c>
      <c r="Z1415" s="16">
        <f t="shared" si="526"/>
        <v>0.76860188696842102</v>
      </c>
      <c r="AA1415" s="16">
        <f t="shared" si="522"/>
        <v>0.93727780996977439</v>
      </c>
      <c r="AB1415" s="16">
        <f t="shared" si="523"/>
        <v>-6.1900125593716078E-4</v>
      </c>
      <c r="AC1415" s="16">
        <f t="shared" si="524"/>
        <v>-3.6364811791899976E-4</v>
      </c>
    </row>
    <row r="1416" spans="1:29" x14ac:dyDescent="0.15">
      <c r="A1416" s="8">
        <v>42957</v>
      </c>
      <c r="B1416" s="4">
        <v>2438.21</v>
      </c>
      <c r="C1416" s="1">
        <v>12.579000000000001</v>
      </c>
      <c r="D1416" s="1">
        <v>2.0299999999999998</v>
      </c>
      <c r="E1416" s="1">
        <v>1.3382000000000001</v>
      </c>
      <c r="F1416" s="4">
        <f t="shared" si="537"/>
        <v>0.12579000000000001</v>
      </c>
      <c r="G1416" s="4">
        <f t="shared" si="538"/>
        <v>2.0299999999999999E-2</v>
      </c>
      <c r="H1416" s="4">
        <f t="shared" si="539"/>
        <v>1.3382E-2</v>
      </c>
      <c r="I1416" s="3">
        <f t="shared" si="540"/>
        <v>62.945246463808637</v>
      </c>
      <c r="J1416" s="4">
        <f t="shared" si="527"/>
        <v>1808636.349596702</v>
      </c>
      <c r="K1416" s="1">
        <f t="shared" si="528"/>
        <v>2480.91</v>
      </c>
      <c r="L1416" s="5">
        <f t="shared" si="529"/>
        <v>0.24109589041095894</v>
      </c>
      <c r="M1416" s="5">
        <f t="shared" si="530"/>
        <v>-0.60621571618027115</v>
      </c>
      <c r="N1416" s="5">
        <f t="shared" si="531"/>
        <v>86.497403576340815</v>
      </c>
      <c r="O1416" s="1">
        <f t="shared" si="532"/>
        <v>0</v>
      </c>
      <c r="P1416" s="1">
        <f t="shared" si="533"/>
        <v>2480.91</v>
      </c>
      <c r="Q1416" s="5">
        <f t="shared" si="534"/>
        <v>0.24109589041095894</v>
      </c>
      <c r="R1416" s="5">
        <f t="shared" si="535"/>
        <v>-0.60621571618027115</v>
      </c>
      <c r="S1416" s="5">
        <f t="shared" si="541"/>
        <v>86.497403576340815</v>
      </c>
      <c r="T1416" s="5">
        <f t="shared" ref="T1416:T1479" si="542">IF(O1416,-(J1416+IF(L1416&lt;=0.00001, MAX(K1416-B1416,0),N1416)*T1415)/P1416,T1415)</f>
        <v>-714.83215183235211</v>
      </c>
      <c r="U1416" s="4">
        <f t="shared" ref="U1416:U1479" si="543">IF(O1416,(J1416+IF(L1416&lt;=0.00001, MAX(K1416-B1416,0),N1416)*T1415)-(S1416*T1416),U1415)+V1415</f>
        <v>1808665.5355366997</v>
      </c>
      <c r="V1416" s="4">
        <f t="shared" si="536"/>
        <v>29.186410970715507</v>
      </c>
      <c r="W1416" s="4">
        <f t="shared" ref="W1416:W1479" si="544">S1416*T1416+U1416</f>
        <v>1746834.4104103127</v>
      </c>
      <c r="X1416" s="4">
        <f t="shared" si="525"/>
        <v>-21767.476558108348</v>
      </c>
      <c r="Y1416" s="9">
        <f>SUM($X$6:X1416)</f>
        <v>746834.4104103127</v>
      </c>
      <c r="Z1416" s="16">
        <f t="shared" si="526"/>
        <v>0.74683441041031273</v>
      </c>
      <c r="AA1416" s="16">
        <f t="shared" ref="AA1416:AA1479" si="545">(B1416-$B$6)/$B$6</f>
        <v>0.9092368408688708</v>
      </c>
      <c r="AB1416" s="16">
        <f t="shared" ref="AB1416:AB1479" si="546">X1416/W1415</f>
        <v>-1.2307731162393028E-2</v>
      </c>
      <c r="AC1416" s="16">
        <f t="shared" ref="AC1416:AC1479" si="547">(B1416-B1415)/B1415</f>
        <v>-1.4474418153450637E-2</v>
      </c>
    </row>
    <row r="1417" spans="1:29" x14ac:dyDescent="0.15">
      <c r="A1417" s="8">
        <v>42958</v>
      </c>
      <c r="B1417" s="4">
        <v>2441.3200000000002</v>
      </c>
      <c r="C1417" s="1">
        <v>12.5138</v>
      </c>
      <c r="D1417" s="1">
        <v>2.0299999999999998</v>
      </c>
      <c r="E1417" s="1">
        <v>1.3442000000000001</v>
      </c>
      <c r="F1417" s="4">
        <f t="shared" si="537"/>
        <v>0.125138</v>
      </c>
      <c r="G1417" s="4">
        <f t="shared" si="538"/>
        <v>2.0299999999999999E-2</v>
      </c>
      <c r="H1417" s="4">
        <f t="shared" si="539"/>
        <v>1.3442000000000001E-2</v>
      </c>
      <c r="I1417" s="3">
        <f t="shared" si="540"/>
        <v>62.691015599275836</v>
      </c>
      <c r="J1417" s="4">
        <f t="shared" si="527"/>
        <v>1808665.5355366997</v>
      </c>
      <c r="K1417" s="1">
        <f t="shared" si="528"/>
        <v>2480.91</v>
      </c>
      <c r="L1417" s="5">
        <f t="shared" si="529"/>
        <v>0.23835616438356169</v>
      </c>
      <c r="M1417" s="5">
        <f t="shared" si="530"/>
        <v>-0.59947324247339562</v>
      </c>
      <c r="N1417" s="5">
        <f t="shared" si="531"/>
        <v>83.949268793699119</v>
      </c>
      <c r="O1417" s="1">
        <f t="shared" si="532"/>
        <v>0</v>
      </c>
      <c r="P1417" s="1">
        <f t="shared" si="533"/>
        <v>2480.91</v>
      </c>
      <c r="Q1417" s="5">
        <f t="shared" si="534"/>
        <v>0.23835616438356169</v>
      </c>
      <c r="R1417" s="5">
        <f t="shared" si="535"/>
        <v>-0.59947324247339562</v>
      </c>
      <c r="S1417" s="5">
        <f t="shared" si="541"/>
        <v>83.949268793699119</v>
      </c>
      <c r="T1417" s="5">
        <f t="shared" si="542"/>
        <v>-714.83215183235211</v>
      </c>
      <c r="U1417" s="4">
        <f t="shared" si="543"/>
        <v>1808694.7219476704</v>
      </c>
      <c r="V1417" s="4">
        <f t="shared" si="536"/>
        <v>29.186881951429527</v>
      </c>
      <c r="W1417" s="4">
        <f t="shared" si="544"/>
        <v>1748685.085491118</v>
      </c>
      <c r="X1417" s="4">
        <f t="shared" ref="X1417:X1480" si="548">W1417-W1416</f>
        <v>1850.6750808053184</v>
      </c>
      <c r="Y1417" s="9">
        <f>SUM($X$6:X1417)</f>
        <v>748685.08549111802</v>
      </c>
      <c r="Z1417" s="16">
        <f t="shared" si="526"/>
        <v>0.74868508549111801</v>
      </c>
      <c r="AA1417" s="16">
        <f t="shared" si="545"/>
        <v>0.9116721219050008</v>
      </c>
      <c r="AB1417" s="16">
        <f t="shared" si="546"/>
        <v>1.0594450565984755E-3</v>
      </c>
      <c r="AC1417" s="16">
        <f t="shared" si="547"/>
        <v>1.2755258980974269E-3</v>
      </c>
    </row>
    <row r="1418" spans="1:29" x14ac:dyDescent="0.15">
      <c r="A1418" s="8">
        <v>42961</v>
      </c>
      <c r="B1418" s="4">
        <v>2465.84</v>
      </c>
      <c r="C1418" s="1">
        <v>10.6175</v>
      </c>
      <c r="D1418" s="1">
        <v>2.0099999999999998</v>
      </c>
      <c r="E1418" s="1">
        <v>1.3433999999999999</v>
      </c>
      <c r="F1418" s="4">
        <f t="shared" si="537"/>
        <v>0.10617499999999999</v>
      </c>
      <c r="G1418" s="4">
        <f t="shared" si="538"/>
        <v>2.0099999999999996E-2</v>
      </c>
      <c r="H1418" s="4">
        <f t="shared" si="539"/>
        <v>1.3434E-2</v>
      </c>
      <c r="I1418" s="3">
        <f t="shared" si="540"/>
        <v>53.994437602336696</v>
      </c>
      <c r="J1418" s="4">
        <f t="shared" si="527"/>
        <v>1808694.7219476704</v>
      </c>
      <c r="K1418" s="1">
        <f t="shared" si="528"/>
        <v>2480.91</v>
      </c>
      <c r="L1418" s="5">
        <f t="shared" si="529"/>
        <v>0.23013698630136992</v>
      </c>
      <c r="M1418" s="5">
        <f t="shared" si="530"/>
        <v>-0.54691457631759111</v>
      </c>
      <c r="N1418" s="5">
        <f t="shared" si="531"/>
        <v>60.01628073172634</v>
      </c>
      <c r="O1418" s="1">
        <f t="shared" si="532"/>
        <v>0</v>
      </c>
      <c r="P1418" s="1">
        <f t="shared" si="533"/>
        <v>2480.91</v>
      </c>
      <c r="Q1418" s="5">
        <f t="shared" si="534"/>
        <v>0.23013698630136992</v>
      </c>
      <c r="R1418" s="5">
        <f t="shared" si="535"/>
        <v>-0.54691457631759111</v>
      </c>
      <c r="S1418" s="5">
        <f t="shared" si="541"/>
        <v>60.01628073172634</v>
      </c>
      <c r="T1418" s="5">
        <f t="shared" si="542"/>
        <v>-714.83215183235211</v>
      </c>
      <c r="U1418" s="4">
        <f t="shared" si="543"/>
        <v>1808723.908829622</v>
      </c>
      <c r="V1418" s="4">
        <f t="shared" si="536"/>
        <v>87.562058819231282</v>
      </c>
      <c r="W1418" s="4">
        <f t="shared" si="544"/>
        <v>1765822.3417291874</v>
      </c>
      <c r="X1418" s="4">
        <f t="shared" si="548"/>
        <v>17137.256238069385</v>
      </c>
      <c r="Y1418" s="9">
        <f>SUM($X$6:X1418)</f>
        <v>765822.34172918741</v>
      </c>
      <c r="Z1418" s="16">
        <f t="shared" si="526"/>
        <v>0.76582234172918739</v>
      </c>
      <c r="AA1418" s="16">
        <f t="shared" si="545"/>
        <v>0.93087247271075768</v>
      </c>
      <c r="AB1418" s="16">
        <f t="shared" si="546"/>
        <v>9.800081432762028E-3</v>
      </c>
      <c r="AC1418" s="16">
        <f t="shared" si="547"/>
        <v>1.0043746825487842E-2</v>
      </c>
    </row>
    <row r="1419" spans="1:29" x14ac:dyDescent="0.15">
      <c r="A1419" s="8">
        <v>42962</v>
      </c>
      <c r="B1419" s="4">
        <v>2464.61</v>
      </c>
      <c r="C1419" s="1">
        <v>10.4665</v>
      </c>
      <c r="D1419" s="1">
        <v>2.0099999999999998</v>
      </c>
      <c r="E1419" s="1">
        <v>1.3433999999999999</v>
      </c>
      <c r="F1419" s="4">
        <f t="shared" si="537"/>
        <v>0.10466499999999999</v>
      </c>
      <c r="G1419" s="4">
        <f t="shared" si="538"/>
        <v>2.0099999999999996E-2</v>
      </c>
      <c r="H1419" s="4">
        <f t="shared" si="539"/>
        <v>1.3434E-2</v>
      </c>
      <c r="I1419" s="3">
        <f t="shared" si="540"/>
        <v>53.22989376518791</v>
      </c>
      <c r="J1419" s="4">
        <f t="shared" si="527"/>
        <v>1808723.908829622</v>
      </c>
      <c r="K1419" s="1">
        <f t="shared" si="528"/>
        <v>2480.91</v>
      </c>
      <c r="L1419" s="5">
        <f t="shared" si="529"/>
        <v>0.22739726027397267</v>
      </c>
      <c r="M1419" s="5">
        <f t="shared" si="530"/>
        <v>-0.55214805312588933</v>
      </c>
      <c r="N1419" s="5">
        <f t="shared" si="531"/>
        <v>59.675582397566558</v>
      </c>
      <c r="O1419" s="1">
        <f t="shared" si="532"/>
        <v>0</v>
      </c>
      <c r="P1419" s="1">
        <f t="shared" si="533"/>
        <v>2480.91</v>
      </c>
      <c r="Q1419" s="5">
        <f t="shared" si="534"/>
        <v>0.22739726027397267</v>
      </c>
      <c r="R1419" s="5">
        <f t="shared" si="535"/>
        <v>-0.55214805312588933</v>
      </c>
      <c r="S1419" s="5">
        <f t="shared" si="541"/>
        <v>59.675582397566558</v>
      </c>
      <c r="T1419" s="5">
        <f t="shared" si="542"/>
        <v>-714.83215183235211</v>
      </c>
      <c r="U1419" s="4">
        <f t="shared" si="543"/>
        <v>1808811.4708884412</v>
      </c>
      <c r="V1419" s="4">
        <f t="shared" si="536"/>
        <v>29.188765927487445</v>
      </c>
      <c r="W1419" s="4">
        <f t="shared" si="544"/>
        <v>1766153.4459113399</v>
      </c>
      <c r="X1419" s="4">
        <f t="shared" si="548"/>
        <v>331.10418215254322</v>
      </c>
      <c r="Y1419" s="9">
        <f>SUM($X$6:X1419)</f>
        <v>766153.44591133995</v>
      </c>
      <c r="Z1419" s="16">
        <f t="shared" si="526"/>
        <v>0.76615344591133994</v>
      </c>
      <c r="AA1419" s="16">
        <f t="shared" si="545"/>
        <v>0.92990932297621121</v>
      </c>
      <c r="AB1419" s="16">
        <f t="shared" si="546"/>
        <v>1.8750707493501772E-4</v>
      </c>
      <c r="AC1419" s="16">
        <f t="shared" si="547"/>
        <v>-4.9881581935568335E-4</v>
      </c>
    </row>
    <row r="1420" spans="1:29" x14ac:dyDescent="0.15">
      <c r="A1420" s="8">
        <v>42963</v>
      </c>
      <c r="B1420" s="4">
        <v>2468.11</v>
      </c>
      <c r="C1420" s="1">
        <v>10.2799</v>
      </c>
      <c r="D1420" s="1">
        <v>2.0099999999999998</v>
      </c>
      <c r="E1420" s="1">
        <v>1.3452999999999999</v>
      </c>
      <c r="F1420" s="4">
        <f t="shared" si="537"/>
        <v>0.102799</v>
      </c>
      <c r="G1420" s="4">
        <f t="shared" si="538"/>
        <v>2.0099999999999996E-2</v>
      </c>
      <c r="H1420" s="4">
        <f t="shared" si="539"/>
        <v>1.3453E-2</v>
      </c>
      <c r="I1420" s="3">
        <f t="shared" si="540"/>
        <v>52.386589771624486</v>
      </c>
      <c r="J1420" s="4">
        <f t="shared" si="527"/>
        <v>1808811.4708884412</v>
      </c>
      <c r="K1420" s="1">
        <f t="shared" si="528"/>
        <v>2480.91</v>
      </c>
      <c r="L1420" s="5">
        <f t="shared" si="529"/>
        <v>0.22465753424657542</v>
      </c>
      <c r="M1420" s="5">
        <f t="shared" si="530"/>
        <v>-0.54231152825555395</v>
      </c>
      <c r="N1420" s="5">
        <f t="shared" si="531"/>
        <v>56.579006893709632</v>
      </c>
      <c r="O1420" s="1">
        <f t="shared" si="532"/>
        <v>0</v>
      </c>
      <c r="P1420" s="1">
        <f t="shared" si="533"/>
        <v>2480.91</v>
      </c>
      <c r="Q1420" s="5">
        <f t="shared" si="534"/>
        <v>0.22465753424657542</v>
      </c>
      <c r="R1420" s="5">
        <f t="shared" si="535"/>
        <v>-0.54231152825555395</v>
      </c>
      <c r="S1420" s="5">
        <f t="shared" si="541"/>
        <v>56.579006893709632</v>
      </c>
      <c r="T1420" s="5">
        <f t="shared" si="542"/>
        <v>-714.83215183235211</v>
      </c>
      <c r="U1420" s="4">
        <f t="shared" si="543"/>
        <v>1808840.6596543686</v>
      </c>
      <c r="V1420" s="4">
        <f t="shared" si="536"/>
        <v>29.189236946203369</v>
      </c>
      <c r="W1420" s="4">
        <f t="shared" si="544"/>
        <v>1768396.1664080007</v>
      </c>
      <c r="X1420" s="4">
        <f t="shared" si="548"/>
        <v>2242.7204966607969</v>
      </c>
      <c r="Y1420" s="9">
        <f>SUM($X$6:X1420)</f>
        <v>768396.16640800075</v>
      </c>
      <c r="Z1420" s="16">
        <f t="shared" si="526"/>
        <v>0.76839616640800079</v>
      </c>
      <c r="AA1420" s="16">
        <f t="shared" si="545"/>
        <v>0.93264999295256312</v>
      </c>
      <c r="AB1420" s="16">
        <f t="shared" si="546"/>
        <v>1.2698333215908921E-3</v>
      </c>
      <c r="AC1420" s="16">
        <f t="shared" si="547"/>
        <v>1.4201029777530724E-3</v>
      </c>
    </row>
    <row r="1421" spans="1:29" x14ac:dyDescent="0.15">
      <c r="A1421" s="8">
        <v>42964</v>
      </c>
      <c r="B1421" s="4">
        <v>2430.0100000000002</v>
      </c>
      <c r="C1421" s="1">
        <v>12.3721</v>
      </c>
      <c r="D1421" s="1">
        <v>2.04</v>
      </c>
      <c r="E1421" s="1">
        <v>1.3456000000000001</v>
      </c>
      <c r="F1421" s="4">
        <f t="shared" si="537"/>
        <v>0.123721</v>
      </c>
      <c r="G1421" s="4">
        <f t="shared" si="538"/>
        <v>2.0400000000000001E-2</v>
      </c>
      <c r="H1421" s="4">
        <f t="shared" si="539"/>
        <v>1.3456000000000001E-2</v>
      </c>
      <c r="I1421" s="3">
        <f t="shared" si="540"/>
        <v>61.743790054977389</v>
      </c>
      <c r="J1421" s="4">
        <f t="shared" si="527"/>
        <v>1808840.6596543686</v>
      </c>
      <c r="K1421" s="1">
        <f t="shared" si="528"/>
        <v>2480.91</v>
      </c>
      <c r="L1421" s="5">
        <f t="shared" si="529"/>
        <v>0.22191780821917817</v>
      </c>
      <c r="M1421" s="5">
        <f t="shared" si="530"/>
        <v>-0.6350667274772952</v>
      </c>
      <c r="N1421" s="5">
        <f t="shared" si="531"/>
        <v>88.211617207727315</v>
      </c>
      <c r="O1421" s="1">
        <f t="shared" si="532"/>
        <v>0</v>
      </c>
      <c r="P1421" s="1">
        <f t="shared" si="533"/>
        <v>2480.91</v>
      </c>
      <c r="Q1421" s="5">
        <f t="shared" si="534"/>
        <v>0.22191780821917817</v>
      </c>
      <c r="R1421" s="5">
        <f t="shared" si="535"/>
        <v>-0.6350667274772952</v>
      </c>
      <c r="S1421" s="5">
        <f t="shared" si="541"/>
        <v>88.211617207727315</v>
      </c>
      <c r="T1421" s="5">
        <f t="shared" si="542"/>
        <v>-714.83215183235211</v>
      </c>
      <c r="U1421" s="4">
        <f t="shared" si="543"/>
        <v>1808869.8488913148</v>
      </c>
      <c r="V1421" s="4">
        <f t="shared" si="536"/>
        <v>29.189707972520122</v>
      </c>
      <c r="W1421" s="4">
        <f t="shared" si="544"/>
        <v>1745813.3487461035</v>
      </c>
      <c r="X1421" s="4">
        <f t="shared" si="548"/>
        <v>-22582.817661897279</v>
      </c>
      <c r="Y1421" s="9">
        <f>SUM($X$6:X1421)</f>
        <v>745813.34874610347</v>
      </c>
      <c r="Z1421" s="16">
        <f t="shared" si="526"/>
        <v>0.7458133487461035</v>
      </c>
      <c r="AA1421" s="16">
        <f t="shared" si="545"/>
        <v>0.90281584263856074</v>
      </c>
      <c r="AB1421" s="16">
        <f t="shared" si="546"/>
        <v>-1.2770225411519592E-2</v>
      </c>
      <c r="AC1421" s="16">
        <f t="shared" si="547"/>
        <v>-1.5436913265616163E-2</v>
      </c>
    </row>
    <row r="1422" spans="1:29" x14ac:dyDescent="0.15">
      <c r="A1422" s="8">
        <v>42965</v>
      </c>
      <c r="B1422" s="4">
        <v>2425.5500000000002</v>
      </c>
      <c r="C1422" s="1">
        <v>12.3461</v>
      </c>
      <c r="D1422" s="1">
        <v>2.04</v>
      </c>
      <c r="E1422" s="1">
        <v>1.3439000000000001</v>
      </c>
      <c r="F1422" s="4">
        <f t="shared" si="537"/>
        <v>0.123461</v>
      </c>
      <c r="G1422" s="4">
        <f t="shared" si="538"/>
        <v>2.0400000000000001E-2</v>
      </c>
      <c r="H1422" s="4">
        <f t="shared" si="539"/>
        <v>1.3439000000000001E-2</v>
      </c>
      <c r="I1422" s="3">
        <f t="shared" si="540"/>
        <v>61.510845430715982</v>
      </c>
      <c r="J1422" s="4">
        <f t="shared" si="527"/>
        <v>1808869.8488913148</v>
      </c>
      <c r="K1422" s="1">
        <f t="shared" si="528"/>
        <v>2480.91</v>
      </c>
      <c r="L1422" s="5">
        <f t="shared" si="529"/>
        <v>0.21917808219178092</v>
      </c>
      <c r="M1422" s="5">
        <f t="shared" si="530"/>
        <v>-0.64806208402300447</v>
      </c>
      <c r="N1422" s="5">
        <f t="shared" si="531"/>
        <v>90.618308173054686</v>
      </c>
      <c r="O1422" s="1">
        <f t="shared" si="532"/>
        <v>0</v>
      </c>
      <c r="P1422" s="1">
        <f t="shared" si="533"/>
        <v>2480.91</v>
      </c>
      <c r="Q1422" s="5">
        <f t="shared" si="534"/>
        <v>0.21917808219178092</v>
      </c>
      <c r="R1422" s="5">
        <f t="shared" si="535"/>
        <v>-0.64806208402300447</v>
      </c>
      <c r="S1422" s="5">
        <f t="shared" si="541"/>
        <v>90.618308173054686</v>
      </c>
      <c r="T1422" s="5">
        <f t="shared" si="542"/>
        <v>-714.83215183235211</v>
      </c>
      <c r="U1422" s="4">
        <f t="shared" si="543"/>
        <v>1808899.0385992874</v>
      </c>
      <c r="V1422" s="4">
        <f t="shared" si="536"/>
        <v>29.190179006437813</v>
      </c>
      <c r="W1422" s="4">
        <f t="shared" si="544"/>
        <v>1744122.1583725356</v>
      </c>
      <c r="X1422" s="4">
        <f t="shared" si="548"/>
        <v>-1691.1903735678643</v>
      </c>
      <c r="Y1422" s="9">
        <f>SUM($X$6:X1422)</f>
        <v>744122.1583725356</v>
      </c>
      <c r="Z1422" s="16">
        <f t="shared" si="526"/>
        <v>0.74412215837253559</v>
      </c>
      <c r="AA1422" s="16">
        <f t="shared" si="545"/>
        <v>0.8993234460401236</v>
      </c>
      <c r="AB1422" s="16">
        <f t="shared" si="546"/>
        <v>-9.6871201883209847E-4</v>
      </c>
      <c r="AC1422" s="16">
        <f t="shared" si="547"/>
        <v>-1.8353833934839922E-3</v>
      </c>
    </row>
    <row r="1423" spans="1:29" x14ac:dyDescent="0.15">
      <c r="A1423" s="8">
        <v>42968</v>
      </c>
      <c r="B1423" s="4">
        <v>2428.37</v>
      </c>
      <c r="C1423" s="1">
        <v>11.8954</v>
      </c>
      <c r="D1423" s="1">
        <v>2.04</v>
      </c>
      <c r="E1423" s="1">
        <v>1.3432999999999999</v>
      </c>
      <c r="F1423" s="4">
        <f t="shared" si="537"/>
        <v>0.118954</v>
      </c>
      <c r="G1423" s="4">
        <f t="shared" si="538"/>
        <v>2.0400000000000001E-2</v>
      </c>
      <c r="H1423" s="4">
        <f t="shared" si="539"/>
        <v>1.3432999999999999E-2</v>
      </c>
      <c r="I1423" s="3">
        <f t="shared" si="540"/>
        <v>59.415166069984423</v>
      </c>
      <c r="J1423" s="4">
        <f t="shared" si="527"/>
        <v>1808899.0385992874</v>
      </c>
      <c r="K1423" s="1">
        <f t="shared" si="528"/>
        <v>2480.91</v>
      </c>
      <c r="L1423" s="5">
        <f t="shared" si="529"/>
        <v>0.21095890410958915</v>
      </c>
      <c r="M1423" s="5">
        <f t="shared" si="530"/>
        <v>-0.6494341210703557</v>
      </c>
      <c r="N1423" s="5">
        <f t="shared" si="531"/>
        <v>85.88338244148423</v>
      </c>
      <c r="O1423" s="1">
        <f t="shared" si="532"/>
        <v>0</v>
      </c>
      <c r="P1423" s="1">
        <f t="shared" si="533"/>
        <v>2480.91</v>
      </c>
      <c r="Q1423" s="5">
        <f t="shared" si="534"/>
        <v>0.21095890410958915</v>
      </c>
      <c r="R1423" s="5">
        <f t="shared" si="535"/>
        <v>-0.6494341210703557</v>
      </c>
      <c r="S1423" s="5">
        <f t="shared" si="541"/>
        <v>85.88338244148423</v>
      </c>
      <c r="T1423" s="5">
        <f t="shared" si="542"/>
        <v>-714.83215183235211</v>
      </c>
      <c r="U1423" s="4">
        <f t="shared" si="543"/>
        <v>1808928.2287782938</v>
      </c>
      <c r="V1423" s="4">
        <f t="shared" si="536"/>
        <v>87.571950143869728</v>
      </c>
      <c r="W1423" s="4">
        <f t="shared" si="544"/>
        <v>1747536.0257010069</v>
      </c>
      <c r="X1423" s="4">
        <f t="shared" si="548"/>
        <v>3413.8673284712713</v>
      </c>
      <c r="Y1423" s="9">
        <f>SUM($X$6:X1423)</f>
        <v>747536.02570100687</v>
      </c>
      <c r="Z1423" s="16">
        <f t="shared" si="526"/>
        <v>0.74753602570100686</v>
      </c>
      <c r="AA1423" s="16">
        <f t="shared" si="545"/>
        <v>0.90153164299249844</v>
      </c>
      <c r="AB1423" s="16">
        <f t="shared" si="546"/>
        <v>1.957355631360591E-3</v>
      </c>
      <c r="AC1423" s="16">
        <f t="shared" si="547"/>
        <v>1.1626229102676543E-3</v>
      </c>
    </row>
    <row r="1424" spans="1:29" x14ac:dyDescent="0.15">
      <c r="A1424" s="8">
        <v>42969</v>
      </c>
      <c r="B1424" s="4">
        <v>2452.5100000000002</v>
      </c>
      <c r="C1424" s="1">
        <v>10.641299999999999</v>
      </c>
      <c r="D1424" s="1">
        <v>2.02</v>
      </c>
      <c r="E1424" s="1">
        <v>1.3465</v>
      </c>
      <c r="F1424" s="4">
        <f t="shared" si="537"/>
        <v>0.10641299999999999</v>
      </c>
      <c r="G1424" s="4">
        <f t="shared" si="538"/>
        <v>2.0199999999999999E-2</v>
      </c>
      <c r="H1424" s="4">
        <f t="shared" si="539"/>
        <v>1.3465E-2</v>
      </c>
      <c r="I1424" s="3">
        <f t="shared" si="540"/>
        <v>53.838894400324918</v>
      </c>
      <c r="J1424" s="4">
        <f t="shared" si="527"/>
        <v>1808928.2287782938</v>
      </c>
      <c r="K1424" s="1">
        <f t="shared" si="528"/>
        <v>2480.91</v>
      </c>
      <c r="L1424" s="5">
        <f t="shared" si="529"/>
        <v>0.2082191780821919</v>
      </c>
      <c r="M1424" s="5">
        <f t="shared" si="530"/>
        <v>-0.59299883219427818</v>
      </c>
      <c r="N1424" s="5">
        <f t="shared" si="531"/>
        <v>65.160387779236217</v>
      </c>
      <c r="O1424" s="1">
        <f t="shared" si="532"/>
        <v>0</v>
      </c>
      <c r="P1424" s="1">
        <f t="shared" si="533"/>
        <v>2480.91</v>
      </c>
      <c r="Q1424" s="5">
        <f t="shared" si="534"/>
        <v>0.2082191780821919</v>
      </c>
      <c r="R1424" s="5">
        <f t="shared" si="535"/>
        <v>-0.59299883219427818</v>
      </c>
      <c r="S1424" s="5">
        <f t="shared" si="541"/>
        <v>65.160387779236217</v>
      </c>
      <c r="T1424" s="5">
        <f t="shared" si="542"/>
        <v>-714.83215183235211</v>
      </c>
      <c r="U1424" s="4">
        <f t="shared" si="543"/>
        <v>1809015.8007284377</v>
      </c>
      <c r="V1424" s="4">
        <f t="shared" si="536"/>
        <v>29.192063195316432</v>
      </c>
      <c r="W1424" s="4">
        <f t="shared" si="544"/>
        <v>1762437.0605179758</v>
      </c>
      <c r="X1424" s="4">
        <f t="shared" si="548"/>
        <v>14901.034816968953</v>
      </c>
      <c r="Y1424" s="9">
        <f>SUM($X$6:X1424)</f>
        <v>762437.06051797583</v>
      </c>
      <c r="Z1424" s="16">
        <f t="shared" si="526"/>
        <v>0.76243706051797577</v>
      </c>
      <c r="AA1424" s="16">
        <f t="shared" si="545"/>
        <v>0.9204344353436803</v>
      </c>
      <c r="AB1424" s="16">
        <f t="shared" si="546"/>
        <v>8.5268827639713753E-3</v>
      </c>
      <c r="AC1424" s="16">
        <f t="shared" si="547"/>
        <v>9.9408245036795573E-3</v>
      </c>
    </row>
    <row r="1425" spans="1:29" x14ac:dyDescent="0.15">
      <c r="A1425" s="8">
        <v>42970</v>
      </c>
      <c r="B1425" s="4">
        <v>2444.04</v>
      </c>
      <c r="C1425" s="1">
        <v>11.3085</v>
      </c>
      <c r="D1425" s="1">
        <v>2.02</v>
      </c>
      <c r="E1425" s="1">
        <v>1.3458999999999999</v>
      </c>
      <c r="F1425" s="4">
        <f t="shared" si="537"/>
        <v>0.113085</v>
      </c>
      <c r="G1425" s="4">
        <f t="shared" si="538"/>
        <v>2.0199999999999999E-2</v>
      </c>
      <c r="H1425" s="4">
        <f t="shared" si="539"/>
        <v>1.3458999999999999E-2</v>
      </c>
      <c r="I1425" s="3">
        <f t="shared" si="540"/>
        <v>56.886770175743365</v>
      </c>
      <c r="J1425" s="4">
        <f t="shared" si="527"/>
        <v>1809015.8007284377</v>
      </c>
      <c r="K1425" s="1">
        <f t="shared" si="528"/>
        <v>2480.91</v>
      </c>
      <c r="L1425" s="5">
        <f t="shared" si="529"/>
        <v>0.20547945205479465</v>
      </c>
      <c r="M1425" s="5">
        <f t="shared" si="530"/>
        <v>-0.61287432342054093</v>
      </c>
      <c r="N1425" s="5">
        <f t="shared" si="531"/>
        <v>72.783021572454047</v>
      </c>
      <c r="O1425" s="1">
        <f t="shared" si="532"/>
        <v>0</v>
      </c>
      <c r="P1425" s="1">
        <f t="shared" si="533"/>
        <v>2480.91</v>
      </c>
      <c r="Q1425" s="5">
        <f t="shared" si="534"/>
        <v>0.20547945205479465</v>
      </c>
      <c r="R1425" s="5">
        <f t="shared" si="535"/>
        <v>-0.61287432342054093</v>
      </c>
      <c r="S1425" s="5">
        <f t="shared" si="541"/>
        <v>72.783021572454047</v>
      </c>
      <c r="T1425" s="5">
        <f t="shared" si="542"/>
        <v>-714.83215183235211</v>
      </c>
      <c r="U1425" s="4">
        <f t="shared" si="543"/>
        <v>1809044.9927916331</v>
      </c>
      <c r="V1425" s="4">
        <f t="shared" si="536"/>
        <v>29.192534267240323</v>
      </c>
      <c r="W1425" s="4">
        <f t="shared" si="544"/>
        <v>1757017.3488641353</v>
      </c>
      <c r="X1425" s="4">
        <f t="shared" si="548"/>
        <v>-5419.7116538404953</v>
      </c>
      <c r="Y1425" s="9">
        <f>SUM($X$6:X1425)</f>
        <v>757017.34886413533</v>
      </c>
      <c r="Z1425" s="16">
        <f t="shared" si="526"/>
        <v>0.7570173488641353</v>
      </c>
      <c r="AA1425" s="16">
        <f t="shared" si="545"/>
        <v>0.91380201400090844</v>
      </c>
      <c r="AB1425" s="16">
        <f t="shared" si="546"/>
        <v>-3.0751235180265985E-3</v>
      </c>
      <c r="AC1425" s="16">
        <f t="shared" si="547"/>
        <v>-3.4536046743949074E-3</v>
      </c>
    </row>
    <row r="1426" spans="1:29" x14ac:dyDescent="0.15">
      <c r="A1426" s="8">
        <v>42971</v>
      </c>
      <c r="B1426" s="4">
        <v>2438.9699999999998</v>
      </c>
      <c r="C1426" s="1">
        <v>11.4589</v>
      </c>
      <c r="D1426" s="1">
        <v>2.0299999999999998</v>
      </c>
      <c r="E1426" s="1">
        <v>1.3465</v>
      </c>
      <c r="F1426" s="4">
        <f t="shared" si="537"/>
        <v>0.114589</v>
      </c>
      <c r="G1426" s="4">
        <f t="shared" si="538"/>
        <v>2.0299999999999999E-2</v>
      </c>
      <c r="H1426" s="4">
        <f t="shared" si="539"/>
        <v>1.3465E-2</v>
      </c>
      <c r="I1426" s="3">
        <f t="shared" si="540"/>
        <v>57.5241617840679</v>
      </c>
      <c r="J1426" s="4">
        <f t="shared" si="527"/>
        <v>1809044.9927916331</v>
      </c>
      <c r="K1426" s="1">
        <f t="shared" si="528"/>
        <v>2480.91</v>
      </c>
      <c r="L1426" s="5">
        <f t="shared" si="529"/>
        <v>0.2027397260273974</v>
      </c>
      <c r="M1426" s="5">
        <f t="shared" si="530"/>
        <v>-0.62728220553559966</v>
      </c>
      <c r="N1426" s="5">
        <f t="shared" si="531"/>
        <v>76.239315198362434</v>
      </c>
      <c r="O1426" s="1">
        <f t="shared" si="532"/>
        <v>0</v>
      </c>
      <c r="P1426" s="1">
        <f t="shared" si="533"/>
        <v>2480.91</v>
      </c>
      <c r="Q1426" s="5">
        <f t="shared" si="534"/>
        <v>0.2027397260273974</v>
      </c>
      <c r="R1426" s="5">
        <f t="shared" si="535"/>
        <v>-0.62728220553559966</v>
      </c>
      <c r="S1426" s="5">
        <f t="shared" si="541"/>
        <v>76.239315198362434</v>
      </c>
      <c r="T1426" s="5">
        <f t="shared" si="542"/>
        <v>-714.83215183235211</v>
      </c>
      <c r="U1426" s="4">
        <f t="shared" si="543"/>
        <v>1809074.1853259003</v>
      </c>
      <c r="V1426" s="4">
        <f t="shared" si="536"/>
        <v>29.193005346765894</v>
      </c>
      <c r="W1426" s="4">
        <f t="shared" si="544"/>
        <v>1754575.8715884299</v>
      </c>
      <c r="X1426" s="4">
        <f t="shared" si="548"/>
        <v>-2441.4772757054307</v>
      </c>
      <c r="Y1426" s="9">
        <f>SUM($X$6:X1426)</f>
        <v>754575.8715884299</v>
      </c>
      <c r="Z1426" s="16">
        <f t="shared" ref="Z1426:Z1486" si="549">Y1426/$H$3</f>
        <v>0.75457587158842987</v>
      </c>
      <c r="AA1426" s="16">
        <f t="shared" si="545"/>
        <v>0.90983195777802128</v>
      </c>
      <c r="AB1426" s="16">
        <f t="shared" si="546"/>
        <v>-1.3895578648006979E-3</v>
      </c>
      <c r="AC1426" s="16">
        <f t="shared" si="547"/>
        <v>-2.0744341336476342E-3</v>
      </c>
    </row>
    <row r="1427" spans="1:29" x14ac:dyDescent="0.15">
      <c r="A1427" s="8">
        <v>42972</v>
      </c>
      <c r="B1427" s="4">
        <v>2443.0500000000002</v>
      </c>
      <c r="C1427" s="1">
        <v>11.0946</v>
      </c>
      <c r="D1427" s="1">
        <v>2.0299999999999998</v>
      </c>
      <c r="E1427" s="1">
        <v>1.3471</v>
      </c>
      <c r="F1427" s="4">
        <f t="shared" si="537"/>
        <v>0.110946</v>
      </c>
      <c r="G1427" s="4">
        <f t="shared" si="538"/>
        <v>2.0299999999999999E-2</v>
      </c>
      <c r="H1427" s="4">
        <f t="shared" si="539"/>
        <v>1.3471E-2</v>
      </c>
      <c r="I1427" s="3">
        <f t="shared" si="540"/>
        <v>55.854572729735246</v>
      </c>
      <c r="J1427" s="4">
        <f t="shared" si="527"/>
        <v>1809074.1853259003</v>
      </c>
      <c r="K1427" s="1">
        <f t="shared" si="528"/>
        <v>2480.91</v>
      </c>
      <c r="L1427" s="5">
        <f t="shared" si="529"/>
        <v>0.20000000000000015</v>
      </c>
      <c r="M1427" s="5">
        <f t="shared" si="530"/>
        <v>-0.62020699960279213</v>
      </c>
      <c r="N1427" s="5">
        <f t="shared" si="531"/>
        <v>71.844307733533967</v>
      </c>
      <c r="O1427" s="1">
        <f t="shared" si="532"/>
        <v>0</v>
      </c>
      <c r="P1427" s="1">
        <f t="shared" si="533"/>
        <v>2480.91</v>
      </c>
      <c r="Q1427" s="5">
        <f t="shared" si="534"/>
        <v>0.20000000000000015</v>
      </c>
      <c r="R1427" s="5">
        <f t="shared" si="535"/>
        <v>-0.62020699960279213</v>
      </c>
      <c r="S1427" s="5">
        <f t="shared" si="541"/>
        <v>71.844307733533967</v>
      </c>
      <c r="T1427" s="5">
        <f t="shared" si="542"/>
        <v>-714.83215183235211</v>
      </c>
      <c r="U1427" s="4">
        <f t="shared" si="543"/>
        <v>1809103.378331247</v>
      </c>
      <c r="V1427" s="4">
        <f t="shared" si="536"/>
        <v>29.19347643389327</v>
      </c>
      <c r="W1427" s="4">
        <f t="shared" si="544"/>
        <v>1757746.7572371792</v>
      </c>
      <c r="X1427" s="4">
        <f t="shared" si="548"/>
        <v>3170.8856487493031</v>
      </c>
      <c r="Y1427" s="9">
        <f>SUM($X$6:X1427)</f>
        <v>757746.7572371792</v>
      </c>
      <c r="Z1427" s="16">
        <f t="shared" si="549"/>
        <v>0.75774675723717921</v>
      </c>
      <c r="AA1427" s="16">
        <f t="shared" si="545"/>
        <v>0.91302679592188329</v>
      </c>
      <c r="AB1427" s="16">
        <f t="shared" si="546"/>
        <v>1.8072091951650275E-3</v>
      </c>
      <c r="AC1427" s="16">
        <f t="shared" si="547"/>
        <v>1.672837304272042E-3</v>
      </c>
    </row>
    <row r="1428" spans="1:29" x14ac:dyDescent="0.15">
      <c r="A1428" s="8">
        <v>42975</v>
      </c>
      <c r="B1428" s="4">
        <v>2444.2399999999998</v>
      </c>
      <c r="C1428" s="1">
        <v>11.0938</v>
      </c>
      <c r="D1428" s="1">
        <v>2.02</v>
      </c>
      <c r="E1428" s="1">
        <v>1.3471</v>
      </c>
      <c r="F1428" s="4">
        <f t="shared" si="537"/>
        <v>0.11093799999999999</v>
      </c>
      <c r="G1428" s="4">
        <f t="shared" si="538"/>
        <v>2.0199999999999999E-2</v>
      </c>
      <c r="H1428" s="4">
        <f t="shared" si="539"/>
        <v>1.3471E-2</v>
      </c>
      <c r="I1428" s="3">
        <f t="shared" si="540"/>
        <v>55.847519919987612</v>
      </c>
      <c r="J1428" s="4">
        <f t="shared" si="527"/>
        <v>1809103.378331247</v>
      </c>
      <c r="K1428" s="1">
        <f t="shared" si="528"/>
        <v>2480.91</v>
      </c>
      <c r="L1428" s="5">
        <f t="shared" si="529"/>
        <v>0.19178082191780838</v>
      </c>
      <c r="M1428" s="5">
        <f t="shared" si="530"/>
        <v>-0.61885449284413452</v>
      </c>
      <c r="N1428" s="5">
        <f t="shared" si="531"/>
        <v>70.044460433546973</v>
      </c>
      <c r="O1428" s="1">
        <f t="shared" si="532"/>
        <v>0</v>
      </c>
      <c r="P1428" s="1">
        <f t="shared" si="533"/>
        <v>2480.91</v>
      </c>
      <c r="Q1428" s="5">
        <f t="shared" si="534"/>
        <v>0.19178082191780838</v>
      </c>
      <c r="R1428" s="5">
        <f t="shared" si="535"/>
        <v>-0.61885449284413452</v>
      </c>
      <c r="S1428" s="5">
        <f t="shared" si="541"/>
        <v>70.044460433546973</v>
      </c>
      <c r="T1428" s="5">
        <f t="shared" si="542"/>
        <v>-714.83215183235211</v>
      </c>
      <c r="U1428" s="4">
        <f t="shared" si="543"/>
        <v>1809132.5718076809</v>
      </c>
      <c r="V1428" s="4">
        <f t="shared" si="536"/>
        <v>87.581842585867719</v>
      </c>
      <c r="W1428" s="4">
        <f t="shared" si="544"/>
        <v>1759062.5394320325</v>
      </c>
      <c r="X1428" s="4">
        <f t="shared" si="548"/>
        <v>1315.7821948532946</v>
      </c>
      <c r="Y1428" s="9">
        <f>SUM($X$6:X1428)</f>
        <v>759062.5394320325</v>
      </c>
      <c r="Z1428" s="16">
        <f t="shared" si="549"/>
        <v>0.7590625394320325</v>
      </c>
      <c r="AA1428" s="16">
        <f t="shared" si="545"/>
        <v>0.91395862371384262</v>
      </c>
      <c r="AB1428" s="16">
        <f t="shared" si="546"/>
        <v>7.485618673087112E-4</v>
      </c>
      <c r="AC1428" s="16">
        <f t="shared" si="547"/>
        <v>4.87096047972657E-4</v>
      </c>
    </row>
    <row r="1429" spans="1:29" x14ac:dyDescent="0.15">
      <c r="A1429" s="8">
        <v>42976</v>
      </c>
      <c r="B1429" s="4">
        <v>2446.3000000000002</v>
      </c>
      <c r="C1429" s="1">
        <v>11.0609</v>
      </c>
      <c r="D1429" s="1">
        <v>2.02</v>
      </c>
      <c r="E1429" s="1">
        <v>1.3315999999999999</v>
      </c>
      <c r="F1429" s="4">
        <f t="shared" si="537"/>
        <v>0.110609</v>
      </c>
      <c r="G1429" s="4">
        <f t="shared" si="538"/>
        <v>2.0199999999999999E-2</v>
      </c>
      <c r="H1429" s="4">
        <f t="shared" si="539"/>
        <v>1.3316E-2</v>
      </c>
      <c r="I1429" s="3">
        <f t="shared" si="540"/>
        <v>55.784374498768919</v>
      </c>
      <c r="J1429" s="4">
        <f t="shared" si="527"/>
        <v>1809132.5718076809</v>
      </c>
      <c r="K1429" s="1">
        <f t="shared" si="528"/>
        <v>2480.91</v>
      </c>
      <c r="L1429" s="5">
        <f t="shared" si="529"/>
        <v>0.18904109589041113</v>
      </c>
      <c r="M1429" s="5">
        <f t="shared" si="530"/>
        <v>-0.61370834529833518</v>
      </c>
      <c r="N1429" s="5">
        <f t="shared" si="531"/>
        <v>68.339692088096726</v>
      </c>
      <c r="O1429" s="1">
        <f t="shared" si="532"/>
        <v>0</v>
      </c>
      <c r="P1429" s="1">
        <f t="shared" si="533"/>
        <v>2480.91</v>
      </c>
      <c r="Q1429" s="5">
        <f t="shared" si="534"/>
        <v>0.18904109589041113</v>
      </c>
      <c r="R1429" s="5">
        <f t="shared" si="535"/>
        <v>-0.61370834529833518</v>
      </c>
      <c r="S1429" s="5">
        <f t="shared" si="541"/>
        <v>68.339692088096726</v>
      </c>
      <c r="T1429" s="5">
        <f t="shared" si="542"/>
        <v>-714.83215183235211</v>
      </c>
      <c r="U1429" s="4">
        <f t="shared" si="543"/>
        <v>1809220.1536502668</v>
      </c>
      <c r="V1429" s="4">
        <f t="shared" si="536"/>
        <v>29.195360835616629</v>
      </c>
      <c r="W1429" s="4">
        <f t="shared" si="544"/>
        <v>1760368.7444993723</v>
      </c>
      <c r="X1429" s="4">
        <f t="shared" si="548"/>
        <v>1306.2050673398189</v>
      </c>
      <c r="Y1429" s="9">
        <f>SUM($X$6:X1429)</f>
        <v>760368.74449937232</v>
      </c>
      <c r="Z1429" s="16">
        <f t="shared" si="549"/>
        <v>0.76036874449937231</v>
      </c>
      <c r="AA1429" s="16">
        <f t="shared" si="545"/>
        <v>0.9155717037570672</v>
      </c>
      <c r="AB1429" s="16">
        <f t="shared" si="546"/>
        <v>7.4255749187949137E-4</v>
      </c>
      <c r="AC1429" s="16">
        <f t="shared" si="547"/>
        <v>8.427977612674698E-4</v>
      </c>
    </row>
    <row r="1430" spans="1:29" x14ac:dyDescent="0.15">
      <c r="A1430" s="8">
        <v>42977</v>
      </c>
      <c r="B1430" s="4">
        <v>2457.59</v>
      </c>
      <c r="C1430" s="1">
        <v>11.026</v>
      </c>
      <c r="D1430" s="1">
        <v>2.0099999999999998</v>
      </c>
      <c r="E1430" s="1">
        <v>1.3307</v>
      </c>
      <c r="F1430" s="4">
        <f t="shared" si="537"/>
        <v>0.11026</v>
      </c>
      <c r="G1430" s="4">
        <f t="shared" si="538"/>
        <v>2.0099999999999996E-2</v>
      </c>
      <c r="H1430" s="4">
        <f t="shared" si="539"/>
        <v>1.3306999999999999E-2</v>
      </c>
      <c r="I1430" s="3">
        <f t="shared" si="540"/>
        <v>55.844144885841452</v>
      </c>
      <c r="J1430" s="4">
        <f t="shared" si="527"/>
        <v>1809220.1536502668</v>
      </c>
      <c r="K1430" s="1">
        <f t="shared" si="528"/>
        <v>2480.91</v>
      </c>
      <c r="L1430" s="5">
        <f t="shared" si="529"/>
        <v>0.18630136986301388</v>
      </c>
      <c r="M1430" s="5">
        <f t="shared" si="530"/>
        <v>-0.5775783273164885</v>
      </c>
      <c r="N1430" s="5">
        <f t="shared" si="531"/>
        <v>61.091009739625918</v>
      </c>
      <c r="O1430" s="1">
        <f t="shared" si="532"/>
        <v>0</v>
      </c>
      <c r="P1430" s="1">
        <f t="shared" si="533"/>
        <v>2480.91</v>
      </c>
      <c r="Q1430" s="5">
        <f t="shared" si="534"/>
        <v>0.18630136986301388</v>
      </c>
      <c r="R1430" s="5">
        <f t="shared" si="535"/>
        <v>-0.5775783273164885</v>
      </c>
      <c r="S1430" s="5">
        <f t="shared" si="541"/>
        <v>61.091009739625918</v>
      </c>
      <c r="T1430" s="5">
        <f t="shared" si="542"/>
        <v>-714.83215183235211</v>
      </c>
      <c r="U1430" s="4">
        <f t="shared" si="543"/>
        <v>1809249.3490111025</v>
      </c>
      <c r="V1430" s="4">
        <f t="shared" si="536"/>
        <v>29.1958319607545</v>
      </c>
      <c r="W1430" s="4">
        <f t="shared" si="544"/>
        <v>1765579.5310613145</v>
      </c>
      <c r="X1430" s="4">
        <f t="shared" si="548"/>
        <v>5210.7865619421937</v>
      </c>
      <c r="Y1430" s="9">
        <f>SUM($X$6:X1430)</f>
        <v>765579.53106131451</v>
      </c>
      <c r="Z1430" s="16">
        <f t="shared" si="549"/>
        <v>0.76557953106131449</v>
      </c>
      <c r="AA1430" s="16">
        <f t="shared" si="545"/>
        <v>0.92441232205221391</v>
      </c>
      <c r="AB1430" s="16">
        <f t="shared" si="546"/>
        <v>2.9600540104022799E-3</v>
      </c>
      <c r="AC1430" s="16">
        <f t="shared" si="547"/>
        <v>4.6151330580877087E-3</v>
      </c>
    </row>
    <row r="1431" spans="1:29" x14ac:dyDescent="0.15">
      <c r="A1431" s="8">
        <v>42978</v>
      </c>
      <c r="B1431" s="4">
        <v>2471.65</v>
      </c>
      <c r="C1431" s="1">
        <v>10.613199999999999</v>
      </c>
      <c r="D1431" s="1">
        <v>2</v>
      </c>
      <c r="E1431" s="1">
        <v>1.3324</v>
      </c>
      <c r="F1431" s="4">
        <f t="shared" si="537"/>
        <v>0.10613199999999999</v>
      </c>
      <c r="G1431" s="4">
        <f t="shared" si="538"/>
        <v>0.02</v>
      </c>
      <c r="H1431" s="4">
        <f t="shared" si="539"/>
        <v>1.3324000000000001E-2</v>
      </c>
      <c r="I1431" s="3">
        <f t="shared" si="540"/>
        <v>54.105155627019812</v>
      </c>
      <c r="J1431" s="4">
        <f t="shared" si="527"/>
        <v>1809249.3490111025</v>
      </c>
      <c r="K1431" s="1">
        <f t="shared" si="528"/>
        <v>2480.91</v>
      </c>
      <c r="L1431" s="5">
        <f t="shared" si="529"/>
        <v>0.18356164383561663</v>
      </c>
      <c r="M1431" s="5">
        <f t="shared" si="530"/>
        <v>-0.53248829869222181</v>
      </c>
      <c r="N1431" s="5">
        <f t="shared" si="531"/>
        <v>51.174925100803513</v>
      </c>
      <c r="O1431" s="1">
        <f t="shared" si="532"/>
        <v>0</v>
      </c>
      <c r="P1431" s="1">
        <f t="shared" si="533"/>
        <v>2480.91</v>
      </c>
      <c r="Q1431" s="5">
        <f t="shared" si="534"/>
        <v>0.18356164383561663</v>
      </c>
      <c r="R1431" s="5">
        <f t="shared" si="535"/>
        <v>-0.53248829869222181</v>
      </c>
      <c r="S1431" s="5">
        <f t="shared" si="541"/>
        <v>51.174925100803513</v>
      </c>
      <c r="T1431" s="5">
        <f t="shared" si="542"/>
        <v>-714.83215183235211</v>
      </c>
      <c r="U1431" s="4">
        <f t="shared" si="543"/>
        <v>1809278.5448430632</v>
      </c>
      <c r="V1431" s="4">
        <f t="shared" si="536"/>
        <v>29.196303093494908</v>
      </c>
      <c r="W1431" s="4">
        <f t="shared" si="544"/>
        <v>1772697.0630133965</v>
      </c>
      <c r="X1431" s="4">
        <f t="shared" si="548"/>
        <v>7117.5319520819467</v>
      </c>
      <c r="Y1431" s="9">
        <f>SUM($X$6:X1431)</f>
        <v>772697.06301339646</v>
      </c>
      <c r="Z1431" s="16">
        <f t="shared" si="549"/>
        <v>0.77269706301339647</v>
      </c>
      <c r="AA1431" s="16">
        <f t="shared" si="545"/>
        <v>0.93542198487150185</v>
      </c>
      <c r="AB1431" s="16">
        <f t="shared" si="546"/>
        <v>4.031272353844915E-3</v>
      </c>
      <c r="AC1431" s="16">
        <f t="shared" si="547"/>
        <v>5.7210519248531875E-3</v>
      </c>
    </row>
    <row r="1432" spans="1:29" x14ac:dyDescent="0.15">
      <c r="A1432" s="8">
        <v>42979</v>
      </c>
      <c r="B1432" s="4">
        <v>2476.5500000000002</v>
      </c>
      <c r="C1432" s="1">
        <v>10.4016</v>
      </c>
      <c r="D1432" s="1">
        <v>2</v>
      </c>
      <c r="E1432" s="1">
        <v>1.3307</v>
      </c>
      <c r="F1432" s="4">
        <f t="shared" si="537"/>
        <v>0.104016</v>
      </c>
      <c r="G1432" s="4">
        <f t="shared" si="538"/>
        <v>0.02</v>
      </c>
      <c r="H1432" s="4">
        <f t="shared" si="539"/>
        <v>1.3306999999999999E-2</v>
      </c>
      <c r="I1432" s="3">
        <f t="shared" si="540"/>
        <v>53.179227319041125</v>
      </c>
      <c r="J1432" s="4">
        <f t="shared" si="527"/>
        <v>1809278.5448430632</v>
      </c>
      <c r="K1432" s="1">
        <f t="shared" si="528"/>
        <v>2480.91</v>
      </c>
      <c r="L1432" s="5">
        <f t="shared" si="529"/>
        <v>0.18082191780821938</v>
      </c>
      <c r="M1432" s="5">
        <f t="shared" si="530"/>
        <v>-0.51608227162539499</v>
      </c>
      <c r="N1432" s="5">
        <f t="shared" si="531"/>
        <v>47.370634365563212</v>
      </c>
      <c r="O1432" s="1">
        <f t="shared" si="532"/>
        <v>0</v>
      </c>
      <c r="P1432" s="1">
        <f t="shared" si="533"/>
        <v>2480.91</v>
      </c>
      <c r="Q1432" s="5">
        <f t="shared" si="534"/>
        <v>0.18082191780821938</v>
      </c>
      <c r="R1432" s="5">
        <f t="shared" si="535"/>
        <v>-0.51608227162539499</v>
      </c>
      <c r="S1432" s="5">
        <f t="shared" si="541"/>
        <v>47.370634365563212</v>
      </c>
      <c r="T1432" s="5">
        <f t="shared" si="542"/>
        <v>-714.83215183235211</v>
      </c>
      <c r="U1432" s="4">
        <f t="shared" si="543"/>
        <v>1809307.7411461568</v>
      </c>
      <c r="V1432" s="4">
        <f t="shared" si="536"/>
        <v>29.196774233837981</v>
      </c>
      <c r="W1432" s="4">
        <f t="shared" si="544"/>
        <v>1775445.6886489578</v>
      </c>
      <c r="X1432" s="4">
        <f t="shared" si="548"/>
        <v>2748.6256355613004</v>
      </c>
      <c r="Y1432" s="9">
        <f>SUM($X$6:X1432)</f>
        <v>775445.68864895776</v>
      </c>
      <c r="Z1432" s="16">
        <f t="shared" si="549"/>
        <v>0.7754456886489578</v>
      </c>
      <c r="AA1432" s="16">
        <f t="shared" si="545"/>
        <v>0.93925892283839463</v>
      </c>
      <c r="AB1432" s="16">
        <f t="shared" si="546"/>
        <v>1.5505331919989358E-3</v>
      </c>
      <c r="AC1432" s="16">
        <f t="shared" si="547"/>
        <v>1.9824813383772341E-3</v>
      </c>
    </row>
    <row r="1433" spans="1:29" x14ac:dyDescent="0.15">
      <c r="A1433" s="8">
        <v>42983</v>
      </c>
      <c r="B1433" s="4">
        <v>2457.85</v>
      </c>
      <c r="C1433" s="1">
        <v>11.5037</v>
      </c>
      <c r="D1433" s="1">
        <v>2.0099999999999998</v>
      </c>
      <c r="E1433" s="1">
        <v>1.3319000000000001</v>
      </c>
      <c r="F1433" s="4">
        <f t="shared" si="537"/>
        <v>0.115037</v>
      </c>
      <c r="G1433" s="4">
        <f t="shared" si="538"/>
        <v>2.0099999999999996E-2</v>
      </c>
      <c r="H1433" s="4">
        <f t="shared" si="539"/>
        <v>1.3319000000000001E-2</v>
      </c>
      <c r="I1433" s="3">
        <f t="shared" si="540"/>
        <v>58.173332212886045</v>
      </c>
      <c r="J1433" s="4">
        <f t="shared" si="527"/>
        <v>1809307.7411461568</v>
      </c>
      <c r="K1433" s="1">
        <f t="shared" si="528"/>
        <v>2480.91</v>
      </c>
      <c r="L1433" s="5">
        <f t="shared" si="529"/>
        <v>0.16986301369863033</v>
      </c>
      <c r="M1433" s="5">
        <f t="shared" si="530"/>
        <v>-0.57633140241599901</v>
      </c>
      <c r="N1433" s="5">
        <f t="shared" si="531"/>
        <v>60.621257593592532</v>
      </c>
      <c r="O1433" s="1">
        <f t="shared" si="532"/>
        <v>0</v>
      </c>
      <c r="P1433" s="1">
        <f t="shared" si="533"/>
        <v>2480.91</v>
      </c>
      <c r="Q1433" s="5">
        <f t="shared" si="534"/>
        <v>0.16986301369863033</v>
      </c>
      <c r="R1433" s="5">
        <f t="shared" si="535"/>
        <v>-0.57633140241599901</v>
      </c>
      <c r="S1433" s="5">
        <f t="shared" si="541"/>
        <v>60.621257593592532</v>
      </c>
      <c r="T1433" s="5">
        <f t="shared" si="542"/>
        <v>-714.83215183235211</v>
      </c>
      <c r="U1433" s="4">
        <f t="shared" si="543"/>
        <v>1809336.9379203906</v>
      </c>
      <c r="V1433" s="4">
        <f t="shared" si="536"/>
        <v>116.78898152713535</v>
      </c>
      <c r="W1433" s="4">
        <f t="shared" si="544"/>
        <v>1766002.9139079796</v>
      </c>
      <c r="X1433" s="4">
        <f t="shared" si="548"/>
        <v>-9442.7747409781441</v>
      </c>
      <c r="Y1433" s="9">
        <f>SUM($X$6:X1433)</f>
        <v>766002.91390797962</v>
      </c>
      <c r="Z1433" s="16">
        <f t="shared" si="549"/>
        <v>0.76600291390797959</v>
      </c>
      <c r="AA1433" s="16">
        <f t="shared" si="545"/>
        <v>0.92461591467902837</v>
      </c>
      <c r="AB1433" s="16">
        <f t="shared" si="546"/>
        <v>-5.3185376502075448E-3</v>
      </c>
      <c r="AC1433" s="16">
        <f t="shared" si="547"/>
        <v>-7.5508267549616488E-3</v>
      </c>
    </row>
    <row r="1434" spans="1:29" x14ac:dyDescent="0.15">
      <c r="A1434" s="8">
        <v>42984</v>
      </c>
      <c r="B1434" s="4">
        <v>2465.54</v>
      </c>
      <c r="C1434" s="1">
        <v>11.2059</v>
      </c>
      <c r="D1434" s="1">
        <v>2.0099999999999998</v>
      </c>
      <c r="E1434" s="1">
        <v>1.3319000000000001</v>
      </c>
      <c r="F1434" s="4">
        <f t="shared" si="537"/>
        <v>0.11205899999999999</v>
      </c>
      <c r="G1434" s="4">
        <f t="shared" si="538"/>
        <v>2.0099999999999996E-2</v>
      </c>
      <c r="H1434" s="4">
        <f t="shared" si="539"/>
        <v>1.3319000000000001E-2</v>
      </c>
      <c r="I1434" s="3">
        <f t="shared" si="540"/>
        <v>56.900069938658469</v>
      </c>
      <c r="J1434" s="4">
        <f t="shared" si="527"/>
        <v>1809336.9379203906</v>
      </c>
      <c r="K1434" s="1">
        <f t="shared" si="528"/>
        <v>2480.91</v>
      </c>
      <c r="L1434" s="5">
        <f t="shared" si="529"/>
        <v>0.16712328767123308</v>
      </c>
      <c r="M1434" s="5">
        <f t="shared" si="530"/>
        <v>-0.55281854926792473</v>
      </c>
      <c r="N1434" s="5">
        <f t="shared" si="531"/>
        <v>54.709634252573473</v>
      </c>
      <c r="O1434" s="1">
        <f t="shared" si="532"/>
        <v>0</v>
      </c>
      <c r="P1434" s="1">
        <f t="shared" si="533"/>
        <v>2480.91</v>
      </c>
      <c r="Q1434" s="5">
        <f t="shared" si="534"/>
        <v>0.16712328767123308</v>
      </c>
      <c r="R1434" s="5">
        <f t="shared" si="535"/>
        <v>-0.55281854926792473</v>
      </c>
      <c r="S1434" s="5">
        <f t="shared" si="541"/>
        <v>54.709634252573473</v>
      </c>
      <c r="T1434" s="5">
        <f t="shared" si="542"/>
        <v>-714.83215183235211</v>
      </c>
      <c r="U1434" s="4">
        <f t="shared" si="543"/>
        <v>1809453.7269019177</v>
      </c>
      <c r="V1434" s="4">
        <f t="shared" si="536"/>
        <v>29.199130003978887</v>
      </c>
      <c r="W1434" s="4">
        <f t="shared" si="544"/>
        <v>1770345.5213231896</v>
      </c>
      <c r="X1434" s="4">
        <f t="shared" si="548"/>
        <v>4342.60741520999</v>
      </c>
      <c r="Y1434" s="9">
        <f>SUM($X$6:X1434)</f>
        <v>770345.52132318961</v>
      </c>
      <c r="Z1434" s="16">
        <f t="shared" si="549"/>
        <v>0.77034552132318956</v>
      </c>
      <c r="AA1434" s="16">
        <f t="shared" si="545"/>
        <v>0.93063755814135596</v>
      </c>
      <c r="AB1434" s="16">
        <f t="shared" si="546"/>
        <v>2.4590035390146974E-3</v>
      </c>
      <c r="AC1434" s="16">
        <f t="shared" si="547"/>
        <v>3.128750737433145E-3</v>
      </c>
    </row>
    <row r="1435" spans="1:29" x14ac:dyDescent="0.15">
      <c r="A1435" s="8">
        <v>42985</v>
      </c>
      <c r="B1435" s="4">
        <v>2465.1</v>
      </c>
      <c r="C1435" s="1">
        <v>11.188000000000001</v>
      </c>
      <c r="D1435" s="1">
        <v>2.0099999999999998</v>
      </c>
      <c r="E1435" s="1">
        <v>1.3319000000000001</v>
      </c>
      <c r="F1435" s="4">
        <f t="shared" si="537"/>
        <v>0.11188000000000001</v>
      </c>
      <c r="G1435" s="4">
        <f t="shared" si="538"/>
        <v>2.0099999999999996E-2</v>
      </c>
      <c r="H1435" s="4">
        <f t="shared" si="539"/>
        <v>1.3319000000000001E-2</v>
      </c>
      <c r="I1435" s="3">
        <f t="shared" si="540"/>
        <v>56.802458590229051</v>
      </c>
      <c r="J1435" s="4">
        <f t="shared" si="527"/>
        <v>1809453.7269019177</v>
      </c>
      <c r="K1435" s="1">
        <f t="shared" si="528"/>
        <v>2480.91</v>
      </c>
      <c r="L1435" s="5">
        <f t="shared" si="529"/>
        <v>0.16438356164383583</v>
      </c>
      <c r="M1435" s="5">
        <f t="shared" si="530"/>
        <v>-0.55495143814718895</v>
      </c>
      <c r="N1435" s="5">
        <f t="shared" si="531"/>
        <v>54.49353288022489</v>
      </c>
      <c r="O1435" s="1">
        <f t="shared" si="532"/>
        <v>0</v>
      </c>
      <c r="P1435" s="1">
        <f t="shared" si="533"/>
        <v>2480.91</v>
      </c>
      <c r="Q1435" s="5">
        <f t="shared" si="534"/>
        <v>0.16438356164383583</v>
      </c>
      <c r="R1435" s="5">
        <f t="shared" si="535"/>
        <v>-0.55495143814718895</v>
      </c>
      <c r="S1435" s="5">
        <f t="shared" si="541"/>
        <v>54.49353288022489</v>
      </c>
      <c r="T1435" s="5">
        <f t="shared" si="542"/>
        <v>-714.83215183235211</v>
      </c>
      <c r="U1435" s="4">
        <f t="shared" si="543"/>
        <v>1809482.9260319218</v>
      </c>
      <c r="V1435" s="4">
        <f t="shared" si="536"/>
        <v>29.199601189939774</v>
      </c>
      <c r="W1435" s="4">
        <f t="shared" si="544"/>
        <v>1770529.1966622036</v>
      </c>
      <c r="X1435" s="4">
        <f t="shared" si="548"/>
        <v>183.67533901403658</v>
      </c>
      <c r="Y1435" s="9">
        <f>SUM($X$6:X1435)</f>
        <v>770529.19666220364</v>
      </c>
      <c r="Z1435" s="16">
        <f t="shared" si="549"/>
        <v>0.77052919666220365</v>
      </c>
      <c r="AA1435" s="16">
        <f t="shared" si="545"/>
        <v>0.93029301677290022</v>
      </c>
      <c r="AB1435" s="16">
        <f t="shared" si="546"/>
        <v>1.0375112473905894E-4</v>
      </c>
      <c r="AC1435" s="16">
        <f t="shared" si="547"/>
        <v>-1.7845989113948854E-4</v>
      </c>
    </row>
    <row r="1436" spans="1:29" x14ac:dyDescent="0.15">
      <c r="A1436" s="8">
        <v>42986</v>
      </c>
      <c r="B1436" s="4">
        <v>2461.4299999999998</v>
      </c>
      <c r="C1436" s="1">
        <v>11.5641</v>
      </c>
      <c r="D1436" s="1">
        <v>2.0099999999999998</v>
      </c>
      <c r="E1436" s="1">
        <v>1.3249</v>
      </c>
      <c r="F1436" s="4">
        <f t="shared" si="537"/>
        <v>0.11564099999999999</v>
      </c>
      <c r="G1436" s="4">
        <f t="shared" si="538"/>
        <v>2.0099999999999996E-2</v>
      </c>
      <c r="H1436" s="4">
        <f t="shared" si="539"/>
        <v>1.3249E-2</v>
      </c>
      <c r="I1436" s="3">
        <f t="shared" si="540"/>
        <v>58.575135329133303</v>
      </c>
      <c r="J1436" s="4">
        <f t="shared" ref="J1436:J1486" si="550">U1435</f>
        <v>1809482.9260319218</v>
      </c>
      <c r="K1436" s="1">
        <f t="shared" ref="K1436:K1486" si="551">P1435</f>
        <v>2480.91</v>
      </c>
      <c r="L1436" s="5">
        <f t="shared" ref="L1436:L1486" si="552">Q1435-(A1436-A1435)/365</f>
        <v>0.16164383561643858</v>
      </c>
      <c r="M1436" s="5">
        <f t="shared" ref="M1436:M1486" si="553">BSM_Put(B1436,K1436,F1436,H1436,G1436,L1436,$G$3)</f>
        <v>-0.56570190615479854</v>
      </c>
      <c r="N1436" s="5">
        <f t="shared" ref="N1436:N1486" si="554">BSM_Put(B1436,K1436,F1436,H1436,G1436,L1436,$F$3)</f>
        <v>57.638490360235771</v>
      </c>
      <c r="O1436" s="1">
        <f t="shared" ref="O1436:O1486" si="555">IF(OR(M1436&gt;-0.05,L1436&lt;=0.00001),1,0)</f>
        <v>0</v>
      </c>
      <c r="P1436" s="1">
        <f t="shared" ref="P1436:P1486" si="556">IF(O1436,B1436,K1436)</f>
        <v>2480.91</v>
      </c>
      <c r="Q1436" s="5">
        <f t="shared" ref="Q1436:Q1486" si="557">IF(O1436,$B$3,L1436)</f>
        <v>0.16164383561643858</v>
      </c>
      <c r="R1436" s="5">
        <f t="shared" ref="R1436:R1486" si="558">IF(O1436,BSM_Put(B1436,P1436,F1436,H1436,G1436,Q1436,$G$3),M1436)</f>
        <v>-0.56570190615479854</v>
      </c>
      <c r="S1436" s="5">
        <f t="shared" si="541"/>
        <v>57.638490360235771</v>
      </c>
      <c r="T1436" s="5">
        <f t="shared" si="542"/>
        <v>-714.83215183235211</v>
      </c>
      <c r="U1436" s="4">
        <f t="shared" si="543"/>
        <v>1809512.1256331117</v>
      </c>
      <c r="V1436" s="4">
        <f t="shared" ref="V1436:V1486" si="559">U1436*$H$6*(A1436-A1435)/365</f>
        <v>29.200072383504185</v>
      </c>
      <c r="W1436" s="4">
        <f t="shared" si="544"/>
        <v>1768310.279540536</v>
      </c>
      <c r="X1436" s="4">
        <f t="shared" si="548"/>
        <v>-2218.9171216676477</v>
      </c>
      <c r="Y1436" s="9">
        <f>SUM($X$6:X1436)</f>
        <v>768310.27954053599</v>
      </c>
      <c r="Z1436" s="16">
        <f t="shared" si="549"/>
        <v>0.76831027954053599</v>
      </c>
      <c r="AA1436" s="16">
        <f t="shared" si="545"/>
        <v>0.92741922854055403</v>
      </c>
      <c r="AB1436" s="16">
        <f t="shared" si="546"/>
        <v>-1.253250794085036E-3</v>
      </c>
      <c r="AC1436" s="16">
        <f t="shared" si="547"/>
        <v>-1.4887834164942894E-3</v>
      </c>
    </row>
    <row r="1437" spans="1:29" x14ac:dyDescent="0.15">
      <c r="A1437" s="8">
        <v>42989</v>
      </c>
      <c r="B1437" s="4">
        <v>2488.11</v>
      </c>
      <c r="C1437" s="1">
        <v>10.704800000000001</v>
      </c>
      <c r="D1437" s="1">
        <v>1.99</v>
      </c>
      <c r="E1437" s="1">
        <v>1.3312999999999999</v>
      </c>
      <c r="F1437" s="4">
        <f t="shared" si="537"/>
        <v>0.107048</v>
      </c>
      <c r="G1437" s="4">
        <f t="shared" si="538"/>
        <v>1.9900000000000001E-2</v>
      </c>
      <c r="H1437" s="4">
        <f t="shared" si="539"/>
        <v>1.3312999999999998E-2</v>
      </c>
      <c r="I1437" s="3">
        <f t="shared" si="540"/>
        <v>54.889791092433569</v>
      </c>
      <c r="J1437" s="4">
        <f t="shared" si="550"/>
        <v>1809512.1256331117</v>
      </c>
      <c r="K1437" s="1">
        <f t="shared" si="551"/>
        <v>2480.91</v>
      </c>
      <c r="L1437" s="5">
        <f t="shared" si="552"/>
        <v>0.15342465753424681</v>
      </c>
      <c r="M1437" s="5">
        <f t="shared" si="553"/>
        <v>-0.47225406474866438</v>
      </c>
      <c r="N1437" s="5">
        <f t="shared" si="554"/>
        <v>39.154696602349425</v>
      </c>
      <c r="O1437" s="1">
        <f t="shared" si="555"/>
        <v>0</v>
      </c>
      <c r="P1437" s="1">
        <f t="shared" si="556"/>
        <v>2480.91</v>
      </c>
      <c r="Q1437" s="5">
        <f t="shared" si="557"/>
        <v>0.15342465753424681</v>
      </c>
      <c r="R1437" s="5">
        <f t="shared" si="558"/>
        <v>-0.47225406474866438</v>
      </c>
      <c r="S1437" s="5">
        <f t="shared" si="541"/>
        <v>39.154696602349425</v>
      </c>
      <c r="T1437" s="5">
        <f t="shared" si="542"/>
        <v>-714.83215183235211</v>
      </c>
      <c r="U1437" s="4">
        <f t="shared" si="543"/>
        <v>1809541.3257054952</v>
      </c>
      <c r="V1437" s="4">
        <f t="shared" si="559"/>
        <v>87.601630754016711</v>
      </c>
      <c r="W1437" s="4">
        <f t="shared" si="544"/>
        <v>1781552.2896788949</v>
      </c>
      <c r="X1437" s="4">
        <f t="shared" si="548"/>
        <v>13242.010138358921</v>
      </c>
      <c r="Y1437" s="9">
        <f>SUM($X$6:X1437)</f>
        <v>781552.28967889491</v>
      </c>
      <c r="Z1437" s="16">
        <f t="shared" si="549"/>
        <v>0.7815522896788949</v>
      </c>
      <c r="AA1437" s="16">
        <f t="shared" si="545"/>
        <v>0.9483109642460027</v>
      </c>
      <c r="AB1437" s="16">
        <f t="shared" si="546"/>
        <v>7.4885105241822274E-3</v>
      </c>
      <c r="AC1437" s="16">
        <f t="shared" si="547"/>
        <v>1.0839227603466397E-2</v>
      </c>
    </row>
    <row r="1438" spans="1:29" x14ac:dyDescent="0.15">
      <c r="A1438" s="8">
        <v>42990</v>
      </c>
      <c r="B1438" s="4">
        <v>2496.48</v>
      </c>
      <c r="C1438" s="1">
        <v>10.3736</v>
      </c>
      <c r="D1438" s="1">
        <v>1.98</v>
      </c>
      <c r="E1438" s="1">
        <v>1.3338000000000001</v>
      </c>
      <c r="F1438" s="4">
        <f t="shared" si="537"/>
        <v>0.10373599999999999</v>
      </c>
      <c r="G1438" s="4">
        <f t="shared" si="538"/>
        <v>1.9799999999999998E-2</v>
      </c>
      <c r="H1438" s="4">
        <f t="shared" si="539"/>
        <v>1.3338000000000001E-2</v>
      </c>
      <c r="I1438" s="3">
        <f t="shared" si="540"/>
        <v>53.396365217085282</v>
      </c>
      <c r="J1438" s="4">
        <f t="shared" si="550"/>
        <v>1809541.3257054952</v>
      </c>
      <c r="K1438" s="1">
        <f t="shared" si="551"/>
        <v>2480.91</v>
      </c>
      <c r="L1438" s="5">
        <f t="shared" si="552"/>
        <v>0.15068493150684956</v>
      </c>
      <c r="M1438" s="5">
        <f t="shared" si="553"/>
        <v>-0.43855180777669039</v>
      </c>
      <c r="N1438" s="5">
        <f t="shared" si="554"/>
        <v>33.663506034528716</v>
      </c>
      <c r="O1438" s="1">
        <f t="shared" si="555"/>
        <v>0</v>
      </c>
      <c r="P1438" s="1">
        <f t="shared" si="556"/>
        <v>2480.91</v>
      </c>
      <c r="Q1438" s="5">
        <f t="shared" si="557"/>
        <v>0.15068493150684956</v>
      </c>
      <c r="R1438" s="5">
        <f t="shared" si="558"/>
        <v>-0.43855180777669039</v>
      </c>
      <c r="S1438" s="5">
        <f t="shared" si="541"/>
        <v>33.663506034528716</v>
      </c>
      <c r="T1438" s="5">
        <f t="shared" si="542"/>
        <v>-714.83215183235211</v>
      </c>
      <c r="U1438" s="4">
        <f t="shared" si="543"/>
        <v>1809628.9273362493</v>
      </c>
      <c r="V1438" s="4">
        <f t="shared" si="559"/>
        <v>29.20195721098769</v>
      </c>
      <c r="W1438" s="4">
        <f t="shared" si="544"/>
        <v>1785565.1708793656</v>
      </c>
      <c r="X1438" s="4">
        <f t="shared" si="548"/>
        <v>4012.8812004707288</v>
      </c>
      <c r="Y1438" s="9">
        <f>SUM($X$6:X1438)</f>
        <v>785565.17087936564</v>
      </c>
      <c r="Z1438" s="16">
        <f t="shared" si="549"/>
        <v>0.78556517087936562</v>
      </c>
      <c r="AA1438" s="16">
        <f t="shared" si="545"/>
        <v>0.95486508073230714</v>
      </c>
      <c r="AB1438" s="16">
        <f t="shared" si="546"/>
        <v>2.2524633285919472E-3</v>
      </c>
      <c r="AC1438" s="16">
        <f t="shared" si="547"/>
        <v>3.3639991801005143E-3</v>
      </c>
    </row>
    <row r="1439" spans="1:29" x14ac:dyDescent="0.15">
      <c r="A1439" s="8">
        <v>42991</v>
      </c>
      <c r="B1439" s="4">
        <v>2498.37</v>
      </c>
      <c r="C1439" s="1">
        <v>10.171799999999999</v>
      </c>
      <c r="D1439" s="1">
        <v>1.98</v>
      </c>
      <c r="E1439" s="1">
        <v>1.3347</v>
      </c>
      <c r="F1439" s="4">
        <f t="shared" si="537"/>
        <v>0.10171799999999999</v>
      </c>
      <c r="G1439" s="4">
        <f t="shared" si="538"/>
        <v>1.9799999999999998E-2</v>
      </c>
      <c r="H1439" s="4">
        <f t="shared" si="539"/>
        <v>1.3346999999999999E-2</v>
      </c>
      <c r="I1439" s="3">
        <f t="shared" si="540"/>
        <v>52.434533831898172</v>
      </c>
      <c r="J1439" s="4">
        <f t="shared" si="550"/>
        <v>1809628.9273362493</v>
      </c>
      <c r="K1439" s="1">
        <f t="shared" si="551"/>
        <v>2480.91</v>
      </c>
      <c r="L1439" s="5">
        <f t="shared" si="552"/>
        <v>0.14794520547945231</v>
      </c>
      <c r="M1439" s="5">
        <f t="shared" si="553"/>
        <v>-0.42951094510722387</v>
      </c>
      <c r="N1439" s="5">
        <f t="shared" si="554"/>
        <v>31.702211996600475</v>
      </c>
      <c r="O1439" s="1">
        <f t="shared" si="555"/>
        <v>0</v>
      </c>
      <c r="P1439" s="1">
        <f t="shared" si="556"/>
        <v>2480.91</v>
      </c>
      <c r="Q1439" s="5">
        <f t="shared" si="557"/>
        <v>0.14794520547945231</v>
      </c>
      <c r="R1439" s="5">
        <f t="shared" si="558"/>
        <v>-0.42951094510722387</v>
      </c>
      <c r="S1439" s="5">
        <f t="shared" si="541"/>
        <v>31.702211996600475</v>
      </c>
      <c r="T1439" s="5">
        <f t="shared" si="542"/>
        <v>-714.83215183235211</v>
      </c>
      <c r="U1439" s="4">
        <f t="shared" si="543"/>
        <v>1809658.1292934602</v>
      </c>
      <c r="V1439" s="4">
        <f t="shared" si="559"/>
        <v>29.202428442571176</v>
      </c>
      <c r="W1439" s="4">
        <f t="shared" si="544"/>
        <v>1786996.3688740849</v>
      </c>
      <c r="X1439" s="4">
        <f t="shared" si="548"/>
        <v>1431.1979947192594</v>
      </c>
      <c r="Y1439" s="9">
        <f>SUM($X$6:X1439)</f>
        <v>786996.3688740849</v>
      </c>
      <c r="Z1439" s="16">
        <f t="shared" si="549"/>
        <v>0.78699636887408486</v>
      </c>
      <c r="AA1439" s="16">
        <f t="shared" si="545"/>
        <v>0.95634504251953711</v>
      </c>
      <c r="AB1439" s="16">
        <f t="shared" si="546"/>
        <v>8.0153780890249702E-4</v>
      </c>
      <c r="AC1439" s="16">
        <f t="shared" si="547"/>
        <v>7.5706594885593817E-4</v>
      </c>
    </row>
    <row r="1440" spans="1:29" x14ac:dyDescent="0.15">
      <c r="A1440" s="8">
        <v>42992</v>
      </c>
      <c r="B1440" s="4">
        <v>2495.62</v>
      </c>
      <c r="C1440" s="1">
        <v>10.083600000000001</v>
      </c>
      <c r="D1440" s="1">
        <v>1.98</v>
      </c>
      <c r="E1440" s="1">
        <v>1.3357999999999999</v>
      </c>
      <c r="F1440" s="4">
        <f t="shared" si="537"/>
        <v>0.10083600000000001</v>
      </c>
      <c r="G1440" s="4">
        <f t="shared" si="538"/>
        <v>1.9799999999999998E-2</v>
      </c>
      <c r="H1440" s="4">
        <f t="shared" si="539"/>
        <v>1.3357999999999998E-2</v>
      </c>
      <c r="I1440" s="3">
        <f t="shared" si="540"/>
        <v>51.936959209185659</v>
      </c>
      <c r="J1440" s="4">
        <f t="shared" si="550"/>
        <v>1809658.1292934602</v>
      </c>
      <c r="K1440" s="1">
        <f t="shared" si="551"/>
        <v>2480.91</v>
      </c>
      <c r="L1440" s="5">
        <f t="shared" si="552"/>
        <v>0.14520547945205506</v>
      </c>
      <c r="M1440" s="5">
        <f t="shared" si="553"/>
        <v>-0.43962057053567366</v>
      </c>
      <c r="N1440" s="5">
        <f t="shared" si="554"/>
        <v>32.191079795934705</v>
      </c>
      <c r="O1440" s="1">
        <f t="shared" si="555"/>
        <v>0</v>
      </c>
      <c r="P1440" s="1">
        <f t="shared" si="556"/>
        <v>2480.91</v>
      </c>
      <c r="Q1440" s="5">
        <f t="shared" si="557"/>
        <v>0.14520547945205506</v>
      </c>
      <c r="R1440" s="5">
        <f t="shared" si="558"/>
        <v>-0.43962057053567366</v>
      </c>
      <c r="S1440" s="5">
        <f t="shared" si="541"/>
        <v>32.191079795934705</v>
      </c>
      <c r="T1440" s="5">
        <f t="shared" si="542"/>
        <v>-714.83215183235211</v>
      </c>
      <c r="U1440" s="4">
        <f t="shared" si="543"/>
        <v>1809687.3317219028</v>
      </c>
      <c r="V1440" s="4">
        <f t="shared" si="559"/>
        <v>29.202899681758922</v>
      </c>
      <c r="W1440" s="4">
        <f t="shared" si="544"/>
        <v>1786676.1128815678</v>
      </c>
      <c r="X1440" s="4">
        <f t="shared" si="548"/>
        <v>-320.2559925171081</v>
      </c>
      <c r="Y1440" s="9">
        <f>SUM($X$6:X1440)</f>
        <v>786676.11288156779</v>
      </c>
      <c r="Z1440" s="16">
        <f t="shared" si="549"/>
        <v>0.7866761128815678</v>
      </c>
      <c r="AA1440" s="16">
        <f t="shared" si="545"/>
        <v>0.95419165896668912</v>
      </c>
      <c r="AB1440" s="16">
        <f t="shared" si="546"/>
        <v>-1.7921468565651794E-4</v>
      </c>
      <c r="AC1440" s="16">
        <f t="shared" si="547"/>
        <v>-1.1007176679194836E-3</v>
      </c>
    </row>
    <row r="1441" spans="1:29" x14ac:dyDescent="0.15">
      <c r="A1441" s="8">
        <v>42993</v>
      </c>
      <c r="B1441" s="4">
        <v>2500.23</v>
      </c>
      <c r="C1441" s="1">
        <v>9.8641000000000005</v>
      </c>
      <c r="D1441" s="1">
        <v>1.98</v>
      </c>
      <c r="E1441" s="1">
        <v>1.3386</v>
      </c>
      <c r="F1441" s="4">
        <f t="shared" si="537"/>
        <v>9.8641000000000006E-2</v>
      </c>
      <c r="G1441" s="4">
        <f t="shared" si="538"/>
        <v>1.9799999999999998E-2</v>
      </c>
      <c r="H1441" s="4">
        <f t="shared" si="539"/>
        <v>1.3386E-2</v>
      </c>
      <c r="I1441" s="3">
        <f t="shared" si="540"/>
        <v>50.936019467510981</v>
      </c>
      <c r="J1441" s="4">
        <f t="shared" si="550"/>
        <v>1809687.3317219028</v>
      </c>
      <c r="K1441" s="1">
        <f t="shared" si="551"/>
        <v>2480.91</v>
      </c>
      <c r="L1441" s="5">
        <f t="shared" si="552"/>
        <v>0.14246575342465781</v>
      </c>
      <c r="M1441" s="5">
        <f t="shared" si="553"/>
        <v>-0.41860976184982251</v>
      </c>
      <c r="N1441" s="5">
        <f t="shared" si="554"/>
        <v>29.023245534135093</v>
      </c>
      <c r="O1441" s="1">
        <f t="shared" si="555"/>
        <v>0</v>
      </c>
      <c r="P1441" s="1">
        <f t="shared" si="556"/>
        <v>2480.91</v>
      </c>
      <c r="Q1441" s="5">
        <f t="shared" si="557"/>
        <v>0.14246575342465781</v>
      </c>
      <c r="R1441" s="5">
        <f t="shared" si="558"/>
        <v>-0.41860976184982251</v>
      </c>
      <c r="S1441" s="5">
        <f t="shared" si="541"/>
        <v>29.023245534135093</v>
      </c>
      <c r="T1441" s="5">
        <f t="shared" si="542"/>
        <v>-714.83215183235211</v>
      </c>
      <c r="U1441" s="4">
        <f t="shared" si="543"/>
        <v>1809716.5346215847</v>
      </c>
      <c r="V1441" s="4">
        <f t="shared" si="559"/>
        <v>29.203370928551049</v>
      </c>
      <c r="W1441" s="4">
        <f t="shared" si="544"/>
        <v>1788969.7855632603</v>
      </c>
      <c r="X1441" s="4">
        <f t="shared" si="548"/>
        <v>2293.672681692522</v>
      </c>
      <c r="Y1441" s="9">
        <f>SUM($X$6:X1441)</f>
        <v>788969.78556326032</v>
      </c>
      <c r="Z1441" s="16">
        <f t="shared" si="549"/>
        <v>0.78896978556326036</v>
      </c>
      <c r="AA1441" s="16">
        <f t="shared" si="545"/>
        <v>0.95780151284982706</v>
      </c>
      <c r="AB1441" s="16">
        <f t="shared" si="546"/>
        <v>1.2837652359907949E-3</v>
      </c>
      <c r="AC1441" s="16">
        <f t="shared" si="547"/>
        <v>1.8472363580994413E-3</v>
      </c>
    </row>
    <row r="1442" spans="1:29" x14ac:dyDescent="0.15">
      <c r="A1442" s="8">
        <v>42996</v>
      </c>
      <c r="B1442" s="4">
        <v>2503.87</v>
      </c>
      <c r="C1442" s="1">
        <v>9.6852999999999998</v>
      </c>
      <c r="D1442" s="1">
        <v>1.97</v>
      </c>
      <c r="E1442" s="1">
        <v>1.3397000000000001</v>
      </c>
      <c r="F1442" s="4">
        <f t="shared" si="537"/>
        <v>9.6852999999999995E-2</v>
      </c>
      <c r="G1442" s="4">
        <f t="shared" si="538"/>
        <v>1.9699999999999999E-2</v>
      </c>
      <c r="H1442" s="4">
        <f t="shared" si="539"/>
        <v>1.3397000000000001E-2</v>
      </c>
      <c r="I1442" s="3">
        <f t="shared" si="540"/>
        <v>50.087956055091233</v>
      </c>
      <c r="J1442" s="4">
        <f t="shared" si="550"/>
        <v>1809716.5346215847</v>
      </c>
      <c r="K1442" s="1">
        <f t="shared" si="551"/>
        <v>2480.91</v>
      </c>
      <c r="L1442" s="5">
        <f t="shared" si="552"/>
        <v>0.13424657534246603</v>
      </c>
      <c r="M1442" s="5">
        <f t="shared" si="553"/>
        <v>-0.39888742805791838</v>
      </c>
      <c r="N1442" s="5">
        <f t="shared" si="554"/>
        <v>25.776135056513411</v>
      </c>
      <c r="O1442" s="1">
        <f t="shared" si="555"/>
        <v>0</v>
      </c>
      <c r="P1442" s="1">
        <f t="shared" si="556"/>
        <v>2480.91</v>
      </c>
      <c r="Q1442" s="5">
        <f t="shared" si="557"/>
        <v>0.13424657534246603</v>
      </c>
      <c r="R1442" s="5">
        <f t="shared" si="558"/>
        <v>-0.39888742805791838</v>
      </c>
      <c r="S1442" s="5">
        <f t="shared" si="541"/>
        <v>25.776135056513411</v>
      </c>
      <c r="T1442" s="5">
        <f t="shared" si="542"/>
        <v>-714.83215183235211</v>
      </c>
      <c r="U1442" s="4">
        <f t="shared" si="543"/>
        <v>1809745.7379925132</v>
      </c>
      <c r="V1442" s="4">
        <f t="shared" si="559"/>
        <v>87.611526548843031</v>
      </c>
      <c r="W1442" s="4">
        <f t="shared" si="544"/>
        <v>1791320.1279041443</v>
      </c>
      <c r="X1442" s="4">
        <f t="shared" si="548"/>
        <v>2350.3423408840317</v>
      </c>
      <c r="Y1442" s="9">
        <f>SUM($X$6:X1442)</f>
        <v>791320.12790414435</v>
      </c>
      <c r="Z1442" s="16">
        <f t="shared" si="549"/>
        <v>0.7913201279041443</v>
      </c>
      <c r="AA1442" s="16">
        <f t="shared" si="545"/>
        <v>0.960651809625233</v>
      </c>
      <c r="AB1442" s="16">
        <f t="shared" si="546"/>
        <v>1.3137965547830772E-3</v>
      </c>
      <c r="AC1442" s="16">
        <f t="shared" si="547"/>
        <v>1.4558660603223993E-3</v>
      </c>
    </row>
    <row r="1443" spans="1:29" x14ac:dyDescent="0.15">
      <c r="A1443" s="8">
        <v>42997</v>
      </c>
      <c r="B1443" s="4">
        <v>2506.65</v>
      </c>
      <c r="C1443" s="1">
        <v>9.6014999999999997</v>
      </c>
      <c r="D1443" s="1">
        <v>1.97</v>
      </c>
      <c r="E1443" s="1">
        <v>1.3408</v>
      </c>
      <c r="F1443" s="4">
        <f t="shared" si="537"/>
        <v>9.6015000000000003E-2</v>
      </c>
      <c r="G1443" s="4">
        <f t="shared" si="538"/>
        <v>1.9699999999999999E-2</v>
      </c>
      <c r="H1443" s="4">
        <f t="shared" si="539"/>
        <v>1.3408E-2</v>
      </c>
      <c r="I1443" s="3">
        <f t="shared" si="540"/>
        <v>49.723623166974207</v>
      </c>
      <c r="J1443" s="4">
        <f t="shared" si="550"/>
        <v>1809745.7379925132</v>
      </c>
      <c r="K1443" s="1">
        <f t="shared" si="551"/>
        <v>2480.91</v>
      </c>
      <c r="L1443" s="5">
        <f t="shared" si="552"/>
        <v>0.13150684931506879</v>
      </c>
      <c r="M1443" s="5">
        <f t="shared" si="553"/>
        <v>-0.38487607233394189</v>
      </c>
      <c r="N1443" s="5">
        <f t="shared" si="554"/>
        <v>24.027515176870438</v>
      </c>
      <c r="O1443" s="1">
        <f t="shared" si="555"/>
        <v>0</v>
      </c>
      <c r="P1443" s="1">
        <f t="shared" si="556"/>
        <v>2480.91</v>
      </c>
      <c r="Q1443" s="5">
        <f t="shared" si="557"/>
        <v>0.13150684931506879</v>
      </c>
      <c r="R1443" s="5">
        <f t="shared" si="558"/>
        <v>-0.38487607233394189</v>
      </c>
      <c r="S1443" s="5">
        <f t="shared" si="541"/>
        <v>24.027515176870438</v>
      </c>
      <c r="T1443" s="5">
        <f t="shared" si="542"/>
        <v>-714.83215183235211</v>
      </c>
      <c r="U1443" s="4">
        <f t="shared" si="543"/>
        <v>1809833.3495190621</v>
      </c>
      <c r="V1443" s="4">
        <f t="shared" si="559"/>
        <v>29.205255968951437</v>
      </c>
      <c r="W1443" s="4">
        <f t="shared" si="544"/>
        <v>1792657.7091419953</v>
      </c>
      <c r="X1443" s="4">
        <f t="shared" si="548"/>
        <v>1337.5812378509436</v>
      </c>
      <c r="Y1443" s="9">
        <f>SUM($X$6:X1443)</f>
        <v>792657.70914199529</v>
      </c>
      <c r="Z1443" s="16">
        <f t="shared" si="549"/>
        <v>0.79265770914199529</v>
      </c>
      <c r="AA1443" s="16">
        <f t="shared" si="545"/>
        <v>0.96282868463502125</v>
      </c>
      <c r="AB1443" s="16">
        <f t="shared" si="546"/>
        <v>7.4670139469482869E-4</v>
      </c>
      <c r="AC1443" s="16">
        <f t="shared" si="547"/>
        <v>1.1102812845715632E-3</v>
      </c>
    </row>
    <row r="1444" spans="1:29" x14ac:dyDescent="0.15">
      <c r="A1444" s="8">
        <v>42998</v>
      </c>
      <c r="B1444" s="4">
        <v>2508.2399999999998</v>
      </c>
      <c r="C1444" s="1">
        <v>9.5330999999999992</v>
      </c>
      <c r="D1444" s="1">
        <v>1.97</v>
      </c>
      <c r="E1444" s="1">
        <v>1.3378000000000001</v>
      </c>
      <c r="F1444" s="4">
        <f t="shared" si="537"/>
        <v>9.5330999999999999E-2</v>
      </c>
      <c r="G1444" s="4">
        <f t="shared" si="538"/>
        <v>1.9699999999999999E-2</v>
      </c>
      <c r="H1444" s="4">
        <f t="shared" si="539"/>
        <v>1.3378000000000001E-2</v>
      </c>
      <c r="I1444" s="3">
        <f t="shared" si="540"/>
        <v>49.424873312692952</v>
      </c>
      <c r="J1444" s="4">
        <f t="shared" si="550"/>
        <v>1809833.3495190621</v>
      </c>
      <c r="K1444" s="1">
        <f t="shared" si="551"/>
        <v>2480.91</v>
      </c>
      <c r="L1444" s="5">
        <f t="shared" si="552"/>
        <v>0.12876712328767154</v>
      </c>
      <c r="M1444" s="5">
        <f t="shared" si="553"/>
        <v>-0.37596765086583883</v>
      </c>
      <c r="N1444" s="5">
        <f t="shared" si="554"/>
        <v>22.829219093154332</v>
      </c>
      <c r="O1444" s="1">
        <f t="shared" si="555"/>
        <v>0</v>
      </c>
      <c r="P1444" s="1">
        <f t="shared" si="556"/>
        <v>2480.91</v>
      </c>
      <c r="Q1444" s="5">
        <f t="shared" si="557"/>
        <v>0.12876712328767154</v>
      </c>
      <c r="R1444" s="5">
        <f t="shared" si="558"/>
        <v>-0.37596765086583883</v>
      </c>
      <c r="S1444" s="5">
        <f t="shared" si="541"/>
        <v>22.829219093154332</v>
      </c>
      <c r="T1444" s="5">
        <f t="shared" si="542"/>
        <v>-714.83215183235211</v>
      </c>
      <c r="U1444" s="4">
        <f t="shared" si="543"/>
        <v>1809862.5547750311</v>
      </c>
      <c r="V1444" s="4">
        <f t="shared" si="559"/>
        <v>29.205727253766938</v>
      </c>
      <c r="W1444" s="4">
        <f t="shared" si="544"/>
        <v>1793543.4949660194</v>
      </c>
      <c r="X1444" s="4">
        <f t="shared" si="548"/>
        <v>885.78582402411848</v>
      </c>
      <c r="Y1444" s="9">
        <f>SUM($X$6:X1444)</f>
        <v>793543.49496601941</v>
      </c>
      <c r="Z1444" s="16">
        <f t="shared" si="549"/>
        <v>0.79354349496601939</v>
      </c>
      <c r="AA1444" s="16">
        <f t="shared" si="545"/>
        <v>0.96407373185284939</v>
      </c>
      <c r="AB1444" s="16">
        <f t="shared" si="546"/>
        <v>4.941187709772407E-4</v>
      </c>
      <c r="AC1444" s="16">
        <f t="shared" si="547"/>
        <v>6.3431272814301587E-4</v>
      </c>
    </row>
    <row r="1445" spans="1:29" x14ac:dyDescent="0.15">
      <c r="A1445" s="8">
        <v>42999</v>
      </c>
      <c r="B1445" s="4">
        <v>2500.6</v>
      </c>
      <c r="C1445" s="1">
        <v>9.5731000000000002</v>
      </c>
      <c r="D1445" s="1">
        <v>1.97</v>
      </c>
      <c r="E1445" s="1">
        <v>1.3428</v>
      </c>
      <c r="F1445" s="4">
        <f t="shared" si="537"/>
        <v>9.5730999999999997E-2</v>
      </c>
      <c r="G1445" s="4">
        <f t="shared" si="538"/>
        <v>1.9699999999999999E-2</v>
      </c>
      <c r="H1445" s="4">
        <f t="shared" si="539"/>
        <v>1.3428000000000001E-2</v>
      </c>
      <c r="I1445" s="3">
        <f t="shared" si="540"/>
        <v>49.456351176920535</v>
      </c>
      <c r="J1445" s="4">
        <f t="shared" si="550"/>
        <v>1809862.5547750311</v>
      </c>
      <c r="K1445" s="1">
        <f t="shared" si="551"/>
        <v>2480.91</v>
      </c>
      <c r="L1445" s="5">
        <f t="shared" si="552"/>
        <v>0.12602739726027429</v>
      </c>
      <c r="M1445" s="5">
        <f t="shared" si="553"/>
        <v>-0.40944851380218311</v>
      </c>
      <c r="N1445" s="5">
        <f t="shared" si="554"/>
        <v>25.591103397905673</v>
      </c>
      <c r="O1445" s="1">
        <f t="shared" si="555"/>
        <v>0</v>
      </c>
      <c r="P1445" s="1">
        <f t="shared" si="556"/>
        <v>2480.91</v>
      </c>
      <c r="Q1445" s="5">
        <f t="shared" si="557"/>
        <v>0.12602739726027429</v>
      </c>
      <c r="R1445" s="5">
        <f t="shared" si="558"/>
        <v>-0.40944851380218311</v>
      </c>
      <c r="S1445" s="5">
        <f t="shared" si="541"/>
        <v>25.591103397905673</v>
      </c>
      <c r="T1445" s="5">
        <f t="shared" si="542"/>
        <v>-714.83215183235211</v>
      </c>
      <c r="U1445" s="4">
        <f t="shared" si="543"/>
        <v>1809891.7605022849</v>
      </c>
      <c r="V1445" s="4">
        <f t="shared" si="559"/>
        <v>29.206198546187551</v>
      </c>
      <c r="W1445" s="4">
        <f t="shared" si="544"/>
        <v>1791598.4169925957</v>
      </c>
      <c r="X1445" s="4">
        <f t="shared" si="548"/>
        <v>-1945.0779734237585</v>
      </c>
      <c r="Y1445" s="9">
        <f>SUM($X$6:X1445)</f>
        <v>791598.41699259565</v>
      </c>
      <c r="Z1445" s="16">
        <f t="shared" si="549"/>
        <v>0.7915984169925957</v>
      </c>
      <c r="AA1445" s="16">
        <f t="shared" si="545"/>
        <v>0.95809124081875563</v>
      </c>
      <c r="AB1445" s="16">
        <f t="shared" si="546"/>
        <v>-1.084488878515104E-3</v>
      </c>
      <c r="AC1445" s="16">
        <f t="shared" si="547"/>
        <v>-3.0459605141453265E-3</v>
      </c>
    </row>
    <row r="1446" spans="1:29" x14ac:dyDescent="0.15">
      <c r="A1446" s="8">
        <v>43000</v>
      </c>
      <c r="B1446" s="4">
        <v>2502.2199999999998</v>
      </c>
      <c r="C1446" s="1">
        <v>9.7193000000000005</v>
      </c>
      <c r="D1446" s="1">
        <v>1.97</v>
      </c>
      <c r="E1446" s="1">
        <v>1.3439999999999999</v>
      </c>
      <c r="F1446" s="4">
        <f t="shared" si="537"/>
        <v>9.7193000000000002E-2</v>
      </c>
      <c r="G1446" s="4">
        <f t="shared" si="538"/>
        <v>1.9699999999999999E-2</v>
      </c>
      <c r="H1446" s="4">
        <f t="shared" si="539"/>
        <v>1.3439999999999999E-2</v>
      </c>
      <c r="I1446" s="3">
        <f t="shared" si="540"/>
        <v>50.209611037532227</v>
      </c>
      <c r="J1446" s="4">
        <f t="shared" si="550"/>
        <v>1809891.7605022849</v>
      </c>
      <c r="K1446" s="1">
        <f t="shared" si="551"/>
        <v>2480.91</v>
      </c>
      <c r="L1446" s="5">
        <f t="shared" si="552"/>
        <v>0.12328767123287702</v>
      </c>
      <c r="M1446" s="5">
        <f t="shared" si="553"/>
        <v>-0.40222295960438231</v>
      </c>
      <c r="N1446" s="5">
        <f t="shared" si="554"/>
        <v>25.053007908378181</v>
      </c>
      <c r="O1446" s="1">
        <f t="shared" si="555"/>
        <v>0</v>
      </c>
      <c r="P1446" s="1">
        <f t="shared" si="556"/>
        <v>2480.91</v>
      </c>
      <c r="Q1446" s="5">
        <f t="shared" si="557"/>
        <v>0.12328767123287702</v>
      </c>
      <c r="R1446" s="5">
        <f t="shared" si="558"/>
        <v>-0.40222295960438231</v>
      </c>
      <c r="S1446" s="5">
        <f t="shared" si="541"/>
        <v>25.053007908378181</v>
      </c>
      <c r="T1446" s="5">
        <f t="shared" si="542"/>
        <v>-714.83215183235211</v>
      </c>
      <c r="U1446" s="4">
        <f t="shared" si="543"/>
        <v>1809920.966700831</v>
      </c>
      <c r="V1446" s="4">
        <f t="shared" si="559"/>
        <v>29.206669846213405</v>
      </c>
      <c r="W1446" s="4">
        <f t="shared" si="544"/>
        <v>1792012.271147812</v>
      </c>
      <c r="X1446" s="4">
        <f t="shared" si="548"/>
        <v>413.85415521636605</v>
      </c>
      <c r="Y1446" s="9">
        <f>SUM($X$6:X1446)</f>
        <v>792012.27114781202</v>
      </c>
      <c r="Z1446" s="16">
        <f t="shared" si="549"/>
        <v>0.79201227114781203</v>
      </c>
      <c r="AA1446" s="16">
        <f t="shared" si="545"/>
        <v>0.95935977949352413</v>
      </c>
      <c r="AB1446" s="16">
        <f t="shared" si="546"/>
        <v>2.3099716504051612E-4</v>
      </c>
      <c r="AC1446" s="16">
        <f t="shared" si="547"/>
        <v>6.4784451731580062E-4</v>
      </c>
    </row>
    <row r="1447" spans="1:29" x14ac:dyDescent="0.15">
      <c r="A1447" s="8">
        <v>43003</v>
      </c>
      <c r="B1447" s="4">
        <v>2496.66</v>
      </c>
      <c r="C1447" s="1">
        <v>10.012600000000001</v>
      </c>
      <c r="D1447" s="1">
        <v>1.98</v>
      </c>
      <c r="E1447" s="1">
        <v>1.3445</v>
      </c>
      <c r="F1447" s="4">
        <f t="shared" si="537"/>
        <v>0.10012600000000001</v>
      </c>
      <c r="G1447" s="4">
        <f t="shared" si="538"/>
        <v>1.9799999999999998E-2</v>
      </c>
      <c r="H1447" s="4">
        <f t="shared" si="539"/>
        <v>1.3445E-2</v>
      </c>
      <c r="I1447" s="3">
        <f t="shared" si="540"/>
        <v>51.579035455542005</v>
      </c>
      <c r="J1447" s="4">
        <f t="shared" si="550"/>
        <v>1809920.966700831</v>
      </c>
      <c r="K1447" s="1">
        <f t="shared" si="551"/>
        <v>2480.91</v>
      </c>
      <c r="L1447" s="5">
        <f t="shared" si="552"/>
        <v>0.11506849315068525</v>
      </c>
      <c r="M1447" s="5">
        <f t="shared" si="553"/>
        <v>-0.42690534271325398</v>
      </c>
      <c r="N1447" s="5">
        <f t="shared" si="554"/>
        <v>27.16083483622397</v>
      </c>
      <c r="O1447" s="1">
        <f t="shared" si="555"/>
        <v>0</v>
      </c>
      <c r="P1447" s="1">
        <f t="shared" si="556"/>
        <v>2480.91</v>
      </c>
      <c r="Q1447" s="5">
        <f t="shared" si="557"/>
        <v>0.11506849315068525</v>
      </c>
      <c r="R1447" s="5">
        <f t="shared" si="558"/>
        <v>-0.42690534271325398</v>
      </c>
      <c r="S1447" s="5">
        <f t="shared" si="541"/>
        <v>27.16083483622397</v>
      </c>
      <c r="T1447" s="5">
        <f t="shared" si="542"/>
        <v>-714.83215183235211</v>
      </c>
      <c r="U1447" s="4">
        <f t="shared" si="543"/>
        <v>1809950.1733706773</v>
      </c>
      <c r="V1447" s="4">
        <f t="shared" si="559"/>
        <v>87.621423461533865</v>
      </c>
      <c r="W1447" s="4">
        <f t="shared" si="544"/>
        <v>1790534.7353591362</v>
      </c>
      <c r="X1447" s="4">
        <f t="shared" si="548"/>
        <v>-1477.5357886757702</v>
      </c>
      <c r="Y1447" s="9">
        <f>SUM($X$6:X1447)</f>
        <v>790534.73535913625</v>
      </c>
      <c r="Z1447" s="16">
        <f t="shared" si="549"/>
        <v>0.79053473535913621</v>
      </c>
      <c r="AA1447" s="16">
        <f t="shared" si="545"/>
        <v>0.95500602947394797</v>
      </c>
      <c r="AB1447" s="16">
        <f t="shared" si="546"/>
        <v>-8.2451209317299223E-4</v>
      </c>
      <c r="AC1447" s="16">
        <f t="shared" si="547"/>
        <v>-2.222026840165911E-3</v>
      </c>
    </row>
    <row r="1448" spans="1:29" x14ac:dyDescent="0.15">
      <c r="A1448" s="8">
        <v>43004</v>
      </c>
      <c r="B1448" s="4">
        <v>2496.84</v>
      </c>
      <c r="C1448" s="1">
        <v>10.015700000000001</v>
      </c>
      <c r="D1448" s="1">
        <v>1.98</v>
      </c>
      <c r="E1448" s="1">
        <v>1.3456000000000001</v>
      </c>
      <c r="F1448" s="4">
        <f t="shared" si="537"/>
        <v>0.10015700000000001</v>
      </c>
      <c r="G1448" s="4">
        <f t="shared" si="538"/>
        <v>1.9799999999999998E-2</v>
      </c>
      <c r="H1448" s="4">
        <f t="shared" si="539"/>
        <v>1.3456000000000001E-2</v>
      </c>
      <c r="I1448" s="3">
        <f t="shared" si="540"/>
        <v>51.594529690491918</v>
      </c>
      <c r="J1448" s="4">
        <f t="shared" si="550"/>
        <v>1809950.1733706773</v>
      </c>
      <c r="K1448" s="1">
        <f t="shared" si="551"/>
        <v>2480.91</v>
      </c>
      <c r="L1448" s="5">
        <f t="shared" si="552"/>
        <v>0.11232876712328799</v>
      </c>
      <c r="M1448" s="5">
        <f t="shared" si="553"/>
        <v>-0.42518652292295656</v>
      </c>
      <c r="N1448" s="5">
        <f t="shared" si="554"/>
        <v>26.677946122717355</v>
      </c>
      <c r="O1448" s="1">
        <f t="shared" si="555"/>
        <v>0</v>
      </c>
      <c r="P1448" s="1">
        <f t="shared" si="556"/>
        <v>2480.91</v>
      </c>
      <c r="Q1448" s="5">
        <f t="shared" si="557"/>
        <v>0.11232876712328799</v>
      </c>
      <c r="R1448" s="5">
        <f t="shared" si="558"/>
        <v>-0.42518652292295656</v>
      </c>
      <c r="S1448" s="5">
        <f t="shared" si="541"/>
        <v>26.677946122717355</v>
      </c>
      <c r="T1448" s="5">
        <f t="shared" si="542"/>
        <v>-714.83215183235211</v>
      </c>
      <c r="U1448" s="4">
        <f t="shared" si="543"/>
        <v>1810037.7947941388</v>
      </c>
      <c r="V1448" s="4">
        <f t="shared" si="559"/>
        <v>29.208555099554729</v>
      </c>
      <c r="W1448" s="4">
        <f t="shared" si="544"/>
        <v>1790967.5411607691</v>
      </c>
      <c r="X1448" s="4">
        <f t="shared" si="548"/>
        <v>432.80580163281411</v>
      </c>
      <c r="Y1448" s="9">
        <f>SUM($X$6:X1448)</f>
        <v>790967.54116076906</v>
      </c>
      <c r="Z1448" s="16">
        <f t="shared" si="549"/>
        <v>0.79096754116076906</v>
      </c>
      <c r="AA1448" s="16">
        <f t="shared" si="545"/>
        <v>0.95514697821558914</v>
      </c>
      <c r="AB1448" s="16">
        <f t="shared" si="546"/>
        <v>2.4171874082409473E-4</v>
      </c>
      <c r="AC1448" s="16">
        <f t="shared" si="547"/>
        <v>7.2096320684550985E-5</v>
      </c>
    </row>
    <row r="1449" spans="1:29" x14ac:dyDescent="0.15">
      <c r="A1449" s="8">
        <v>43005</v>
      </c>
      <c r="B1449" s="4">
        <v>2507.04</v>
      </c>
      <c r="C1449" s="1">
        <v>9.9004999999999992</v>
      </c>
      <c r="D1449" s="1">
        <v>1.97</v>
      </c>
      <c r="E1449" s="1">
        <v>1.3475999999999999</v>
      </c>
      <c r="F1449" s="4">
        <f t="shared" si="537"/>
        <v>9.9004999999999996E-2</v>
      </c>
      <c r="G1449" s="4">
        <f t="shared" si="538"/>
        <v>1.9699999999999999E-2</v>
      </c>
      <c r="H1449" s="4">
        <f t="shared" si="539"/>
        <v>1.3475999999999998E-2</v>
      </c>
      <c r="I1449" s="3">
        <f t="shared" si="540"/>
        <v>51.195062266122228</v>
      </c>
      <c r="J1449" s="4">
        <f t="shared" si="550"/>
        <v>1810037.7947941388</v>
      </c>
      <c r="K1449" s="1">
        <f t="shared" si="551"/>
        <v>2480.91</v>
      </c>
      <c r="L1449" s="5">
        <f t="shared" si="552"/>
        <v>0.10958904109589072</v>
      </c>
      <c r="M1449" s="5">
        <f t="shared" si="553"/>
        <v>-0.3754734140732639</v>
      </c>
      <c r="N1449" s="5">
        <f t="shared" si="554"/>
        <v>21.799159038807112</v>
      </c>
      <c r="O1449" s="1">
        <f t="shared" si="555"/>
        <v>0</v>
      </c>
      <c r="P1449" s="1">
        <f t="shared" si="556"/>
        <v>2480.91</v>
      </c>
      <c r="Q1449" s="5">
        <f t="shared" si="557"/>
        <v>0.10958904109589072</v>
      </c>
      <c r="R1449" s="5">
        <f t="shared" si="558"/>
        <v>-0.3754734140732639</v>
      </c>
      <c r="S1449" s="5">
        <f t="shared" si="541"/>
        <v>21.799159038807112</v>
      </c>
      <c r="T1449" s="5">
        <f t="shared" si="542"/>
        <v>-714.83215183235211</v>
      </c>
      <c r="U1449" s="4">
        <f t="shared" si="543"/>
        <v>1810067.0033492383</v>
      </c>
      <c r="V1449" s="4">
        <f t="shared" si="559"/>
        <v>29.209026437608255</v>
      </c>
      <c r="W1449" s="4">
        <f t="shared" si="544"/>
        <v>1794484.2635853922</v>
      </c>
      <c r="X1449" s="4">
        <f t="shared" si="548"/>
        <v>3516.7224246230908</v>
      </c>
      <c r="Y1449" s="9">
        <f>SUM($X$6:X1449)</f>
        <v>794484.26358539215</v>
      </c>
      <c r="Z1449" s="16">
        <f t="shared" si="549"/>
        <v>0.79448426358539215</v>
      </c>
      <c r="AA1449" s="16">
        <f t="shared" si="545"/>
        <v>0.96313407357524317</v>
      </c>
      <c r="AB1449" s="16">
        <f t="shared" si="546"/>
        <v>1.9635880292636788E-3</v>
      </c>
      <c r="AC1449" s="16">
        <f t="shared" si="547"/>
        <v>4.0851636468495446E-3</v>
      </c>
    </row>
    <row r="1450" spans="1:29" x14ac:dyDescent="0.15">
      <c r="A1450" s="8">
        <v>43006</v>
      </c>
      <c r="B1450" s="4">
        <v>2510.06</v>
      </c>
      <c r="C1450" s="1">
        <v>9.7238000000000007</v>
      </c>
      <c r="D1450" s="1">
        <v>1.97</v>
      </c>
      <c r="E1450" s="1">
        <v>1.3647</v>
      </c>
      <c r="F1450" s="4">
        <f t="shared" si="537"/>
        <v>9.7238000000000005E-2</v>
      </c>
      <c r="G1450" s="4">
        <f t="shared" si="538"/>
        <v>1.9699999999999999E-2</v>
      </c>
      <c r="H1450" s="4">
        <f t="shared" si="539"/>
        <v>1.3646999999999999E-2</v>
      </c>
      <c r="I1450" s="3">
        <f t="shared" si="540"/>
        <v>50.32188905511866</v>
      </c>
      <c r="J1450" s="4">
        <f t="shared" si="550"/>
        <v>1810067.0033492383</v>
      </c>
      <c r="K1450" s="1">
        <f t="shared" si="551"/>
        <v>2480.91</v>
      </c>
      <c r="L1450" s="5">
        <f t="shared" si="552"/>
        <v>0.10684931506849346</v>
      </c>
      <c r="M1450" s="5">
        <f t="shared" si="553"/>
        <v>-0.35752949728585121</v>
      </c>
      <c r="N1450" s="5">
        <f t="shared" si="554"/>
        <v>19.726756935170723</v>
      </c>
      <c r="O1450" s="1">
        <f t="shared" si="555"/>
        <v>0</v>
      </c>
      <c r="P1450" s="1">
        <f t="shared" si="556"/>
        <v>2480.91</v>
      </c>
      <c r="Q1450" s="5">
        <f t="shared" si="557"/>
        <v>0.10684931506849346</v>
      </c>
      <c r="R1450" s="5">
        <f t="shared" si="558"/>
        <v>-0.35752949728585121</v>
      </c>
      <c r="S1450" s="5">
        <f t="shared" si="541"/>
        <v>19.726756935170723</v>
      </c>
      <c r="T1450" s="5">
        <f t="shared" si="542"/>
        <v>-714.83215183235211</v>
      </c>
      <c r="U1450" s="4">
        <f t="shared" si="543"/>
        <v>1810096.212375676</v>
      </c>
      <c r="V1450" s="4">
        <f t="shared" si="559"/>
        <v>29.209497783267754</v>
      </c>
      <c r="W1450" s="4">
        <f t="shared" si="544"/>
        <v>1795994.8922670342</v>
      </c>
      <c r="X1450" s="4">
        <f t="shared" si="548"/>
        <v>1510.6286816420034</v>
      </c>
      <c r="Y1450" s="9">
        <f>SUM($X$6:X1450)</f>
        <v>795994.89226703416</v>
      </c>
      <c r="Z1450" s="16">
        <f t="shared" si="549"/>
        <v>0.79599489226703413</v>
      </c>
      <c r="AA1450" s="16">
        <f t="shared" si="545"/>
        <v>0.96549888024055253</v>
      </c>
      <c r="AB1450" s="16">
        <f t="shared" si="546"/>
        <v>8.4181773688210375E-4</v>
      </c>
      <c r="AC1450" s="16">
        <f t="shared" si="547"/>
        <v>1.2046078243665764E-3</v>
      </c>
    </row>
    <row r="1451" spans="1:29" x14ac:dyDescent="0.15">
      <c r="A1451" s="8">
        <v>43007</v>
      </c>
      <c r="B1451" s="4">
        <v>2519.36</v>
      </c>
      <c r="C1451" s="1">
        <v>9.5295000000000005</v>
      </c>
      <c r="D1451" s="1">
        <v>1.96</v>
      </c>
      <c r="E1451" s="1">
        <v>1.3634999999999999</v>
      </c>
      <c r="F1451" s="4">
        <f t="shared" si="537"/>
        <v>9.5295000000000005E-2</v>
      </c>
      <c r="G1451" s="4">
        <f t="shared" si="538"/>
        <v>1.9599999999999999E-2</v>
      </c>
      <c r="H1451" s="4">
        <f t="shared" si="539"/>
        <v>1.3635E-2</v>
      </c>
      <c r="I1451" s="3">
        <f t="shared" si="540"/>
        <v>49.510521416725027</v>
      </c>
      <c r="J1451" s="4">
        <f t="shared" si="550"/>
        <v>1810096.212375676</v>
      </c>
      <c r="K1451" s="1">
        <f t="shared" si="551"/>
        <v>2480.91</v>
      </c>
      <c r="L1451" s="5">
        <f t="shared" si="552"/>
        <v>0.1041095890410962</v>
      </c>
      <c r="M1451" s="5">
        <f t="shared" si="553"/>
        <v>-0.30954193489443294</v>
      </c>
      <c r="N1451" s="5">
        <f t="shared" si="554"/>
        <v>15.657106506338446</v>
      </c>
      <c r="O1451" s="1">
        <f t="shared" si="555"/>
        <v>0</v>
      </c>
      <c r="P1451" s="1">
        <f t="shared" si="556"/>
        <v>2480.91</v>
      </c>
      <c r="Q1451" s="5">
        <f t="shared" si="557"/>
        <v>0.1041095890410962</v>
      </c>
      <c r="R1451" s="5">
        <f t="shared" si="558"/>
        <v>-0.30954193489443294</v>
      </c>
      <c r="S1451" s="5">
        <f t="shared" si="541"/>
        <v>15.657106506338446</v>
      </c>
      <c r="T1451" s="5">
        <f t="shared" si="542"/>
        <v>-714.83215183235211</v>
      </c>
      <c r="U1451" s="4">
        <f t="shared" si="543"/>
        <v>1810125.4218734594</v>
      </c>
      <c r="V1451" s="4">
        <f t="shared" si="559"/>
        <v>29.209969136533353</v>
      </c>
      <c r="W1451" s="4">
        <f t="shared" si="544"/>
        <v>1798933.2187380651</v>
      </c>
      <c r="X1451" s="4">
        <f t="shared" si="548"/>
        <v>2938.326471030945</v>
      </c>
      <c r="Y1451" s="9">
        <f>SUM($X$6:X1451)</f>
        <v>798933.2187380651</v>
      </c>
      <c r="Z1451" s="16">
        <f t="shared" si="549"/>
        <v>0.79893321873806511</v>
      </c>
      <c r="AA1451" s="16">
        <f t="shared" si="545"/>
        <v>0.97278123189200216</v>
      </c>
      <c r="AB1451" s="16">
        <f t="shared" si="546"/>
        <v>1.6360438905936852E-3</v>
      </c>
      <c r="AC1451" s="16">
        <f t="shared" si="547"/>
        <v>3.7050907149630613E-3</v>
      </c>
    </row>
    <row r="1452" spans="1:29" x14ac:dyDescent="0.15">
      <c r="A1452" s="8">
        <v>43010</v>
      </c>
      <c r="B1452" s="4">
        <v>2529.12</v>
      </c>
      <c r="C1452" s="1">
        <v>9.3140000000000001</v>
      </c>
      <c r="D1452" s="1">
        <v>1.96</v>
      </c>
      <c r="E1452" s="1">
        <v>1.3652</v>
      </c>
      <c r="F1452" s="4">
        <f t="shared" si="537"/>
        <v>9.3140000000000001E-2</v>
      </c>
      <c r="G1452" s="4">
        <f t="shared" si="538"/>
        <v>1.9599999999999999E-2</v>
      </c>
      <c r="H1452" s="4">
        <f t="shared" si="539"/>
        <v>1.3651999999999999E-2</v>
      </c>
      <c r="I1452" s="3">
        <f t="shared" si="540"/>
        <v>48.616398372478244</v>
      </c>
      <c r="J1452" s="4">
        <f t="shared" si="550"/>
        <v>1810125.4218734594</v>
      </c>
      <c r="K1452" s="1">
        <f t="shared" si="551"/>
        <v>2480.91</v>
      </c>
      <c r="L1452" s="5">
        <f t="shared" si="552"/>
        <v>9.5890410958904423E-2</v>
      </c>
      <c r="M1452" s="5">
        <f t="shared" si="553"/>
        <v>-0.25352840890014766</v>
      </c>
      <c r="N1452" s="5">
        <f t="shared" si="554"/>
        <v>11.252757005278751</v>
      </c>
      <c r="O1452" s="1">
        <f t="shared" si="555"/>
        <v>0</v>
      </c>
      <c r="P1452" s="1">
        <f t="shared" si="556"/>
        <v>2480.91</v>
      </c>
      <c r="Q1452" s="5">
        <f t="shared" si="557"/>
        <v>9.5890410958904423E-2</v>
      </c>
      <c r="R1452" s="5">
        <f t="shared" si="558"/>
        <v>-0.25352840890014766</v>
      </c>
      <c r="S1452" s="5">
        <f t="shared" si="541"/>
        <v>11.252757005278751</v>
      </c>
      <c r="T1452" s="5">
        <f t="shared" si="542"/>
        <v>-714.83215183235211</v>
      </c>
      <c r="U1452" s="4">
        <f t="shared" si="543"/>
        <v>1810154.631842596</v>
      </c>
      <c r="V1452" s="4">
        <f t="shared" si="559"/>
        <v>87.631321492215534</v>
      </c>
      <c r="W1452" s="4">
        <f t="shared" si="544"/>
        <v>1802110.799338466</v>
      </c>
      <c r="X1452" s="4">
        <f t="shared" si="548"/>
        <v>3177.580600400921</v>
      </c>
      <c r="Y1452" s="9">
        <f>SUM($X$6:X1452)</f>
        <v>802110.79933846602</v>
      </c>
      <c r="Z1452" s="16">
        <f t="shared" si="549"/>
        <v>0.80211079933846607</v>
      </c>
      <c r="AA1452" s="16">
        <f t="shared" si="545"/>
        <v>0.98042378588320045</v>
      </c>
      <c r="AB1452" s="16">
        <f t="shared" si="546"/>
        <v>1.7663694056580734E-3</v>
      </c>
      <c r="AC1452" s="16">
        <f t="shared" si="547"/>
        <v>3.8739997459671357E-3</v>
      </c>
    </row>
    <row r="1453" spans="1:29" x14ac:dyDescent="0.15">
      <c r="A1453" s="8">
        <v>43011</v>
      </c>
      <c r="B1453" s="4">
        <v>2534.58</v>
      </c>
      <c r="C1453" s="1">
        <v>9.2485999999999997</v>
      </c>
      <c r="D1453" s="1">
        <v>1.96</v>
      </c>
      <c r="E1453" s="1">
        <v>1.3723000000000001</v>
      </c>
      <c r="F1453" s="4">
        <f t="shared" si="537"/>
        <v>9.2485999999999999E-2</v>
      </c>
      <c r="G1453" s="4">
        <f t="shared" si="538"/>
        <v>1.9599999999999999E-2</v>
      </c>
      <c r="H1453" s="4">
        <f t="shared" si="539"/>
        <v>1.3723000000000001E-2</v>
      </c>
      <c r="I1453" s="3">
        <f t="shared" si="540"/>
        <v>48.369446163791352</v>
      </c>
      <c r="J1453" s="4">
        <f t="shared" si="550"/>
        <v>1810154.631842596</v>
      </c>
      <c r="K1453" s="1">
        <f t="shared" si="551"/>
        <v>2480.91</v>
      </c>
      <c r="L1453" s="5">
        <f t="shared" si="552"/>
        <v>9.3150684931507161E-2</v>
      </c>
      <c r="M1453" s="5">
        <f t="shared" si="553"/>
        <v>-0.2253311062044186</v>
      </c>
      <c r="N1453" s="5">
        <f t="shared" si="554"/>
        <v>9.4497061395860396</v>
      </c>
      <c r="O1453" s="1">
        <f t="shared" si="555"/>
        <v>0</v>
      </c>
      <c r="P1453" s="1">
        <f t="shared" si="556"/>
        <v>2480.91</v>
      </c>
      <c r="Q1453" s="5">
        <f t="shared" si="557"/>
        <v>9.3150684931507161E-2</v>
      </c>
      <c r="R1453" s="5">
        <f t="shared" si="558"/>
        <v>-0.2253311062044186</v>
      </c>
      <c r="S1453" s="5">
        <f t="shared" si="541"/>
        <v>9.4497061395860396</v>
      </c>
      <c r="T1453" s="5">
        <f t="shared" si="542"/>
        <v>-714.83215183235211</v>
      </c>
      <c r="U1453" s="4">
        <f t="shared" si="543"/>
        <v>1810242.2631640881</v>
      </c>
      <c r="V1453" s="4">
        <f t="shared" si="559"/>
        <v>29.211854602839665</v>
      </c>
      <c r="W1453" s="4">
        <f t="shared" si="544"/>
        <v>1803487.3093901444</v>
      </c>
      <c r="X1453" s="4">
        <f t="shared" si="548"/>
        <v>1376.5100516784005</v>
      </c>
      <c r="Y1453" s="9">
        <f>SUM($X$6:X1453)</f>
        <v>803487.30939014442</v>
      </c>
      <c r="Z1453" s="16">
        <f t="shared" si="549"/>
        <v>0.80348730939014446</v>
      </c>
      <c r="AA1453" s="16">
        <f t="shared" si="545"/>
        <v>0.98469923104630952</v>
      </c>
      <c r="AB1453" s="16">
        <f t="shared" si="546"/>
        <v>7.6383208634213905E-4</v>
      </c>
      <c r="AC1453" s="16">
        <f t="shared" si="547"/>
        <v>2.1588536724236242E-3</v>
      </c>
    </row>
    <row r="1454" spans="1:29" x14ac:dyDescent="0.15">
      <c r="A1454" s="8">
        <v>43012</v>
      </c>
      <c r="B1454" s="4">
        <v>2537.7399999999998</v>
      </c>
      <c r="C1454" s="1">
        <v>9.1995000000000005</v>
      </c>
      <c r="D1454" s="1">
        <v>1.95</v>
      </c>
      <c r="E1454" s="1">
        <v>1.3759000000000001</v>
      </c>
      <c r="F1454" s="4">
        <f t="shared" si="537"/>
        <v>9.1995000000000007E-2</v>
      </c>
      <c r="G1454" s="4">
        <f t="shared" si="538"/>
        <v>1.95E-2</v>
      </c>
      <c r="H1454" s="4">
        <f t="shared" si="539"/>
        <v>1.3759E-2</v>
      </c>
      <c r="I1454" s="3">
        <f t="shared" si="540"/>
        <v>48.139225144324421</v>
      </c>
      <c r="J1454" s="4">
        <f t="shared" si="550"/>
        <v>1810242.2631640881</v>
      </c>
      <c r="K1454" s="1">
        <f t="shared" si="551"/>
        <v>2480.91</v>
      </c>
      <c r="L1454" s="5">
        <f t="shared" si="552"/>
        <v>9.0410958904109898E-2</v>
      </c>
      <c r="M1454" s="5">
        <f t="shared" si="553"/>
        <v>-0.2075017846157087</v>
      </c>
      <c r="N1454" s="5">
        <f t="shared" si="554"/>
        <v>8.3300742009468269</v>
      </c>
      <c r="O1454" s="1">
        <f t="shared" si="555"/>
        <v>0</v>
      </c>
      <c r="P1454" s="1">
        <f t="shared" si="556"/>
        <v>2480.91</v>
      </c>
      <c r="Q1454" s="5">
        <f t="shared" si="557"/>
        <v>9.0410958904109898E-2</v>
      </c>
      <c r="R1454" s="5">
        <f t="shared" si="558"/>
        <v>-0.2075017846157087</v>
      </c>
      <c r="S1454" s="5">
        <f t="shared" si="541"/>
        <v>8.3300742009468269</v>
      </c>
      <c r="T1454" s="5">
        <f t="shared" si="542"/>
        <v>-714.83215183235211</v>
      </c>
      <c r="U1454" s="4">
        <f t="shared" si="543"/>
        <v>1810271.475018691</v>
      </c>
      <c r="V1454" s="4">
        <f t="shared" si="559"/>
        <v>29.212325994137231</v>
      </c>
      <c r="W1454" s="4">
        <f t="shared" si="544"/>
        <v>1804316.8701527051</v>
      </c>
      <c r="X1454" s="4">
        <f t="shared" si="548"/>
        <v>829.56076256069355</v>
      </c>
      <c r="Y1454" s="9">
        <f>SUM($X$6:X1454)</f>
        <v>804316.87015270512</v>
      </c>
      <c r="Z1454" s="16">
        <f t="shared" si="549"/>
        <v>0.80431687015270514</v>
      </c>
      <c r="AA1454" s="16">
        <f t="shared" si="545"/>
        <v>0.9871736645106729</v>
      </c>
      <c r="AB1454" s="16">
        <f t="shared" si="546"/>
        <v>4.5997593564504338E-4</v>
      </c>
      <c r="AC1454" s="16">
        <f t="shared" si="547"/>
        <v>1.2467548864111035E-3</v>
      </c>
    </row>
    <row r="1455" spans="1:29" x14ac:dyDescent="0.15">
      <c r="A1455" s="8">
        <v>43013</v>
      </c>
      <c r="B1455" s="4">
        <v>2552.0700000000002</v>
      </c>
      <c r="C1455" s="1">
        <v>8.9500999999999991</v>
      </c>
      <c r="D1455" s="1">
        <v>1.94</v>
      </c>
      <c r="E1455" s="1">
        <v>1.3786</v>
      </c>
      <c r="F1455" s="4">
        <f t="shared" si="537"/>
        <v>8.9500999999999997E-2</v>
      </c>
      <c r="G1455" s="4">
        <f t="shared" si="538"/>
        <v>1.9400000000000001E-2</v>
      </c>
      <c r="H1455" s="4">
        <f t="shared" si="539"/>
        <v>1.3786E-2</v>
      </c>
      <c r="I1455" s="3">
        <f t="shared" si="540"/>
        <v>47.108564829174874</v>
      </c>
      <c r="J1455" s="4">
        <f t="shared" si="550"/>
        <v>1810271.475018691</v>
      </c>
      <c r="K1455" s="1">
        <f t="shared" si="551"/>
        <v>2480.91</v>
      </c>
      <c r="L1455" s="5">
        <f t="shared" si="552"/>
        <v>8.7671232876712635E-2</v>
      </c>
      <c r="M1455" s="5">
        <f t="shared" si="553"/>
        <v>-0.14391879501886745</v>
      </c>
      <c r="N1455" s="5">
        <f t="shared" si="554"/>
        <v>5.0530977038237381</v>
      </c>
      <c r="O1455" s="1">
        <f t="shared" si="555"/>
        <v>0</v>
      </c>
      <c r="P1455" s="1">
        <f t="shared" si="556"/>
        <v>2480.91</v>
      </c>
      <c r="Q1455" s="5">
        <f t="shared" si="557"/>
        <v>8.7671232876712635E-2</v>
      </c>
      <c r="R1455" s="5">
        <f t="shared" si="558"/>
        <v>-0.14391879501886745</v>
      </c>
      <c r="S1455" s="5">
        <f t="shared" si="541"/>
        <v>5.0530977038237381</v>
      </c>
      <c r="T1455" s="5">
        <f t="shared" si="542"/>
        <v>-714.83215183235211</v>
      </c>
      <c r="U1455" s="4">
        <f t="shared" si="543"/>
        <v>1810300.6873446852</v>
      </c>
      <c r="V1455" s="4">
        <f t="shared" si="559"/>
        <v>29.21279739304163</v>
      </c>
      <c r="W1455" s="4">
        <f t="shared" si="544"/>
        <v>1806688.5706396417</v>
      </c>
      <c r="X1455" s="4">
        <f t="shared" si="548"/>
        <v>2371.7004869366065</v>
      </c>
      <c r="Y1455" s="9">
        <f>SUM($X$6:X1455)</f>
        <v>806688.57063964172</v>
      </c>
      <c r="Z1455" s="16">
        <f t="shared" si="549"/>
        <v>0.80668857063964172</v>
      </c>
      <c r="AA1455" s="16">
        <f t="shared" si="545"/>
        <v>0.99839475044242265</v>
      </c>
      <c r="AB1455" s="16">
        <f t="shared" si="546"/>
        <v>1.3144589657003438E-3</v>
      </c>
      <c r="AC1455" s="16">
        <f t="shared" si="547"/>
        <v>5.6467565629262188E-3</v>
      </c>
    </row>
    <row r="1456" spans="1:29" x14ac:dyDescent="0.15">
      <c r="A1456" s="8">
        <v>43014</v>
      </c>
      <c r="B1456" s="4">
        <v>2549.33</v>
      </c>
      <c r="C1456" s="1">
        <v>9.2062000000000008</v>
      </c>
      <c r="D1456" s="1">
        <v>1.95</v>
      </c>
      <c r="E1456" s="1">
        <v>1.3803000000000001</v>
      </c>
      <c r="F1456" s="4">
        <f t="shared" si="537"/>
        <v>9.2062000000000005E-2</v>
      </c>
      <c r="G1456" s="4">
        <f t="shared" si="538"/>
        <v>1.95E-2</v>
      </c>
      <c r="H1456" s="4">
        <f t="shared" si="539"/>
        <v>1.3803000000000001E-2</v>
      </c>
      <c r="I1456" s="3">
        <f t="shared" si="540"/>
        <v>48.378402444159612</v>
      </c>
      <c r="J1456" s="4">
        <f t="shared" si="550"/>
        <v>1810300.6873446852</v>
      </c>
      <c r="K1456" s="1">
        <f t="shared" si="551"/>
        <v>2480.91</v>
      </c>
      <c r="L1456" s="5">
        <f t="shared" si="552"/>
        <v>8.4931506849315372E-2</v>
      </c>
      <c r="M1456" s="5">
        <f t="shared" si="553"/>
        <v>-0.15613820629416431</v>
      </c>
      <c r="N1456" s="5">
        <f t="shared" si="554"/>
        <v>5.6566210992040231</v>
      </c>
      <c r="O1456" s="1">
        <f t="shared" si="555"/>
        <v>0</v>
      </c>
      <c r="P1456" s="1">
        <f t="shared" si="556"/>
        <v>2480.91</v>
      </c>
      <c r="Q1456" s="5">
        <f t="shared" si="557"/>
        <v>8.4931506849315372E-2</v>
      </c>
      <c r="R1456" s="5">
        <f t="shared" si="558"/>
        <v>-0.15613820629416431</v>
      </c>
      <c r="S1456" s="5">
        <f t="shared" si="541"/>
        <v>5.6566210992040231</v>
      </c>
      <c r="T1456" s="5">
        <f t="shared" si="542"/>
        <v>-714.83215183235211</v>
      </c>
      <c r="U1456" s="4">
        <f t="shared" si="543"/>
        <v>1810329.9001420783</v>
      </c>
      <c r="V1456" s="4">
        <f t="shared" si="559"/>
        <v>29.213268799552988</v>
      </c>
      <c r="W1456" s="4">
        <f t="shared" si="544"/>
        <v>1806286.3655096339</v>
      </c>
      <c r="X1456" s="4">
        <f t="shared" si="548"/>
        <v>-402.20513000781648</v>
      </c>
      <c r="Y1456" s="9">
        <f>SUM($X$6:X1456)</f>
        <v>806286.36550963391</v>
      </c>
      <c r="Z1456" s="16">
        <f t="shared" si="549"/>
        <v>0.80628636550963395</v>
      </c>
      <c r="AA1456" s="16">
        <f t="shared" si="545"/>
        <v>0.99624919737522122</v>
      </c>
      <c r="AB1456" s="16">
        <f t="shared" si="546"/>
        <v>-2.2262006664791121E-4</v>
      </c>
      <c r="AC1456" s="16">
        <f t="shared" si="547"/>
        <v>-1.0736382622734627E-3</v>
      </c>
    </row>
    <row r="1457" spans="1:29" x14ac:dyDescent="0.15">
      <c r="A1457" s="8">
        <v>43017</v>
      </c>
      <c r="B1457" s="4">
        <v>2544.73</v>
      </c>
      <c r="C1457" s="1">
        <v>9.3644999999999996</v>
      </c>
      <c r="D1457" s="1">
        <v>1.95</v>
      </c>
      <c r="E1457" s="1">
        <v>1.3865000000000001</v>
      </c>
      <c r="F1457" s="4">
        <f t="shared" si="537"/>
        <v>9.3644999999999992E-2</v>
      </c>
      <c r="G1457" s="4">
        <f t="shared" si="538"/>
        <v>1.95E-2</v>
      </c>
      <c r="H1457" s="4">
        <f t="shared" si="539"/>
        <v>1.3865000000000001E-2</v>
      </c>
      <c r="I1457" s="3">
        <f t="shared" si="540"/>
        <v>49.069186839449294</v>
      </c>
      <c r="J1457" s="4">
        <f t="shared" si="550"/>
        <v>1810329.9001420783</v>
      </c>
      <c r="K1457" s="1">
        <f t="shared" si="551"/>
        <v>2480.91</v>
      </c>
      <c r="L1457" s="5">
        <f t="shared" si="552"/>
        <v>7.6712328767123597E-2</v>
      </c>
      <c r="M1457" s="5">
        <f t="shared" si="553"/>
        <v>-0.16439268187016592</v>
      </c>
      <c r="N1457" s="5">
        <f t="shared" si="554"/>
        <v>5.8197010728558753</v>
      </c>
      <c r="O1457" s="1">
        <f t="shared" si="555"/>
        <v>0</v>
      </c>
      <c r="P1457" s="1">
        <f t="shared" si="556"/>
        <v>2480.91</v>
      </c>
      <c r="Q1457" s="5">
        <f t="shared" si="557"/>
        <v>7.6712328767123597E-2</v>
      </c>
      <c r="R1457" s="5">
        <f t="shared" si="558"/>
        <v>-0.16439268187016592</v>
      </c>
      <c r="S1457" s="5">
        <f t="shared" si="541"/>
        <v>5.8197010728558753</v>
      </c>
      <c r="T1457" s="5">
        <f t="shared" si="542"/>
        <v>-714.83215183235211</v>
      </c>
      <c r="U1457" s="4">
        <f t="shared" si="543"/>
        <v>1810359.1134108778</v>
      </c>
      <c r="V1457" s="4">
        <f t="shared" si="559"/>
        <v>87.641220641014272</v>
      </c>
      <c r="W1457" s="4">
        <f t="shared" si="544"/>
        <v>1806199.0039699471</v>
      </c>
      <c r="X1457" s="4">
        <f t="shared" si="548"/>
        <v>-87.361539686797187</v>
      </c>
      <c r="Y1457" s="9">
        <f>SUM($X$6:X1457)</f>
        <v>806199.00396994711</v>
      </c>
      <c r="Z1457" s="16">
        <f t="shared" si="549"/>
        <v>0.80619900396994715</v>
      </c>
      <c r="AA1457" s="16">
        <f t="shared" si="545"/>
        <v>0.99264717397773017</v>
      </c>
      <c r="AB1457" s="16">
        <f t="shared" si="546"/>
        <v>-4.836527660006369E-5</v>
      </c>
      <c r="AC1457" s="16">
        <f t="shared" si="547"/>
        <v>-1.8043956647432499E-3</v>
      </c>
    </row>
    <row r="1458" spans="1:29" x14ac:dyDescent="0.15">
      <c r="A1458" s="8">
        <v>43018</v>
      </c>
      <c r="B1458" s="4">
        <v>2550.64</v>
      </c>
      <c r="C1458" s="1">
        <v>9.1175999999999995</v>
      </c>
      <c r="D1458" s="1">
        <v>1.94</v>
      </c>
      <c r="E1458" s="1">
        <v>1.3868</v>
      </c>
      <c r="F1458" s="4">
        <f t="shared" si="537"/>
        <v>9.1175999999999993E-2</v>
      </c>
      <c r="G1458" s="4">
        <f t="shared" si="538"/>
        <v>1.9400000000000001E-2</v>
      </c>
      <c r="H1458" s="4">
        <f t="shared" si="539"/>
        <v>1.3868E-2</v>
      </c>
      <c r="I1458" s="3">
        <f t="shared" si="540"/>
        <v>47.901981706545897</v>
      </c>
      <c r="J1458" s="4">
        <f t="shared" si="550"/>
        <v>1810359.1134108778</v>
      </c>
      <c r="K1458" s="1">
        <f t="shared" si="551"/>
        <v>2480.91</v>
      </c>
      <c r="L1458" s="5">
        <f t="shared" si="552"/>
        <v>7.3972602739726334E-2</v>
      </c>
      <c r="M1458" s="5">
        <f t="shared" si="553"/>
        <v>-0.13251673862365998</v>
      </c>
      <c r="N1458" s="5">
        <f t="shared" si="554"/>
        <v>4.2641496511779406</v>
      </c>
      <c r="O1458" s="1">
        <f t="shared" si="555"/>
        <v>0</v>
      </c>
      <c r="P1458" s="1">
        <f t="shared" si="556"/>
        <v>2480.91</v>
      </c>
      <c r="Q1458" s="5">
        <f t="shared" si="557"/>
        <v>7.3972602739726334E-2</v>
      </c>
      <c r="R1458" s="5">
        <f t="shared" si="558"/>
        <v>-0.13251673862365998</v>
      </c>
      <c r="S1458" s="5">
        <f t="shared" si="541"/>
        <v>4.2641496511779406</v>
      </c>
      <c r="T1458" s="5">
        <f t="shared" si="542"/>
        <v>-714.83215183235211</v>
      </c>
      <c r="U1458" s="4">
        <f t="shared" si="543"/>
        <v>1810446.7546315189</v>
      </c>
      <c r="V1458" s="4">
        <f t="shared" si="559"/>
        <v>29.215154478848341</v>
      </c>
      <c r="W1458" s="4">
        <f t="shared" si="544"/>
        <v>1807398.6033606322</v>
      </c>
      <c r="X1458" s="4">
        <f t="shared" si="548"/>
        <v>1199.5993906850927</v>
      </c>
      <c r="Y1458" s="9">
        <f>SUM($X$6:X1458)</f>
        <v>807398.6033606322</v>
      </c>
      <c r="Z1458" s="16">
        <f t="shared" si="549"/>
        <v>0.80739860336063218</v>
      </c>
      <c r="AA1458" s="16">
        <f t="shared" si="545"/>
        <v>0.99727499099494155</v>
      </c>
      <c r="AB1458" s="16">
        <f t="shared" si="546"/>
        <v>6.6415682217099291E-4</v>
      </c>
      <c r="AC1458" s="16">
        <f t="shared" si="547"/>
        <v>2.3224467821732972E-3</v>
      </c>
    </row>
    <row r="1459" spans="1:29" x14ac:dyDescent="0.15">
      <c r="A1459" s="8">
        <v>43019</v>
      </c>
      <c r="B1459" s="4">
        <v>2555.2399999999998</v>
      </c>
      <c r="C1459" s="1">
        <v>8.9330999999999996</v>
      </c>
      <c r="D1459" s="1">
        <v>1.94</v>
      </c>
      <c r="E1459" s="1">
        <v>1.3877999999999999</v>
      </c>
      <c r="F1459" s="4">
        <f t="shared" si="537"/>
        <v>8.9330999999999994E-2</v>
      </c>
      <c r="G1459" s="4">
        <f t="shared" si="538"/>
        <v>1.9400000000000001E-2</v>
      </c>
      <c r="H1459" s="4">
        <f t="shared" si="539"/>
        <v>1.3878E-2</v>
      </c>
      <c r="I1459" s="3">
        <f t="shared" si="540"/>
        <v>47.050522971519868</v>
      </c>
      <c r="J1459" s="4">
        <f t="shared" si="550"/>
        <v>1810446.7546315189</v>
      </c>
      <c r="K1459" s="1">
        <f t="shared" si="551"/>
        <v>2480.91</v>
      </c>
      <c r="L1459" s="5">
        <f t="shared" si="552"/>
        <v>7.1232876712329071E-2</v>
      </c>
      <c r="M1459" s="5">
        <f t="shared" si="553"/>
        <v>-0.1085249660842352</v>
      </c>
      <c r="N1459" s="5">
        <f t="shared" si="554"/>
        <v>3.2167572494692176</v>
      </c>
      <c r="O1459" s="1">
        <f t="shared" si="555"/>
        <v>0</v>
      </c>
      <c r="P1459" s="1">
        <f t="shared" si="556"/>
        <v>2480.91</v>
      </c>
      <c r="Q1459" s="5">
        <f t="shared" si="557"/>
        <v>7.1232876712329071E-2</v>
      </c>
      <c r="R1459" s="5">
        <f t="shared" si="558"/>
        <v>-0.1085249660842352</v>
      </c>
      <c r="S1459" s="5">
        <f t="shared" si="541"/>
        <v>3.2167572494692176</v>
      </c>
      <c r="T1459" s="5">
        <f t="shared" si="542"/>
        <v>-714.83215183235211</v>
      </c>
      <c r="U1459" s="4">
        <f t="shared" si="543"/>
        <v>1810475.9697859976</v>
      </c>
      <c r="V1459" s="4">
        <f t="shared" si="559"/>
        <v>29.215625923395958</v>
      </c>
      <c r="W1459" s="4">
        <f t="shared" si="544"/>
        <v>1808176.5282794372</v>
      </c>
      <c r="X1459" s="4">
        <f t="shared" si="548"/>
        <v>777.9249188050162</v>
      </c>
      <c r="Y1459" s="9">
        <f>SUM($X$6:X1459)</f>
        <v>808176.52827943722</v>
      </c>
      <c r="Z1459" s="16">
        <f t="shared" si="549"/>
        <v>0.8081765282794372</v>
      </c>
      <c r="AA1459" s="16">
        <f t="shared" si="545"/>
        <v>1.0008770143924326</v>
      </c>
      <c r="AB1459" s="16">
        <f t="shared" si="546"/>
        <v>4.3041137542020996E-4</v>
      </c>
      <c r="AC1459" s="16">
        <f t="shared" si="547"/>
        <v>1.8034689332872963E-3</v>
      </c>
    </row>
    <row r="1460" spans="1:29" x14ac:dyDescent="0.15">
      <c r="A1460" s="8">
        <v>43020</v>
      </c>
      <c r="B1460" s="4">
        <v>2550.9299999999998</v>
      </c>
      <c r="C1460" s="1">
        <v>8.9961000000000002</v>
      </c>
      <c r="D1460" s="1">
        <v>1.94</v>
      </c>
      <c r="E1460" s="1">
        <v>1.3894</v>
      </c>
      <c r="F1460" s="4">
        <f t="shared" si="537"/>
        <v>8.9960999999999999E-2</v>
      </c>
      <c r="G1460" s="4">
        <f t="shared" si="538"/>
        <v>1.9400000000000001E-2</v>
      </c>
      <c r="H1460" s="4">
        <f t="shared" si="539"/>
        <v>1.3894E-2</v>
      </c>
      <c r="I1460" s="3">
        <f t="shared" si="540"/>
        <v>47.284448590687475</v>
      </c>
      <c r="J1460" s="4">
        <f t="shared" si="550"/>
        <v>1810475.9697859976</v>
      </c>
      <c r="K1460" s="1">
        <f t="shared" si="551"/>
        <v>2480.91</v>
      </c>
      <c r="L1460" s="5">
        <f t="shared" si="552"/>
        <v>6.8493150684931808E-2</v>
      </c>
      <c r="M1460" s="5">
        <f t="shared" si="553"/>
        <v>-0.11925729920546121</v>
      </c>
      <c r="N1460" s="5">
        <f t="shared" si="554"/>
        <v>3.5561105054303654</v>
      </c>
      <c r="O1460" s="1">
        <f t="shared" si="555"/>
        <v>0</v>
      </c>
      <c r="P1460" s="1">
        <f t="shared" si="556"/>
        <v>2480.91</v>
      </c>
      <c r="Q1460" s="5">
        <f t="shared" si="557"/>
        <v>6.8493150684931808E-2</v>
      </c>
      <c r="R1460" s="5">
        <f t="shared" si="558"/>
        <v>-0.11925729920546121</v>
      </c>
      <c r="S1460" s="5">
        <f t="shared" si="541"/>
        <v>3.5561105054303654</v>
      </c>
      <c r="T1460" s="5">
        <f t="shared" si="542"/>
        <v>-714.83215183235211</v>
      </c>
      <c r="U1460" s="4">
        <f t="shared" si="543"/>
        <v>1810505.185411921</v>
      </c>
      <c r="V1460" s="4">
        <f t="shared" si="559"/>
        <v>29.216097375551271</v>
      </c>
      <c r="W1460" s="4">
        <f t="shared" si="544"/>
        <v>1807963.1632871707</v>
      </c>
      <c r="X1460" s="4">
        <f t="shared" si="548"/>
        <v>-213.36499226652086</v>
      </c>
      <c r="Y1460" s="9">
        <f>SUM($X$6:X1460)</f>
        <v>807963.1632871707</v>
      </c>
      <c r="Z1460" s="16">
        <f t="shared" si="549"/>
        <v>0.80796316328717066</v>
      </c>
      <c r="AA1460" s="16">
        <f t="shared" si="545"/>
        <v>0.99750207507869637</v>
      </c>
      <c r="AB1460" s="16">
        <f t="shared" si="546"/>
        <v>-1.1800008955405888E-4</v>
      </c>
      <c r="AC1460" s="16">
        <f t="shared" si="547"/>
        <v>-1.6867300136190518E-3</v>
      </c>
    </row>
    <row r="1461" spans="1:29" x14ac:dyDescent="0.15">
      <c r="A1461" s="8">
        <v>43021</v>
      </c>
      <c r="B1461" s="4">
        <v>2553.17</v>
      </c>
      <c r="C1461" s="1">
        <v>8.7737999999999996</v>
      </c>
      <c r="D1461" s="1">
        <v>1.95</v>
      </c>
      <c r="E1461" s="1">
        <v>1.3834</v>
      </c>
      <c r="F1461" s="4">
        <f t="shared" si="537"/>
        <v>8.7737999999999997E-2</v>
      </c>
      <c r="G1461" s="4">
        <f t="shared" si="538"/>
        <v>1.95E-2</v>
      </c>
      <c r="H1461" s="4">
        <f t="shared" si="539"/>
        <v>1.3833999999999999E-2</v>
      </c>
      <c r="I1461" s="3">
        <f t="shared" si="540"/>
        <v>46.252650547994648</v>
      </c>
      <c r="J1461" s="4">
        <f t="shared" si="550"/>
        <v>1810505.185411921</v>
      </c>
      <c r="K1461" s="1">
        <f t="shared" si="551"/>
        <v>2480.91</v>
      </c>
      <c r="L1461" s="5">
        <f t="shared" si="552"/>
        <v>6.5753424657534545E-2</v>
      </c>
      <c r="M1461" s="5">
        <f t="shared" si="553"/>
        <v>-0.1017680353186404</v>
      </c>
      <c r="N1461" s="5">
        <f t="shared" si="554"/>
        <v>2.8044710192674227</v>
      </c>
      <c r="O1461" s="1">
        <f t="shared" si="555"/>
        <v>0</v>
      </c>
      <c r="P1461" s="1">
        <f t="shared" si="556"/>
        <v>2480.91</v>
      </c>
      <c r="Q1461" s="5">
        <f t="shared" si="557"/>
        <v>6.5753424657534545E-2</v>
      </c>
      <c r="R1461" s="5">
        <f t="shared" si="558"/>
        <v>-0.1017680353186404</v>
      </c>
      <c r="S1461" s="5">
        <f t="shared" si="541"/>
        <v>2.8044710192674227</v>
      </c>
      <c r="T1461" s="5">
        <f t="shared" si="542"/>
        <v>-714.83215183235211</v>
      </c>
      <c r="U1461" s="4">
        <f t="shared" si="543"/>
        <v>1810534.4015092966</v>
      </c>
      <c r="V1461" s="4">
        <f t="shared" si="559"/>
        <v>29.216568835314398</v>
      </c>
      <c r="W1461" s="4">
        <f t="shared" si="544"/>
        <v>1808529.6754558422</v>
      </c>
      <c r="X1461" s="4">
        <f t="shared" si="548"/>
        <v>566.51216867147014</v>
      </c>
      <c r="Y1461" s="9">
        <f>SUM($X$6:X1461)</f>
        <v>808529.67545584217</v>
      </c>
      <c r="Z1461" s="16">
        <f t="shared" si="549"/>
        <v>0.8085296754558422</v>
      </c>
      <c r="AA1461" s="16">
        <f t="shared" si="545"/>
        <v>0.99925610386356178</v>
      </c>
      <c r="AB1461" s="16">
        <f t="shared" si="546"/>
        <v>3.1334276061325221E-4</v>
      </c>
      <c r="AC1461" s="16">
        <f t="shared" si="547"/>
        <v>8.7811112025819467E-4</v>
      </c>
    </row>
    <row r="1462" spans="1:29" x14ac:dyDescent="0.15">
      <c r="A1462" s="8">
        <v>43024</v>
      </c>
      <c r="B1462" s="4">
        <v>2557.64</v>
      </c>
      <c r="C1462" s="1">
        <v>8.7028999999999996</v>
      </c>
      <c r="D1462" s="1">
        <v>1.94</v>
      </c>
      <c r="E1462" s="1">
        <v>1.3839999999999999</v>
      </c>
      <c r="F1462" s="4">
        <f t="shared" si="537"/>
        <v>8.7028999999999995E-2</v>
      </c>
      <c r="G1462" s="4">
        <f t="shared" si="538"/>
        <v>1.9400000000000001E-2</v>
      </c>
      <c r="H1462" s="4">
        <f t="shared" si="539"/>
        <v>1.3839999999999998E-2</v>
      </c>
      <c r="I1462" s="3">
        <f t="shared" si="540"/>
        <v>45.940199192608013</v>
      </c>
      <c r="J1462" s="4">
        <f t="shared" si="550"/>
        <v>1810534.4015092966</v>
      </c>
      <c r="K1462" s="1">
        <f t="shared" si="551"/>
        <v>2480.91</v>
      </c>
      <c r="L1462" s="5">
        <f t="shared" si="552"/>
        <v>5.7534246575342764E-2</v>
      </c>
      <c r="M1462" s="5">
        <f t="shared" si="553"/>
        <v>-7.2857113171750143E-2</v>
      </c>
      <c r="N1462" s="5">
        <f t="shared" si="554"/>
        <v>1.7477650641248401</v>
      </c>
      <c r="O1462" s="1">
        <f t="shared" si="555"/>
        <v>0</v>
      </c>
      <c r="P1462" s="1">
        <f t="shared" si="556"/>
        <v>2480.91</v>
      </c>
      <c r="Q1462" s="5">
        <f t="shared" si="557"/>
        <v>5.7534246575342764E-2</v>
      </c>
      <c r="R1462" s="5">
        <f t="shared" si="558"/>
        <v>-7.2857113171750143E-2</v>
      </c>
      <c r="S1462" s="5">
        <f t="shared" si="541"/>
        <v>1.7477650641248401</v>
      </c>
      <c r="T1462" s="5">
        <f t="shared" si="542"/>
        <v>-714.83215183235211</v>
      </c>
      <c r="U1462" s="4">
        <f t="shared" si="543"/>
        <v>1810563.6180781319</v>
      </c>
      <c r="V1462" s="4">
        <f t="shared" si="559"/>
        <v>87.651120908056413</v>
      </c>
      <c r="W1462" s="4">
        <f t="shared" si="544"/>
        <v>1809314.2594164461</v>
      </c>
      <c r="X1462" s="4">
        <f t="shared" si="548"/>
        <v>784.58396060392261</v>
      </c>
      <c r="Y1462" s="9">
        <f>SUM($X$6:X1462)</f>
        <v>809314.25941644609</v>
      </c>
      <c r="Z1462" s="16">
        <f t="shared" si="549"/>
        <v>0.80931425941644608</v>
      </c>
      <c r="AA1462" s="16">
        <f t="shared" si="545"/>
        <v>1.0027563309476453</v>
      </c>
      <c r="AB1462" s="16">
        <f t="shared" si="546"/>
        <v>4.3382421159673105E-4</v>
      </c>
      <c r="AC1462" s="16">
        <f t="shared" si="547"/>
        <v>1.7507647356031129E-3</v>
      </c>
    </row>
    <row r="1463" spans="1:29" x14ac:dyDescent="0.15">
      <c r="A1463" s="8">
        <v>43025</v>
      </c>
      <c r="B1463" s="4">
        <v>2559.36</v>
      </c>
      <c r="C1463" s="1">
        <v>8.7582000000000004</v>
      </c>
      <c r="D1463" s="1">
        <v>1.94</v>
      </c>
      <c r="E1463" s="1">
        <v>1.3875</v>
      </c>
      <c r="F1463" s="4">
        <f t="shared" si="537"/>
        <v>8.7582000000000007E-2</v>
      </c>
      <c r="G1463" s="4">
        <f t="shared" si="538"/>
        <v>1.9400000000000001E-2</v>
      </c>
      <c r="H1463" s="4">
        <f t="shared" si="539"/>
        <v>1.3875E-2</v>
      </c>
      <c r="I1463" s="3">
        <f t="shared" si="540"/>
        <v>46.240046612166189</v>
      </c>
      <c r="J1463" s="4">
        <f t="shared" si="550"/>
        <v>1810563.6180781319</v>
      </c>
      <c r="K1463" s="1">
        <f t="shared" si="551"/>
        <v>2480.91</v>
      </c>
      <c r="L1463" s="5">
        <f t="shared" si="552"/>
        <v>5.4794520547945501E-2</v>
      </c>
      <c r="M1463" s="5">
        <f t="shared" si="553"/>
        <v>-6.4943229158351268E-2</v>
      </c>
      <c r="N1463" s="5">
        <f t="shared" si="554"/>
        <v>1.4996552827663474</v>
      </c>
      <c r="O1463" s="1">
        <f t="shared" si="555"/>
        <v>0</v>
      </c>
      <c r="P1463" s="1">
        <f t="shared" si="556"/>
        <v>2480.91</v>
      </c>
      <c r="Q1463" s="5">
        <f t="shared" si="557"/>
        <v>5.4794520547945501E-2</v>
      </c>
      <c r="R1463" s="5">
        <f t="shared" si="558"/>
        <v>-6.4943229158351268E-2</v>
      </c>
      <c r="S1463" s="5">
        <f t="shared" si="541"/>
        <v>1.4996552827663474</v>
      </c>
      <c r="T1463" s="5">
        <f t="shared" si="542"/>
        <v>-714.83215183235211</v>
      </c>
      <c r="U1463" s="4">
        <f t="shared" si="543"/>
        <v>1810651.26919904</v>
      </c>
      <c r="V1463" s="4">
        <f t="shared" si="559"/>
        <v>29.218454727622863</v>
      </c>
      <c r="W1463" s="4">
        <f t="shared" si="544"/>
        <v>1809579.2673862535</v>
      </c>
      <c r="X1463" s="4">
        <f t="shared" si="548"/>
        <v>265.00796980736777</v>
      </c>
      <c r="Y1463" s="9">
        <f>SUM($X$6:X1463)</f>
        <v>809579.26738625346</v>
      </c>
      <c r="Z1463" s="16">
        <f t="shared" si="549"/>
        <v>0.80957926738625341</v>
      </c>
      <c r="AA1463" s="16">
        <f t="shared" si="545"/>
        <v>1.0041031744788813</v>
      </c>
      <c r="AB1463" s="16">
        <f t="shared" si="546"/>
        <v>1.4646873445458842E-4</v>
      </c>
      <c r="AC1463" s="16">
        <f t="shared" si="547"/>
        <v>6.7249495628792747E-4</v>
      </c>
    </row>
    <row r="1464" spans="1:29" x14ac:dyDescent="0.15">
      <c r="A1464" s="8">
        <v>43026</v>
      </c>
      <c r="B1464" s="4">
        <v>2561.2600000000002</v>
      </c>
      <c r="C1464" s="1">
        <v>8.6524999999999999</v>
      </c>
      <c r="D1464" s="1">
        <v>1.94</v>
      </c>
      <c r="E1464" s="1">
        <v>1.3921999999999999</v>
      </c>
      <c r="F1464" s="4">
        <f t="shared" si="537"/>
        <v>8.6525000000000005E-2</v>
      </c>
      <c r="G1464" s="4">
        <f t="shared" si="538"/>
        <v>1.9400000000000001E-2</v>
      </c>
      <c r="H1464" s="4">
        <f t="shared" si="539"/>
        <v>1.3921999999999999E-2</v>
      </c>
      <c r="I1464" s="3">
        <f t="shared" si="540"/>
        <v>45.722133757063681</v>
      </c>
      <c r="J1464" s="4">
        <f t="shared" si="550"/>
        <v>1810651.26919904</v>
      </c>
      <c r="K1464" s="1">
        <f t="shared" si="551"/>
        <v>2480.91</v>
      </c>
      <c r="L1464" s="5">
        <f t="shared" si="552"/>
        <v>5.2054794520548238E-2</v>
      </c>
      <c r="M1464" s="5">
        <f t="shared" si="553"/>
        <v>-5.3642630609053145E-2</v>
      </c>
      <c r="N1464" s="5">
        <f t="shared" si="554"/>
        <v>1.1551349532102071</v>
      </c>
      <c r="O1464" s="1">
        <f t="shared" si="555"/>
        <v>0</v>
      </c>
      <c r="P1464" s="1">
        <f t="shared" si="556"/>
        <v>2480.91</v>
      </c>
      <c r="Q1464" s="5">
        <f t="shared" si="557"/>
        <v>5.2054794520548238E-2</v>
      </c>
      <c r="R1464" s="5">
        <f t="shared" si="558"/>
        <v>-5.3642630609053145E-2</v>
      </c>
      <c r="S1464" s="5">
        <f t="shared" si="541"/>
        <v>1.1551349532102071</v>
      </c>
      <c r="T1464" s="5">
        <f t="shared" si="542"/>
        <v>-714.83215183235211</v>
      </c>
      <c r="U1464" s="4">
        <f t="shared" si="543"/>
        <v>1810680.4876537677</v>
      </c>
      <c r="V1464" s="4">
        <f t="shared" si="559"/>
        <v>29.21892622542655</v>
      </c>
      <c r="W1464" s="4">
        <f t="shared" si="544"/>
        <v>1809854.7600495077</v>
      </c>
      <c r="X1464" s="4">
        <f t="shared" si="548"/>
        <v>275.49266325426288</v>
      </c>
      <c r="Y1464" s="9">
        <f>SUM($X$6:X1464)</f>
        <v>809854.76004950772</v>
      </c>
      <c r="Z1464" s="16">
        <f t="shared" si="549"/>
        <v>0.80985476004950774</v>
      </c>
      <c r="AA1464" s="16">
        <f t="shared" si="545"/>
        <v>1.0055909667517582</v>
      </c>
      <c r="AB1464" s="16">
        <f t="shared" si="546"/>
        <v>1.522412796274921E-4</v>
      </c>
      <c r="AC1464" s="16">
        <f t="shared" si="547"/>
        <v>7.4237309327335383E-4</v>
      </c>
    </row>
    <row r="1465" spans="1:29" x14ac:dyDescent="0.15">
      <c r="A1465" s="8">
        <v>43027</v>
      </c>
      <c r="B1465" s="4">
        <v>2562.1</v>
      </c>
      <c r="C1465" s="1">
        <v>8.6661999999999999</v>
      </c>
      <c r="D1465" s="1">
        <v>1.94</v>
      </c>
      <c r="E1465" s="1">
        <v>1.3928</v>
      </c>
      <c r="F1465" s="4">
        <f t="shared" si="537"/>
        <v>8.6662000000000003E-2</v>
      </c>
      <c r="G1465" s="4">
        <f t="shared" si="538"/>
        <v>1.9400000000000001E-2</v>
      </c>
      <c r="H1465" s="4">
        <f t="shared" si="539"/>
        <v>1.3928000000000001E-2</v>
      </c>
      <c r="I1465" s="3">
        <f t="shared" si="540"/>
        <v>45.80471739454385</v>
      </c>
      <c r="J1465" s="4">
        <f t="shared" si="550"/>
        <v>1810680.4876537677</v>
      </c>
      <c r="K1465" s="1">
        <f t="shared" si="551"/>
        <v>2480.91</v>
      </c>
      <c r="L1465" s="5">
        <f t="shared" si="552"/>
        <v>4.9315068493150975E-2</v>
      </c>
      <c r="M1465" s="5">
        <f t="shared" si="553"/>
        <v>-4.7527670344928878E-2</v>
      </c>
      <c r="N1465" s="5">
        <f t="shared" si="554"/>
        <v>0.97852355373567335</v>
      </c>
      <c r="O1465" s="1">
        <f t="shared" si="555"/>
        <v>1</v>
      </c>
      <c r="P1465" s="1">
        <f t="shared" si="556"/>
        <v>2562.1</v>
      </c>
      <c r="Q1465" s="5">
        <f t="shared" si="557"/>
        <v>0.24931506849315069</v>
      </c>
      <c r="R1465" s="5">
        <f t="shared" si="558"/>
        <v>-0.50151465602721357</v>
      </c>
      <c r="S1465" s="5">
        <f t="shared" si="541"/>
        <v>45.80471739454385</v>
      </c>
      <c r="T1465" s="5">
        <f t="shared" si="542"/>
        <v>-706.44432596550962</v>
      </c>
      <c r="U1465" s="4">
        <f t="shared" si="543"/>
        <v>1842368.7091882867</v>
      </c>
      <c r="V1465" s="4">
        <f t="shared" si="559"/>
        <v>29.730278622243858</v>
      </c>
      <c r="W1465" s="4">
        <f t="shared" si="544"/>
        <v>1810010.2264824575</v>
      </c>
      <c r="X1465" s="4">
        <f t="shared" si="548"/>
        <v>155.46643294976093</v>
      </c>
      <c r="Y1465" s="9">
        <f>SUM($X$6:X1465)</f>
        <v>810010.22648245748</v>
      </c>
      <c r="Z1465" s="16">
        <f t="shared" si="549"/>
        <v>0.81001022648245746</v>
      </c>
      <c r="AA1465" s="16">
        <f t="shared" si="545"/>
        <v>1.0062487275460825</v>
      </c>
      <c r="AB1465" s="16">
        <f t="shared" si="546"/>
        <v>8.5899949753707428E-5</v>
      </c>
      <c r="AC1465" s="16">
        <f t="shared" si="547"/>
        <v>3.2796358042513869E-4</v>
      </c>
    </row>
    <row r="1466" spans="1:29" x14ac:dyDescent="0.15">
      <c r="A1466" s="8">
        <v>43028</v>
      </c>
      <c r="B1466" s="4">
        <v>2575.21</v>
      </c>
      <c r="C1466" s="1">
        <v>8.4665999999999997</v>
      </c>
      <c r="D1466" s="1">
        <v>1.9300000000000002</v>
      </c>
      <c r="E1466" s="1">
        <v>1.3951</v>
      </c>
      <c r="F1466" s="4">
        <f t="shared" si="537"/>
        <v>8.4665999999999991E-2</v>
      </c>
      <c r="G1466" s="4">
        <f t="shared" si="538"/>
        <v>1.9300000000000001E-2</v>
      </c>
      <c r="H1466" s="4">
        <f t="shared" si="539"/>
        <v>1.3951E-2</v>
      </c>
      <c r="I1466" s="3">
        <f t="shared" si="540"/>
        <v>44.980301054264991</v>
      </c>
      <c r="J1466" s="4">
        <f t="shared" si="550"/>
        <v>1842368.7091882867</v>
      </c>
      <c r="K1466" s="1">
        <f t="shared" si="551"/>
        <v>2562.1</v>
      </c>
      <c r="L1466" s="5">
        <f t="shared" si="552"/>
        <v>0.24657534246575344</v>
      </c>
      <c r="M1466" s="5">
        <f t="shared" si="553"/>
        <v>-0.45362524256736775</v>
      </c>
      <c r="N1466" s="5">
        <f t="shared" si="554"/>
        <v>38.235450702342625</v>
      </c>
      <c r="O1466" s="1">
        <f t="shared" si="555"/>
        <v>0</v>
      </c>
      <c r="P1466" s="1">
        <f t="shared" si="556"/>
        <v>2562.1</v>
      </c>
      <c r="Q1466" s="5">
        <f t="shared" si="557"/>
        <v>0.24657534246575344</v>
      </c>
      <c r="R1466" s="5">
        <f t="shared" si="558"/>
        <v>-0.45362524256736775</v>
      </c>
      <c r="S1466" s="5">
        <f t="shared" si="541"/>
        <v>38.235450702342625</v>
      </c>
      <c r="T1466" s="5">
        <f t="shared" si="542"/>
        <v>-706.44432596550962</v>
      </c>
      <c r="U1466" s="4">
        <f t="shared" si="543"/>
        <v>1842398.439466909</v>
      </c>
      <c r="V1466" s="4">
        <f t="shared" si="559"/>
        <v>29.730758379342721</v>
      </c>
      <c r="W1466" s="4">
        <f t="shared" si="544"/>
        <v>1815387.2222675052</v>
      </c>
      <c r="X1466" s="4">
        <f t="shared" si="548"/>
        <v>5376.9957850477658</v>
      </c>
      <c r="Y1466" s="9">
        <f>SUM($X$6:X1466)</f>
        <v>815387.22226750525</v>
      </c>
      <c r="Z1466" s="16">
        <f t="shared" si="549"/>
        <v>0.81538722226750526</v>
      </c>
      <c r="AA1466" s="16">
        <f t="shared" si="545"/>
        <v>1.0165144942289321</v>
      </c>
      <c r="AB1466" s="16">
        <f t="shared" si="546"/>
        <v>2.9706991189200772E-3</v>
      </c>
      <c r="AC1466" s="16">
        <f t="shared" si="547"/>
        <v>5.1168962960072319E-3</v>
      </c>
    </row>
    <row r="1467" spans="1:29" x14ac:dyDescent="0.15">
      <c r="A1467" s="8">
        <v>43031</v>
      </c>
      <c r="B1467" s="4">
        <v>2564.98</v>
      </c>
      <c r="C1467" s="1">
        <v>9.0474999999999994</v>
      </c>
      <c r="D1467" s="1">
        <v>1.94</v>
      </c>
      <c r="E1467" s="1">
        <v>1.3977999999999999</v>
      </c>
      <c r="F1467" s="4">
        <f t="shared" si="537"/>
        <v>9.0475E-2</v>
      </c>
      <c r="G1467" s="4">
        <f t="shared" si="538"/>
        <v>1.9400000000000001E-2</v>
      </c>
      <c r="H1467" s="4">
        <f t="shared" si="539"/>
        <v>1.3977999999999999E-2</v>
      </c>
      <c r="I1467" s="3">
        <f t="shared" si="540"/>
        <v>47.778337251435588</v>
      </c>
      <c r="J1467" s="4">
        <f t="shared" si="550"/>
        <v>1842398.439466909</v>
      </c>
      <c r="K1467" s="1">
        <f t="shared" si="551"/>
        <v>2562.1</v>
      </c>
      <c r="L1467" s="5">
        <f t="shared" si="552"/>
        <v>0.23835616438356166</v>
      </c>
      <c r="M1467" s="5">
        <f t="shared" si="553"/>
        <v>-0.49044199888759615</v>
      </c>
      <c r="N1467" s="5">
        <f t="shared" si="554"/>
        <v>45.207332588132388</v>
      </c>
      <c r="O1467" s="1">
        <f t="shared" si="555"/>
        <v>0</v>
      </c>
      <c r="P1467" s="1">
        <f t="shared" si="556"/>
        <v>2562.1</v>
      </c>
      <c r="Q1467" s="5">
        <f t="shared" si="557"/>
        <v>0.23835616438356166</v>
      </c>
      <c r="R1467" s="5">
        <f t="shared" si="558"/>
        <v>-0.49044199888759615</v>
      </c>
      <c r="S1467" s="5">
        <f t="shared" si="541"/>
        <v>45.207332588132388</v>
      </c>
      <c r="T1467" s="5">
        <f t="shared" si="542"/>
        <v>-706.44432596550962</v>
      </c>
      <c r="U1467" s="4">
        <f t="shared" si="543"/>
        <v>1842428.1702252885</v>
      </c>
      <c r="V1467" s="4">
        <f t="shared" si="559"/>
        <v>89.193714432550266</v>
      </c>
      <c r="W1467" s="4">
        <f t="shared" si="544"/>
        <v>1810491.7066263666</v>
      </c>
      <c r="X1467" s="4">
        <f t="shared" si="548"/>
        <v>-4895.5156411386561</v>
      </c>
      <c r="Y1467" s="9">
        <f>SUM($X$6:X1467)</f>
        <v>810491.70662636659</v>
      </c>
      <c r="Z1467" s="16">
        <f t="shared" si="549"/>
        <v>0.8104917066263666</v>
      </c>
      <c r="AA1467" s="16">
        <f t="shared" si="545"/>
        <v>1.0085039074123379</v>
      </c>
      <c r="AB1467" s="16">
        <f t="shared" si="546"/>
        <v>-2.6966784722787262E-3</v>
      </c>
      <c r="AC1467" s="16">
        <f t="shared" si="547"/>
        <v>-3.9724915637948041E-3</v>
      </c>
    </row>
    <row r="1468" spans="1:29" x14ac:dyDescent="0.15">
      <c r="A1468" s="8">
        <v>43032</v>
      </c>
      <c r="B1468" s="4">
        <v>2569.13</v>
      </c>
      <c r="C1468" s="1">
        <v>9.0253999999999994</v>
      </c>
      <c r="D1468" s="1">
        <v>1.9300000000000002</v>
      </c>
      <c r="E1468" s="1">
        <v>1.4011</v>
      </c>
      <c r="F1468" s="4">
        <f t="shared" si="537"/>
        <v>9.0254000000000001E-2</v>
      </c>
      <c r="G1468" s="4">
        <f t="shared" si="538"/>
        <v>1.9300000000000001E-2</v>
      </c>
      <c r="H1468" s="4">
        <f t="shared" si="539"/>
        <v>1.4011000000000001E-2</v>
      </c>
      <c r="I1468" s="3">
        <f t="shared" si="540"/>
        <v>47.700066416982651</v>
      </c>
      <c r="J1468" s="4">
        <f t="shared" si="550"/>
        <v>1842428.1702252885</v>
      </c>
      <c r="K1468" s="1">
        <f t="shared" si="551"/>
        <v>2562.1</v>
      </c>
      <c r="L1468" s="5">
        <f t="shared" si="552"/>
        <v>0.23561643835616441</v>
      </c>
      <c r="M1468" s="5">
        <f t="shared" si="553"/>
        <v>-0.4755017468315576</v>
      </c>
      <c r="N1468" s="5">
        <f t="shared" si="554"/>
        <v>42.77838054965197</v>
      </c>
      <c r="O1468" s="1">
        <f t="shared" si="555"/>
        <v>0</v>
      </c>
      <c r="P1468" s="1">
        <f t="shared" si="556"/>
        <v>2562.1</v>
      </c>
      <c r="Q1468" s="5">
        <f t="shared" si="557"/>
        <v>0.23561643835616441</v>
      </c>
      <c r="R1468" s="5">
        <f t="shared" si="558"/>
        <v>-0.4755017468315576</v>
      </c>
      <c r="S1468" s="5">
        <f t="shared" si="541"/>
        <v>42.77838054965197</v>
      </c>
      <c r="T1468" s="5">
        <f t="shared" si="542"/>
        <v>-706.44432596550962</v>
      </c>
      <c r="U1468" s="4">
        <f t="shared" si="543"/>
        <v>1842517.3639397211</v>
      </c>
      <c r="V1468" s="4">
        <f t="shared" si="559"/>
        <v>29.732677461931388</v>
      </c>
      <c r="W1468" s="4">
        <f t="shared" si="544"/>
        <v>1812296.8197264262</v>
      </c>
      <c r="X1468" s="4">
        <f t="shared" si="548"/>
        <v>1805.1131000595633</v>
      </c>
      <c r="Y1468" s="9">
        <f>SUM($X$6:X1468)</f>
        <v>812296.81972642615</v>
      </c>
      <c r="Z1468" s="16">
        <f t="shared" si="549"/>
        <v>0.8122968197264262</v>
      </c>
      <c r="AA1468" s="16">
        <f t="shared" si="545"/>
        <v>1.0117535589557265</v>
      </c>
      <c r="AB1468" s="16">
        <f t="shared" si="546"/>
        <v>9.9702920121251168E-4</v>
      </c>
      <c r="AC1468" s="16">
        <f t="shared" si="547"/>
        <v>1.6179463387629108E-3</v>
      </c>
    </row>
    <row r="1469" spans="1:29" x14ac:dyDescent="0.15">
      <c r="A1469" s="8">
        <v>43033</v>
      </c>
      <c r="B1469" s="4">
        <v>2557.15</v>
      </c>
      <c r="C1469" s="1">
        <v>9.4295000000000009</v>
      </c>
      <c r="D1469" s="1">
        <v>1.94</v>
      </c>
      <c r="E1469" s="1">
        <v>1.4043000000000001</v>
      </c>
      <c r="F1469" s="4">
        <f t="shared" si="537"/>
        <v>9.4295000000000004E-2</v>
      </c>
      <c r="G1469" s="4">
        <f t="shared" si="538"/>
        <v>1.9400000000000001E-2</v>
      </c>
      <c r="H1469" s="4">
        <f t="shared" si="539"/>
        <v>1.4043000000000002E-2</v>
      </c>
      <c r="I1469" s="3">
        <f t="shared" si="540"/>
        <v>49.547379904164806</v>
      </c>
      <c r="J1469" s="4">
        <f t="shared" si="550"/>
        <v>1842517.3639397211</v>
      </c>
      <c r="K1469" s="1">
        <f t="shared" si="551"/>
        <v>2562.1</v>
      </c>
      <c r="L1469" s="5">
        <f t="shared" si="552"/>
        <v>0.23287671232876717</v>
      </c>
      <c r="M1469" s="5">
        <f t="shared" si="553"/>
        <v>-0.51646945047115567</v>
      </c>
      <c r="N1469" s="5">
        <f t="shared" si="554"/>
        <v>50.450571182731771</v>
      </c>
      <c r="O1469" s="1">
        <f t="shared" si="555"/>
        <v>0</v>
      </c>
      <c r="P1469" s="1">
        <f t="shared" si="556"/>
        <v>2562.1</v>
      </c>
      <c r="Q1469" s="5">
        <f t="shared" si="557"/>
        <v>0.23287671232876717</v>
      </c>
      <c r="R1469" s="5">
        <f t="shared" si="558"/>
        <v>-0.51646945047115567</v>
      </c>
      <c r="S1469" s="5">
        <f t="shared" si="541"/>
        <v>50.450571182731771</v>
      </c>
      <c r="T1469" s="5">
        <f t="shared" si="542"/>
        <v>-706.44432596550962</v>
      </c>
      <c r="U1469" s="4">
        <f t="shared" si="543"/>
        <v>1842547.0966171832</v>
      </c>
      <c r="V1469" s="4">
        <f t="shared" si="559"/>
        <v>29.733157257740295</v>
      </c>
      <c r="W1469" s="4">
        <f t="shared" si="544"/>
        <v>1806906.5768634232</v>
      </c>
      <c r="X1469" s="4">
        <f t="shared" si="548"/>
        <v>-5390.2428630029317</v>
      </c>
      <c r="Y1469" s="9">
        <f>SUM($X$6:X1469)</f>
        <v>806906.57686342322</v>
      </c>
      <c r="Z1469" s="16">
        <f t="shared" si="549"/>
        <v>0.80690657686342326</v>
      </c>
      <c r="AA1469" s="16">
        <f t="shared" si="545"/>
        <v>1.0023726371509563</v>
      </c>
      <c r="AB1469" s="16">
        <f t="shared" si="546"/>
        <v>-2.9742605098300682E-3</v>
      </c>
      <c r="AC1469" s="16">
        <f t="shared" si="547"/>
        <v>-4.6630571438580444E-3</v>
      </c>
    </row>
    <row r="1470" spans="1:29" x14ac:dyDescent="0.15">
      <c r="A1470" s="8">
        <v>43034</v>
      </c>
      <c r="B1470" s="4">
        <v>2560.4</v>
      </c>
      <c r="C1470" s="1">
        <v>9.3872</v>
      </c>
      <c r="D1470" s="1">
        <v>1.94</v>
      </c>
      <c r="E1470" s="1">
        <v>1.4086000000000001</v>
      </c>
      <c r="F1470" s="4">
        <f t="shared" si="537"/>
        <v>9.3871999999999997E-2</v>
      </c>
      <c r="G1470" s="4">
        <f t="shared" si="538"/>
        <v>1.9400000000000001E-2</v>
      </c>
      <c r="H1470" s="4">
        <f t="shared" si="539"/>
        <v>1.4086000000000001E-2</v>
      </c>
      <c r="I1470" s="3">
        <f t="shared" si="540"/>
        <v>49.381413044487807</v>
      </c>
      <c r="J1470" s="4">
        <f t="shared" si="550"/>
        <v>1842547.0966171832</v>
      </c>
      <c r="K1470" s="1">
        <f t="shared" si="551"/>
        <v>2562.1</v>
      </c>
      <c r="L1470" s="5">
        <f t="shared" si="552"/>
        <v>0.23013698630136992</v>
      </c>
      <c r="M1470" s="5">
        <f t="shared" si="553"/>
        <v>-0.50546897797124135</v>
      </c>
      <c r="N1470" s="5">
        <f t="shared" si="554"/>
        <v>48.280384229634777</v>
      </c>
      <c r="O1470" s="1">
        <f t="shared" si="555"/>
        <v>0</v>
      </c>
      <c r="P1470" s="1">
        <f t="shared" si="556"/>
        <v>2562.1</v>
      </c>
      <c r="Q1470" s="5">
        <f t="shared" si="557"/>
        <v>0.23013698630136992</v>
      </c>
      <c r="R1470" s="5">
        <f t="shared" si="558"/>
        <v>-0.50546897797124135</v>
      </c>
      <c r="S1470" s="5">
        <f t="shared" si="541"/>
        <v>48.280384229634777</v>
      </c>
      <c r="T1470" s="5">
        <f t="shared" si="542"/>
        <v>-706.44432596550962</v>
      </c>
      <c r="U1470" s="4">
        <f t="shared" si="543"/>
        <v>1842576.829774441</v>
      </c>
      <c r="V1470" s="4">
        <f t="shared" si="559"/>
        <v>29.73363706129166</v>
      </c>
      <c r="W1470" s="4">
        <f t="shared" si="544"/>
        <v>1808469.4262799807</v>
      </c>
      <c r="X1470" s="4">
        <f t="shared" si="548"/>
        <v>1562.8494165574666</v>
      </c>
      <c r="Y1470" s="9">
        <f>SUM($X$6:X1470)</f>
        <v>808469.42627998069</v>
      </c>
      <c r="Z1470" s="16">
        <f t="shared" si="549"/>
        <v>0.80846942627998064</v>
      </c>
      <c r="AA1470" s="16">
        <f t="shared" si="545"/>
        <v>1.0049175449861403</v>
      </c>
      <c r="AB1470" s="16">
        <f t="shared" si="546"/>
        <v>8.6493094693937574E-4</v>
      </c>
      <c r="AC1470" s="16">
        <f t="shared" si="547"/>
        <v>1.270946170541423E-3</v>
      </c>
    </row>
    <row r="1471" spans="1:29" x14ac:dyDescent="0.15">
      <c r="A1471" s="8">
        <v>43035</v>
      </c>
      <c r="B1471" s="4">
        <v>2581.0700000000002</v>
      </c>
      <c r="C1471" s="1">
        <v>8.7837999999999994</v>
      </c>
      <c r="D1471" s="1">
        <v>1.9300000000000002</v>
      </c>
      <c r="E1471" s="1">
        <v>1.4108000000000001</v>
      </c>
      <c r="F1471" s="4">
        <f t="shared" si="537"/>
        <v>8.7837999999999999E-2</v>
      </c>
      <c r="G1471" s="4">
        <f t="shared" si="538"/>
        <v>1.9300000000000001E-2</v>
      </c>
      <c r="H1471" s="4">
        <f t="shared" si="539"/>
        <v>1.4108000000000001E-2</v>
      </c>
      <c r="I1471" s="3">
        <f t="shared" si="540"/>
        <v>46.653195427764096</v>
      </c>
      <c r="J1471" s="4">
        <f t="shared" si="550"/>
        <v>1842576.829774441</v>
      </c>
      <c r="K1471" s="1">
        <f t="shared" si="551"/>
        <v>2562.1</v>
      </c>
      <c r="L1471" s="5">
        <f t="shared" si="552"/>
        <v>0.22739726027397267</v>
      </c>
      <c r="M1471" s="5">
        <f t="shared" si="553"/>
        <v>-0.43105336176196307</v>
      </c>
      <c r="N1471" s="5">
        <f t="shared" si="554"/>
        <v>35.336606136419491</v>
      </c>
      <c r="O1471" s="1">
        <f t="shared" si="555"/>
        <v>0</v>
      </c>
      <c r="P1471" s="1">
        <f t="shared" si="556"/>
        <v>2562.1</v>
      </c>
      <c r="Q1471" s="5">
        <f t="shared" si="557"/>
        <v>0.22739726027397267</v>
      </c>
      <c r="R1471" s="5">
        <f t="shared" si="558"/>
        <v>-0.43105336176196307</v>
      </c>
      <c r="S1471" s="5">
        <f t="shared" si="541"/>
        <v>35.336606136419491</v>
      </c>
      <c r="T1471" s="5">
        <f t="shared" si="542"/>
        <v>-706.44432596550962</v>
      </c>
      <c r="U1471" s="4">
        <f t="shared" si="543"/>
        <v>1842606.5634115022</v>
      </c>
      <c r="V1471" s="4">
        <f t="shared" si="559"/>
        <v>29.734116872585606</v>
      </c>
      <c r="W1471" s="4">
        <f t="shared" si="544"/>
        <v>1817643.2185075507</v>
      </c>
      <c r="X1471" s="4">
        <f t="shared" si="548"/>
        <v>9173.7922275699675</v>
      </c>
      <c r="Y1471" s="9">
        <f>SUM($X$6:X1471)</f>
        <v>817643.21850755066</v>
      </c>
      <c r="Z1471" s="16">
        <f t="shared" si="549"/>
        <v>0.81764321850755062</v>
      </c>
      <c r="AA1471" s="16">
        <f t="shared" si="545"/>
        <v>1.02110315881791</v>
      </c>
      <c r="AB1471" s="16">
        <f t="shared" si="546"/>
        <v>5.0726830624062283E-3</v>
      </c>
      <c r="AC1471" s="16">
        <f t="shared" si="547"/>
        <v>8.0729573504140263E-3</v>
      </c>
    </row>
    <row r="1472" spans="1:29" x14ac:dyDescent="0.15">
      <c r="A1472" s="8">
        <v>43038</v>
      </c>
      <c r="B1472" s="4">
        <v>2572.83</v>
      </c>
      <c r="C1472" s="1">
        <v>9.1902000000000008</v>
      </c>
      <c r="D1472" s="1">
        <v>1.94</v>
      </c>
      <c r="E1472" s="1">
        <v>1.4074</v>
      </c>
      <c r="F1472" s="4">
        <f t="shared" si="537"/>
        <v>9.1902000000000011E-2</v>
      </c>
      <c r="G1472" s="4">
        <f t="shared" si="538"/>
        <v>1.9400000000000001E-2</v>
      </c>
      <c r="H1472" s="4">
        <f t="shared" si="539"/>
        <v>1.4074E-2</v>
      </c>
      <c r="I1472" s="3">
        <f t="shared" si="540"/>
        <v>48.620396725215777</v>
      </c>
      <c r="J1472" s="4">
        <f t="shared" si="550"/>
        <v>1842606.5634115022</v>
      </c>
      <c r="K1472" s="1">
        <f t="shared" si="551"/>
        <v>2562.1</v>
      </c>
      <c r="L1472" s="5">
        <f t="shared" si="552"/>
        <v>0.21917808219178089</v>
      </c>
      <c r="M1472" s="5">
        <f t="shared" si="553"/>
        <v>-0.4615747549095674</v>
      </c>
      <c r="N1472" s="5">
        <f t="shared" si="554"/>
        <v>40.159926001546808</v>
      </c>
      <c r="O1472" s="1">
        <f t="shared" si="555"/>
        <v>0</v>
      </c>
      <c r="P1472" s="1">
        <f t="shared" si="556"/>
        <v>2562.1</v>
      </c>
      <c r="Q1472" s="5">
        <f t="shared" si="557"/>
        <v>0.21917808219178089</v>
      </c>
      <c r="R1472" s="5">
        <f t="shared" si="558"/>
        <v>-0.4615747549095674</v>
      </c>
      <c r="S1472" s="5">
        <f t="shared" si="541"/>
        <v>40.159926001546808</v>
      </c>
      <c r="T1472" s="5">
        <f t="shared" si="542"/>
        <v>-706.44432596550962</v>
      </c>
      <c r="U1472" s="4">
        <f t="shared" si="543"/>
        <v>1842636.2975283747</v>
      </c>
      <c r="V1472" s="4">
        <f t="shared" si="559"/>
        <v>89.203790074866788</v>
      </c>
      <c r="W1472" s="4">
        <f t="shared" si="544"/>
        <v>1814265.5456733871</v>
      </c>
      <c r="X1472" s="4">
        <f t="shared" si="548"/>
        <v>-3377.6728341635317</v>
      </c>
      <c r="Y1472" s="9">
        <f>SUM($X$6:X1472)</f>
        <v>814265.54567338713</v>
      </c>
      <c r="Z1472" s="16">
        <f t="shared" si="549"/>
        <v>0.81426554567338716</v>
      </c>
      <c r="AA1472" s="16">
        <f t="shared" si="545"/>
        <v>1.0146508386450128</v>
      </c>
      <c r="AB1472" s="16">
        <f t="shared" si="546"/>
        <v>-1.8582705339372963E-3</v>
      </c>
      <c r="AC1472" s="16">
        <f t="shared" si="547"/>
        <v>-3.1924744388955881E-3</v>
      </c>
    </row>
    <row r="1473" spans="1:29" x14ac:dyDescent="0.15">
      <c r="A1473" s="8">
        <v>43039</v>
      </c>
      <c r="B1473" s="4">
        <v>2575.2600000000002</v>
      </c>
      <c r="C1473" s="1">
        <v>9.0614000000000008</v>
      </c>
      <c r="D1473" s="1">
        <v>1.9300000000000002</v>
      </c>
      <c r="E1473" s="1">
        <v>1.4118999999999999</v>
      </c>
      <c r="F1473" s="4">
        <f t="shared" si="537"/>
        <v>9.0614000000000014E-2</v>
      </c>
      <c r="G1473" s="4">
        <f t="shared" si="538"/>
        <v>1.9300000000000001E-2</v>
      </c>
      <c r="H1473" s="4">
        <f t="shared" si="539"/>
        <v>1.4119E-2</v>
      </c>
      <c r="I1473" s="3">
        <f t="shared" si="540"/>
        <v>47.961696624847193</v>
      </c>
      <c r="J1473" s="4">
        <f t="shared" si="550"/>
        <v>1842636.2975283747</v>
      </c>
      <c r="K1473" s="1">
        <f t="shared" si="551"/>
        <v>2562.1</v>
      </c>
      <c r="L1473" s="5">
        <f t="shared" si="552"/>
        <v>0.21643835616438364</v>
      </c>
      <c r="M1473" s="5">
        <f t="shared" si="553"/>
        <v>-0.45193124898454401</v>
      </c>
      <c r="N1473" s="5">
        <f t="shared" si="554"/>
        <v>38.11320997060907</v>
      </c>
      <c r="O1473" s="1">
        <f t="shared" si="555"/>
        <v>0</v>
      </c>
      <c r="P1473" s="1">
        <f t="shared" si="556"/>
        <v>2562.1</v>
      </c>
      <c r="Q1473" s="5">
        <f t="shared" si="557"/>
        <v>0.21643835616438364</v>
      </c>
      <c r="R1473" s="5">
        <f t="shared" si="558"/>
        <v>-0.45193124898454401</v>
      </c>
      <c r="S1473" s="5">
        <f t="shared" si="541"/>
        <v>38.11320997060907</v>
      </c>
      <c r="T1473" s="5">
        <f t="shared" si="542"/>
        <v>-706.44432596550962</v>
      </c>
      <c r="U1473" s="4">
        <f t="shared" si="543"/>
        <v>1842725.5013184496</v>
      </c>
      <c r="V1473" s="4">
        <f t="shared" si="559"/>
        <v>29.73603617196073</v>
      </c>
      <c r="W1473" s="4">
        <f t="shared" si="544"/>
        <v>1815800.6403903808</v>
      </c>
      <c r="X1473" s="4">
        <f t="shared" si="548"/>
        <v>1535.0947169936262</v>
      </c>
      <c r="Y1473" s="9">
        <f>SUM($X$6:X1473)</f>
        <v>815800.64039038075</v>
      </c>
      <c r="Z1473" s="16">
        <f t="shared" si="549"/>
        <v>0.8158006403903808</v>
      </c>
      <c r="AA1473" s="16">
        <f t="shared" si="545"/>
        <v>1.0165536466571659</v>
      </c>
      <c r="AB1473" s="16">
        <f t="shared" si="546"/>
        <v>8.4612460433616224E-4</v>
      </c>
      <c r="AC1473" s="16">
        <f t="shared" si="547"/>
        <v>9.4448525553584618E-4</v>
      </c>
    </row>
    <row r="1474" spans="1:29" x14ac:dyDescent="0.15">
      <c r="A1474" s="8">
        <v>43040</v>
      </c>
      <c r="B1474" s="4">
        <v>2579.36</v>
      </c>
      <c r="C1474" s="1">
        <v>9.3308999999999997</v>
      </c>
      <c r="D1474" s="1">
        <v>1.9300000000000002</v>
      </c>
      <c r="E1474" s="1">
        <v>1.4149</v>
      </c>
      <c r="F1474" s="4">
        <f t="shared" si="537"/>
        <v>9.3309000000000003E-2</v>
      </c>
      <c r="G1474" s="4">
        <f t="shared" si="538"/>
        <v>1.9300000000000001E-2</v>
      </c>
      <c r="H1474" s="4">
        <f t="shared" si="539"/>
        <v>1.4149E-2</v>
      </c>
      <c r="I1474" s="3">
        <f t="shared" si="540"/>
        <v>49.406084987799538</v>
      </c>
      <c r="J1474" s="4">
        <f t="shared" si="550"/>
        <v>1842725.5013184496</v>
      </c>
      <c r="K1474" s="1">
        <f t="shared" si="551"/>
        <v>2562.1</v>
      </c>
      <c r="L1474" s="5">
        <f t="shared" si="552"/>
        <v>0.21369863013698639</v>
      </c>
      <c r="M1474" s="5">
        <f t="shared" si="553"/>
        <v>-0.43790103904978295</v>
      </c>
      <c r="N1474" s="5">
        <f t="shared" si="554"/>
        <v>37.259476153816848</v>
      </c>
      <c r="O1474" s="1">
        <f t="shared" si="555"/>
        <v>0</v>
      </c>
      <c r="P1474" s="1">
        <f t="shared" si="556"/>
        <v>2562.1</v>
      </c>
      <c r="Q1474" s="5">
        <f t="shared" si="557"/>
        <v>0.21369863013698639</v>
      </c>
      <c r="R1474" s="5">
        <f t="shared" si="558"/>
        <v>-0.43790103904978295</v>
      </c>
      <c r="S1474" s="5">
        <f t="shared" si="541"/>
        <v>37.259476153816848</v>
      </c>
      <c r="T1474" s="5">
        <f t="shared" si="542"/>
        <v>-706.44432596550962</v>
      </c>
      <c r="U1474" s="4">
        <f t="shared" si="543"/>
        <v>1842755.2373546215</v>
      </c>
      <c r="V1474" s="4">
        <f t="shared" si="559"/>
        <v>29.736516021969095</v>
      </c>
      <c r="W1474" s="4">
        <f t="shared" si="544"/>
        <v>1816433.4918373104</v>
      </c>
      <c r="X1474" s="4">
        <f t="shared" si="548"/>
        <v>632.85144692962058</v>
      </c>
      <c r="Y1474" s="9">
        <f>SUM($X$6:X1474)</f>
        <v>816433.49183731037</v>
      </c>
      <c r="Z1474" s="16">
        <f t="shared" si="549"/>
        <v>0.8164334918373104</v>
      </c>
      <c r="AA1474" s="16">
        <f t="shared" si="545"/>
        <v>1.019764145772321</v>
      </c>
      <c r="AB1474" s="16">
        <f t="shared" si="546"/>
        <v>3.4852474046576126E-4</v>
      </c>
      <c r="AC1474" s="16">
        <f t="shared" si="547"/>
        <v>1.5920722567818041E-3</v>
      </c>
    </row>
    <row r="1475" spans="1:29" x14ac:dyDescent="0.15">
      <c r="A1475" s="8">
        <v>43041</v>
      </c>
      <c r="B1475" s="4">
        <v>2579.85</v>
      </c>
      <c r="C1475" s="1">
        <v>9.4969999999999999</v>
      </c>
      <c r="D1475" s="1">
        <v>1.9300000000000002</v>
      </c>
      <c r="E1475" s="1">
        <v>1.4222999999999999</v>
      </c>
      <c r="F1475" s="4">
        <f t="shared" si="537"/>
        <v>9.4969999999999999E-2</v>
      </c>
      <c r="G1475" s="4">
        <f t="shared" si="538"/>
        <v>1.9300000000000001E-2</v>
      </c>
      <c r="H1475" s="4">
        <f t="shared" si="539"/>
        <v>1.4223E-2</v>
      </c>
      <c r="I1475" s="3">
        <f t="shared" si="540"/>
        <v>50.240284068611892</v>
      </c>
      <c r="J1475" s="4">
        <f t="shared" si="550"/>
        <v>1842755.2373546215</v>
      </c>
      <c r="K1475" s="1">
        <f t="shared" si="551"/>
        <v>2562.1</v>
      </c>
      <c r="L1475" s="5">
        <f t="shared" si="552"/>
        <v>0.21095890410958915</v>
      </c>
      <c r="M1475" s="5">
        <f t="shared" si="553"/>
        <v>-0.43642014463755208</v>
      </c>
      <c r="N1475" s="5">
        <f t="shared" si="554"/>
        <v>37.504376187635295</v>
      </c>
      <c r="O1475" s="1">
        <f t="shared" si="555"/>
        <v>0</v>
      </c>
      <c r="P1475" s="1">
        <f t="shared" si="556"/>
        <v>2562.1</v>
      </c>
      <c r="Q1475" s="5">
        <f t="shared" si="557"/>
        <v>0.21095890410958915</v>
      </c>
      <c r="R1475" s="5">
        <f t="shared" si="558"/>
        <v>-0.43642014463755208</v>
      </c>
      <c r="S1475" s="5">
        <f t="shared" si="541"/>
        <v>37.504376187635295</v>
      </c>
      <c r="T1475" s="5">
        <f t="shared" si="542"/>
        <v>-706.44432596550962</v>
      </c>
      <c r="U1475" s="4">
        <f t="shared" si="543"/>
        <v>1842784.9738706434</v>
      </c>
      <c r="V1475" s="4">
        <f t="shared" si="559"/>
        <v>29.736995879720791</v>
      </c>
      <c r="W1475" s="4">
        <f t="shared" si="544"/>
        <v>1816290.2201140125</v>
      </c>
      <c r="X1475" s="4">
        <f t="shared" si="548"/>
        <v>-143.27172329789028</v>
      </c>
      <c r="Y1475" s="9">
        <f>SUM($X$6:X1475)</f>
        <v>816290.22011401248</v>
      </c>
      <c r="Z1475" s="16">
        <f t="shared" si="549"/>
        <v>0.81629022011401253</v>
      </c>
      <c r="AA1475" s="16">
        <f t="shared" si="545"/>
        <v>1.02014783956901</v>
      </c>
      <c r="AB1475" s="16">
        <f t="shared" si="546"/>
        <v>-7.8875292677505014E-5</v>
      </c>
      <c r="AC1475" s="16">
        <f t="shared" si="547"/>
        <v>1.8996960486313726E-4</v>
      </c>
    </row>
    <row r="1476" spans="1:29" x14ac:dyDescent="0.15">
      <c r="A1476" s="8">
        <v>43042</v>
      </c>
      <c r="B1476" s="4">
        <v>2587.84</v>
      </c>
      <c r="C1476" s="1">
        <v>9.2703000000000007</v>
      </c>
      <c r="D1476" s="1">
        <v>1.9300000000000002</v>
      </c>
      <c r="E1476" s="1">
        <v>1.4229000000000001</v>
      </c>
      <c r="F1476" s="4">
        <f t="shared" si="537"/>
        <v>9.2703000000000008E-2</v>
      </c>
      <c r="G1476" s="4">
        <f t="shared" si="538"/>
        <v>1.9300000000000001E-2</v>
      </c>
      <c r="H1476" s="4">
        <f t="shared" si="539"/>
        <v>1.4229E-2</v>
      </c>
      <c r="I1476" s="3">
        <f t="shared" si="540"/>
        <v>49.23087317938495</v>
      </c>
      <c r="J1476" s="4">
        <f t="shared" si="550"/>
        <v>1842784.9738706434</v>
      </c>
      <c r="K1476" s="1">
        <f t="shared" si="551"/>
        <v>2562.1</v>
      </c>
      <c r="L1476" s="5">
        <f t="shared" si="552"/>
        <v>0.2082191780821919</v>
      </c>
      <c r="M1476" s="5">
        <f t="shared" si="553"/>
        <v>-0.40643753415516476</v>
      </c>
      <c r="N1476" s="5">
        <f t="shared" si="554"/>
        <v>32.792794303067247</v>
      </c>
      <c r="O1476" s="1">
        <f t="shared" si="555"/>
        <v>0</v>
      </c>
      <c r="P1476" s="1">
        <f t="shared" si="556"/>
        <v>2562.1</v>
      </c>
      <c r="Q1476" s="5">
        <f t="shared" si="557"/>
        <v>0.2082191780821919</v>
      </c>
      <c r="R1476" s="5">
        <f t="shared" si="558"/>
        <v>-0.40643753415516476</v>
      </c>
      <c r="S1476" s="5">
        <f t="shared" si="541"/>
        <v>32.792794303067247</v>
      </c>
      <c r="T1476" s="5">
        <f t="shared" si="542"/>
        <v>-706.44432596550962</v>
      </c>
      <c r="U1476" s="4">
        <f t="shared" si="543"/>
        <v>1842814.7108665232</v>
      </c>
      <c r="V1476" s="4">
        <f t="shared" si="559"/>
        <v>29.737475745215946</v>
      </c>
      <c r="W1476" s="4">
        <f t="shared" si="544"/>
        <v>1819648.4273985673</v>
      </c>
      <c r="X1476" s="4">
        <f t="shared" si="548"/>
        <v>3358.2072845548391</v>
      </c>
      <c r="Y1476" s="9">
        <f>SUM($X$6:X1476)</f>
        <v>819648.42739856732</v>
      </c>
      <c r="Z1476" s="16">
        <f t="shared" si="549"/>
        <v>0.81964842739856736</v>
      </c>
      <c r="AA1476" s="16">
        <f t="shared" si="545"/>
        <v>1.0264043976007393</v>
      </c>
      <c r="AB1476" s="16">
        <f t="shared" si="546"/>
        <v>1.8489376022429044E-3</v>
      </c>
      <c r="AC1476" s="16">
        <f t="shared" si="547"/>
        <v>3.0970792875555696E-3</v>
      </c>
    </row>
    <row r="1477" spans="1:29" x14ac:dyDescent="0.15">
      <c r="A1477" s="8">
        <v>43045</v>
      </c>
      <c r="B1477" s="4">
        <v>2591.13</v>
      </c>
      <c r="C1477" s="1">
        <v>9.4352</v>
      </c>
      <c r="D1477" s="1">
        <v>1.9300000000000002</v>
      </c>
      <c r="E1477" s="1">
        <v>1.4280999999999999</v>
      </c>
      <c r="F1477" s="4">
        <f t="shared" si="537"/>
        <v>9.4352000000000005E-2</v>
      </c>
      <c r="G1477" s="4">
        <f t="shared" si="538"/>
        <v>1.9300000000000001E-2</v>
      </c>
      <c r="H1477" s="4">
        <f t="shared" si="539"/>
        <v>1.4280999999999999E-2</v>
      </c>
      <c r="I1477" s="3">
        <f t="shared" si="540"/>
        <v>50.123089624369015</v>
      </c>
      <c r="J1477" s="4">
        <f t="shared" si="550"/>
        <v>1842814.7108665232</v>
      </c>
      <c r="K1477" s="1">
        <f t="shared" si="551"/>
        <v>2562.1</v>
      </c>
      <c r="L1477" s="5">
        <f t="shared" si="552"/>
        <v>0.20000000000000012</v>
      </c>
      <c r="M1477" s="5">
        <f t="shared" si="553"/>
        <v>-0.39424054651371387</v>
      </c>
      <c r="N1477" s="5">
        <f t="shared" si="554"/>
        <v>31.319516968687346</v>
      </c>
      <c r="O1477" s="1">
        <f t="shared" si="555"/>
        <v>0</v>
      </c>
      <c r="P1477" s="1">
        <f t="shared" si="556"/>
        <v>2562.1</v>
      </c>
      <c r="Q1477" s="5">
        <f t="shared" si="557"/>
        <v>0.20000000000000012</v>
      </c>
      <c r="R1477" s="5">
        <f t="shared" si="558"/>
        <v>-0.39424054651371387</v>
      </c>
      <c r="S1477" s="5">
        <f t="shared" si="541"/>
        <v>31.319516968687346</v>
      </c>
      <c r="T1477" s="5">
        <f t="shared" si="542"/>
        <v>-706.44432596550962</v>
      </c>
      <c r="U1477" s="4">
        <f t="shared" si="543"/>
        <v>1842844.4483422684</v>
      </c>
      <c r="V1477" s="4">
        <f t="shared" si="559"/>
        <v>89.21386685536406</v>
      </c>
      <c r="W1477" s="4">
        <f t="shared" si="544"/>
        <v>1820718.9532877586</v>
      </c>
      <c r="X1477" s="4">
        <f t="shared" si="548"/>
        <v>1070.5258891913109</v>
      </c>
      <c r="Y1477" s="9">
        <f>SUM($X$6:X1477)</f>
        <v>820718.95328775863</v>
      </c>
      <c r="Z1477" s="16">
        <f t="shared" si="549"/>
        <v>0.82071895328775868</v>
      </c>
      <c r="AA1477" s="16">
        <f t="shared" si="545"/>
        <v>1.0289806273785103</v>
      </c>
      <c r="AB1477" s="16">
        <f t="shared" si="546"/>
        <v>5.8831468379953592E-4</v>
      </c>
      <c r="AC1477" s="16">
        <f t="shared" si="547"/>
        <v>1.2713305304810048E-3</v>
      </c>
    </row>
    <row r="1478" spans="1:29" x14ac:dyDescent="0.15">
      <c r="A1478" s="8">
        <v>43046</v>
      </c>
      <c r="B1478" s="4">
        <v>2590.64</v>
      </c>
      <c r="C1478" s="1">
        <v>9.6768999999999998</v>
      </c>
      <c r="D1478" s="1">
        <v>1.9300000000000002</v>
      </c>
      <c r="E1478" s="1">
        <v>1.4337</v>
      </c>
      <c r="F1478" s="4">
        <f t="shared" si="537"/>
        <v>9.6768999999999994E-2</v>
      </c>
      <c r="G1478" s="4">
        <f t="shared" si="538"/>
        <v>1.9300000000000001E-2</v>
      </c>
      <c r="H1478" s="4">
        <f t="shared" si="539"/>
        <v>1.4336999999999999E-2</v>
      </c>
      <c r="I1478" s="3">
        <f t="shared" si="540"/>
        <v>51.336174170320007</v>
      </c>
      <c r="J1478" s="4">
        <f t="shared" si="550"/>
        <v>1842844.4483422684</v>
      </c>
      <c r="K1478" s="1">
        <f t="shared" si="551"/>
        <v>2562.1</v>
      </c>
      <c r="L1478" s="5">
        <f t="shared" si="552"/>
        <v>0.19726027397260287</v>
      </c>
      <c r="M1478" s="5">
        <f t="shared" si="553"/>
        <v>-0.39728316252835449</v>
      </c>
      <c r="N1478" s="5">
        <f t="shared" si="554"/>
        <v>32.26873939896214</v>
      </c>
      <c r="O1478" s="1">
        <f t="shared" si="555"/>
        <v>0</v>
      </c>
      <c r="P1478" s="1">
        <f t="shared" si="556"/>
        <v>2562.1</v>
      </c>
      <c r="Q1478" s="5">
        <f t="shared" si="557"/>
        <v>0.19726027397260287</v>
      </c>
      <c r="R1478" s="5">
        <f t="shared" si="558"/>
        <v>-0.39728316252835449</v>
      </c>
      <c r="S1478" s="5">
        <f t="shared" si="541"/>
        <v>32.26873939896214</v>
      </c>
      <c r="T1478" s="5">
        <f t="shared" si="542"/>
        <v>-706.44432596550962</v>
      </c>
      <c r="U1478" s="4">
        <f t="shared" si="543"/>
        <v>1842933.6622091236</v>
      </c>
      <c r="V1478" s="4">
        <f t="shared" si="559"/>
        <v>29.73939526140202</v>
      </c>
      <c r="W1478" s="4">
        <f t="shared" si="544"/>
        <v>1820137.594354667</v>
      </c>
      <c r="X1478" s="4">
        <f t="shared" si="548"/>
        <v>-581.3589330916293</v>
      </c>
      <c r="Y1478" s="9">
        <f>SUM($X$6:X1478)</f>
        <v>820137.594354667</v>
      </c>
      <c r="Z1478" s="16">
        <f t="shared" si="549"/>
        <v>0.82013759435466704</v>
      </c>
      <c r="AA1478" s="16">
        <f t="shared" si="545"/>
        <v>1.0285969335818208</v>
      </c>
      <c r="AB1478" s="16">
        <f t="shared" si="546"/>
        <v>-3.1930185163494998E-4</v>
      </c>
      <c r="AC1478" s="16">
        <f t="shared" si="547"/>
        <v>-1.891066831846478E-4</v>
      </c>
    </row>
    <row r="1479" spans="1:29" x14ac:dyDescent="0.15">
      <c r="A1479" s="8">
        <v>43047</v>
      </c>
      <c r="B1479" s="4">
        <v>2594.38</v>
      </c>
      <c r="C1479" s="1">
        <v>9.7542000000000009</v>
      </c>
      <c r="D1479" s="1">
        <v>1.92</v>
      </c>
      <c r="E1479" s="1">
        <v>1.4405000000000001</v>
      </c>
      <c r="F1479" s="4">
        <f t="shared" ref="F1479:F1486" si="560">C1479/100</f>
        <v>9.7542000000000004E-2</v>
      </c>
      <c r="G1479" s="4">
        <f t="shared" ref="G1479:G1486" si="561">D1479/100</f>
        <v>1.9199999999999998E-2</v>
      </c>
      <c r="H1479" s="4">
        <f t="shared" ref="H1479:H1486" si="562">E1479/100</f>
        <v>1.4405000000000001E-2</v>
      </c>
      <c r="I1479" s="3">
        <f t="shared" ref="I1479:I1486" si="563">BSM_Put(B1479,B1479,F1479,H1479,G1479,$B$3,$F$3)</f>
        <v>51.75287301968384</v>
      </c>
      <c r="J1479" s="4">
        <f t="shared" si="550"/>
        <v>1842933.6622091236</v>
      </c>
      <c r="K1479" s="1">
        <f t="shared" si="551"/>
        <v>2562.1</v>
      </c>
      <c r="L1479" s="5">
        <f t="shared" si="552"/>
        <v>0.19452054794520562</v>
      </c>
      <c r="M1479" s="5">
        <f t="shared" si="553"/>
        <v>-0.38414119251604933</v>
      </c>
      <c r="N1479" s="5">
        <f t="shared" si="554"/>
        <v>30.802582333422887</v>
      </c>
      <c r="O1479" s="1">
        <f t="shared" si="555"/>
        <v>0</v>
      </c>
      <c r="P1479" s="1">
        <f t="shared" si="556"/>
        <v>2562.1</v>
      </c>
      <c r="Q1479" s="5">
        <f t="shared" si="557"/>
        <v>0.19452054794520562</v>
      </c>
      <c r="R1479" s="5">
        <f t="shared" si="558"/>
        <v>-0.38414119251604933</v>
      </c>
      <c r="S1479" s="5">
        <f t="shared" ref="S1479:S1486" si="564">BSM_Put(B1479,P1479,F1479,H1479,G1479,Q1479,$F$3)</f>
        <v>30.802582333422887</v>
      </c>
      <c r="T1479" s="5">
        <f t="shared" si="542"/>
        <v>-706.44432596550962</v>
      </c>
      <c r="U1479" s="4">
        <f t="shared" si="543"/>
        <v>1842963.4016043851</v>
      </c>
      <c r="V1479" s="4">
        <f t="shared" si="559"/>
        <v>29.739875165615963</v>
      </c>
      <c r="W1479" s="4">
        <f t="shared" si="544"/>
        <v>1821203.092089853</v>
      </c>
      <c r="X1479" s="4">
        <f t="shared" si="548"/>
        <v>1065.4977351860143</v>
      </c>
      <c r="Y1479" s="9">
        <f>SUM($X$6:X1479)</f>
        <v>821203.09208985302</v>
      </c>
      <c r="Z1479" s="16">
        <f t="shared" si="549"/>
        <v>0.82120309208985298</v>
      </c>
      <c r="AA1479" s="16">
        <f t="shared" si="545"/>
        <v>1.0315255352136941</v>
      </c>
      <c r="AB1479" s="16">
        <f t="shared" si="546"/>
        <v>5.8539405948800723E-4</v>
      </c>
      <c r="AC1479" s="16">
        <f t="shared" si="547"/>
        <v>1.4436587098169706E-3</v>
      </c>
    </row>
    <row r="1480" spans="1:29" x14ac:dyDescent="0.15">
      <c r="A1480" s="8">
        <v>43048</v>
      </c>
      <c r="B1480" s="4">
        <v>2584.62</v>
      </c>
      <c r="C1480" s="1">
        <v>10.0784</v>
      </c>
      <c r="D1480" s="1">
        <v>1.9300000000000002</v>
      </c>
      <c r="E1480" s="1">
        <v>1.4442999999999999</v>
      </c>
      <c r="F1480" s="4">
        <f t="shared" si="560"/>
        <v>0.100784</v>
      </c>
      <c r="G1480" s="4">
        <f t="shared" si="561"/>
        <v>1.9300000000000001E-2</v>
      </c>
      <c r="H1480" s="4">
        <f t="shared" si="562"/>
        <v>1.4442999999999999E-2</v>
      </c>
      <c r="I1480" s="3">
        <f t="shared" si="563"/>
        <v>53.238709560315591</v>
      </c>
      <c r="J1480" s="4">
        <f t="shared" si="550"/>
        <v>1842963.4016043851</v>
      </c>
      <c r="K1480" s="1">
        <f t="shared" si="551"/>
        <v>2562.1</v>
      </c>
      <c r="L1480" s="5">
        <f t="shared" si="552"/>
        <v>0.19178082191780838</v>
      </c>
      <c r="M1480" s="5">
        <f t="shared" si="553"/>
        <v>-0.4194810999589263</v>
      </c>
      <c r="N1480" s="5">
        <f t="shared" si="554"/>
        <v>35.838860605356018</v>
      </c>
      <c r="O1480" s="1">
        <f t="shared" si="555"/>
        <v>0</v>
      </c>
      <c r="P1480" s="1">
        <f t="shared" si="556"/>
        <v>2562.1</v>
      </c>
      <c r="Q1480" s="5">
        <f t="shared" si="557"/>
        <v>0.19178082191780838</v>
      </c>
      <c r="R1480" s="5">
        <f t="shared" si="558"/>
        <v>-0.4194810999589263</v>
      </c>
      <c r="S1480" s="5">
        <f t="shared" si="564"/>
        <v>35.838860605356018</v>
      </c>
      <c r="T1480" s="5">
        <f t="shared" ref="T1480:T1486" si="565">IF(O1480,-(J1480+IF(L1480&lt;=0.00001, MAX(K1480-B1480,0),N1480)*T1479)/P1480,T1479)</f>
        <v>-706.44432596550962</v>
      </c>
      <c r="U1480" s="4">
        <f t="shared" ref="U1480:U1486" si="566">IF(O1480,(J1480+IF(L1480&lt;=0.00001, MAX(K1480-B1480,0),N1480)*T1479)-(S1480*T1480),U1479)+V1479</f>
        <v>1842993.1414795506</v>
      </c>
      <c r="V1480" s="4">
        <f t="shared" si="559"/>
        <v>29.740355077574115</v>
      </c>
      <c r="W1480" s="4">
        <f t="shared" ref="W1480:W1486" si="567">S1480*T1480+U1480</f>
        <v>1817674.981755828</v>
      </c>
      <c r="X1480" s="4">
        <f t="shared" si="548"/>
        <v>-3528.1103340249974</v>
      </c>
      <c r="Y1480" s="9">
        <f>SUM($X$6:X1480)</f>
        <v>817674.98175582802</v>
      </c>
      <c r="Z1480" s="16">
        <f t="shared" si="549"/>
        <v>0.81767498175582798</v>
      </c>
      <c r="AA1480" s="16">
        <f t="shared" ref="AA1480:AA1486" si="568">(B1480-$B$6)/$B$6</f>
        <v>1.0238829812224954</v>
      </c>
      <c r="AB1480" s="16">
        <f t="shared" ref="AB1480:AB1486" si="569">X1480/W1479</f>
        <v>-1.9372415681418855E-3</v>
      </c>
      <c r="AC1480" s="16">
        <f t="shared" ref="AC1480:AC1486" si="570">(B1480-B1479)/B1479</f>
        <v>-3.761977813581749E-3</v>
      </c>
    </row>
    <row r="1481" spans="1:29" x14ac:dyDescent="0.15">
      <c r="A1481" s="8">
        <v>43049</v>
      </c>
      <c r="B1481" s="4">
        <v>2582.3000000000002</v>
      </c>
      <c r="C1481" s="1">
        <v>10.5776</v>
      </c>
      <c r="D1481" s="1">
        <v>1.9300000000000002</v>
      </c>
      <c r="E1481" s="1">
        <v>1.4442999999999999</v>
      </c>
      <c r="F1481" s="4">
        <f t="shared" si="560"/>
        <v>0.10577600000000001</v>
      </c>
      <c r="G1481" s="4">
        <f t="shared" si="561"/>
        <v>1.9300000000000001E-2</v>
      </c>
      <c r="H1481" s="4">
        <f t="shared" si="562"/>
        <v>1.4442999999999999E-2</v>
      </c>
      <c r="I1481" s="3">
        <f t="shared" si="563"/>
        <v>55.746414131981005</v>
      </c>
      <c r="J1481" s="4">
        <f t="shared" si="550"/>
        <v>1842993.1414795506</v>
      </c>
      <c r="K1481" s="1">
        <f t="shared" si="551"/>
        <v>2562.1</v>
      </c>
      <c r="L1481" s="5">
        <f t="shared" si="552"/>
        <v>0.18904109589041113</v>
      </c>
      <c r="M1481" s="5">
        <f t="shared" si="553"/>
        <v>-0.42944572810514176</v>
      </c>
      <c r="N1481" s="5">
        <f t="shared" si="554"/>
        <v>38.681724902563531</v>
      </c>
      <c r="O1481" s="1">
        <f t="shared" si="555"/>
        <v>0</v>
      </c>
      <c r="P1481" s="1">
        <f t="shared" si="556"/>
        <v>2562.1</v>
      </c>
      <c r="Q1481" s="5">
        <f t="shared" si="557"/>
        <v>0.18904109589041113</v>
      </c>
      <c r="R1481" s="5">
        <f t="shared" si="558"/>
        <v>-0.42944572810514176</v>
      </c>
      <c r="S1481" s="5">
        <f t="shared" si="564"/>
        <v>38.681724902563531</v>
      </c>
      <c r="T1481" s="5">
        <f t="shared" si="565"/>
        <v>-706.44432596550962</v>
      </c>
      <c r="U1481" s="4">
        <f t="shared" si="566"/>
        <v>1843022.8818346283</v>
      </c>
      <c r="V1481" s="4">
        <f t="shared" si="559"/>
        <v>29.7408349972766</v>
      </c>
      <c r="W1481" s="4">
        <f t="shared" si="567"/>
        <v>1815696.3967586535</v>
      </c>
      <c r="X1481" s="4">
        <f t="shared" ref="X1481:X1486" si="571">W1481-W1480</f>
        <v>-1978.5849971745629</v>
      </c>
      <c r="Y1481" s="9">
        <f>SUM($X$6:X1481)</f>
        <v>815696.39675865346</v>
      </c>
      <c r="Z1481" s="16">
        <f t="shared" si="549"/>
        <v>0.81569639675865346</v>
      </c>
      <c r="AA1481" s="16">
        <f t="shared" si="568"/>
        <v>1.0220663085524566</v>
      </c>
      <c r="AB1481" s="16">
        <f t="shared" si="569"/>
        <v>-1.0885251857641236E-3</v>
      </c>
      <c r="AC1481" s="16">
        <f t="shared" si="570"/>
        <v>-8.9761744473064085E-4</v>
      </c>
    </row>
    <row r="1482" spans="1:29" x14ac:dyDescent="0.15">
      <c r="A1482" s="8">
        <v>43052</v>
      </c>
      <c r="B1482" s="4">
        <v>2584.84</v>
      </c>
      <c r="C1482" s="1">
        <v>10.646699999999999</v>
      </c>
      <c r="D1482" s="1">
        <v>1.9300000000000002</v>
      </c>
      <c r="E1482" s="1">
        <v>1.4473</v>
      </c>
      <c r="F1482" s="4">
        <f t="shared" si="560"/>
        <v>0.10646699999999999</v>
      </c>
      <c r="G1482" s="4">
        <f t="shared" si="561"/>
        <v>1.9300000000000001E-2</v>
      </c>
      <c r="H1482" s="4">
        <f t="shared" si="562"/>
        <v>1.4473E-2</v>
      </c>
      <c r="I1482" s="3">
        <f t="shared" si="563"/>
        <v>56.145318593202539</v>
      </c>
      <c r="J1482" s="4">
        <f t="shared" si="550"/>
        <v>1843022.8818346283</v>
      </c>
      <c r="K1482" s="1">
        <f t="shared" si="551"/>
        <v>2562.1</v>
      </c>
      <c r="L1482" s="5">
        <f t="shared" si="552"/>
        <v>0.18082191780821935</v>
      </c>
      <c r="M1482" s="5">
        <f t="shared" si="553"/>
        <v>-0.41984484182227755</v>
      </c>
      <c r="N1482" s="5">
        <f t="shared" si="554"/>
        <v>36.833819270279697</v>
      </c>
      <c r="O1482" s="1">
        <f t="shared" si="555"/>
        <v>0</v>
      </c>
      <c r="P1482" s="1">
        <f t="shared" si="556"/>
        <v>2562.1</v>
      </c>
      <c r="Q1482" s="5">
        <f t="shared" si="557"/>
        <v>0.18082191780821935</v>
      </c>
      <c r="R1482" s="5">
        <f t="shared" si="558"/>
        <v>-0.41984484182227755</v>
      </c>
      <c r="S1482" s="5">
        <f t="shared" si="564"/>
        <v>36.833819270279697</v>
      </c>
      <c r="T1482" s="5">
        <f t="shared" si="565"/>
        <v>-706.44432596550962</v>
      </c>
      <c r="U1482" s="4">
        <f t="shared" si="566"/>
        <v>1843052.6226696256</v>
      </c>
      <c r="V1482" s="4">
        <f t="shared" si="559"/>
        <v>89.223944774170633</v>
      </c>
      <c r="W1482" s="4">
        <f t="shared" si="567"/>
        <v>1817031.5800424975</v>
      </c>
      <c r="X1482" s="4">
        <f t="shared" si="571"/>
        <v>1335.1832838440314</v>
      </c>
      <c r="Y1482" s="9">
        <f>SUM($X$6:X1482)</f>
        <v>817031.58004249749</v>
      </c>
      <c r="Z1482" s="16">
        <f t="shared" si="549"/>
        <v>0.81703158004249754</v>
      </c>
      <c r="AA1482" s="16">
        <f t="shared" si="568"/>
        <v>1.0240552519067234</v>
      </c>
      <c r="AB1482" s="16">
        <f t="shared" si="569"/>
        <v>7.3535602440340524E-4</v>
      </c>
      <c r="AC1482" s="16">
        <f t="shared" si="570"/>
        <v>9.836192541532601E-4</v>
      </c>
    </row>
    <row r="1483" spans="1:29" x14ac:dyDescent="0.15">
      <c r="A1483" s="8">
        <v>43053</v>
      </c>
      <c r="B1483" s="4">
        <v>2578.87</v>
      </c>
      <c r="C1483" s="1">
        <v>10.764099999999999</v>
      </c>
      <c r="D1483" s="1">
        <v>1.9300000000000002</v>
      </c>
      <c r="E1483" s="1">
        <v>1.4504999999999999</v>
      </c>
      <c r="F1483" s="4">
        <f t="shared" si="560"/>
        <v>0.10764099999999999</v>
      </c>
      <c r="G1483" s="4">
        <f t="shared" si="561"/>
        <v>1.9300000000000001E-2</v>
      </c>
      <c r="H1483" s="4">
        <f t="shared" si="562"/>
        <v>1.4504999999999999E-2</v>
      </c>
      <c r="I1483" s="3">
        <f t="shared" si="563"/>
        <v>56.605181296394257</v>
      </c>
      <c r="J1483" s="4">
        <f t="shared" si="550"/>
        <v>1843052.6226696256</v>
      </c>
      <c r="K1483" s="1">
        <f t="shared" si="551"/>
        <v>2562.1</v>
      </c>
      <c r="L1483" s="5">
        <f t="shared" si="552"/>
        <v>0.1780821917808221</v>
      </c>
      <c r="M1483" s="5">
        <f t="shared" si="553"/>
        <v>-0.43983888887179318</v>
      </c>
      <c r="N1483" s="5">
        <f t="shared" si="554"/>
        <v>39.533040279037586</v>
      </c>
      <c r="O1483" s="1">
        <f t="shared" si="555"/>
        <v>0</v>
      </c>
      <c r="P1483" s="1">
        <f t="shared" si="556"/>
        <v>2562.1</v>
      </c>
      <c r="Q1483" s="5">
        <f t="shared" si="557"/>
        <v>0.1780821917808221</v>
      </c>
      <c r="R1483" s="5">
        <f t="shared" si="558"/>
        <v>-0.43983888887179318</v>
      </c>
      <c r="S1483" s="5">
        <f t="shared" si="564"/>
        <v>39.533040279037586</v>
      </c>
      <c r="T1483" s="5">
        <f t="shared" si="565"/>
        <v>-706.44432596550962</v>
      </c>
      <c r="U1483" s="4">
        <f t="shared" si="566"/>
        <v>1843141.8466143997</v>
      </c>
      <c r="V1483" s="4">
        <f t="shared" si="559"/>
        <v>29.742754730298117</v>
      </c>
      <c r="W1483" s="4">
        <f t="shared" si="567"/>
        <v>1815213.9546211076</v>
      </c>
      <c r="X1483" s="4">
        <f t="shared" si="571"/>
        <v>-1817.6254213899374</v>
      </c>
      <c r="Y1483" s="9">
        <f>SUM($X$6:X1483)</f>
        <v>815213.95462110755</v>
      </c>
      <c r="Z1483" s="16">
        <f t="shared" si="549"/>
        <v>0.81521395462110757</v>
      </c>
      <c r="AA1483" s="16">
        <f t="shared" si="568"/>
        <v>1.0193804519756315</v>
      </c>
      <c r="AB1483" s="16">
        <f t="shared" si="569"/>
        <v>-1.0003268194972296E-3</v>
      </c>
      <c r="AC1483" s="16">
        <f t="shared" si="570"/>
        <v>-2.309620711533501E-3</v>
      </c>
    </row>
    <row r="1484" spans="1:29" x14ac:dyDescent="0.15">
      <c r="A1484" s="8">
        <v>43054</v>
      </c>
      <c r="B1484" s="4">
        <v>2564.62</v>
      </c>
      <c r="C1484" s="1">
        <v>11.389900000000001</v>
      </c>
      <c r="D1484" s="1">
        <v>1.94</v>
      </c>
      <c r="E1484" s="1">
        <v>1.4525000000000001</v>
      </c>
      <c r="F1484" s="4">
        <f t="shared" si="560"/>
        <v>0.11389900000000001</v>
      </c>
      <c r="G1484" s="4">
        <f t="shared" si="561"/>
        <v>1.9400000000000001E-2</v>
      </c>
      <c r="H1484" s="4">
        <f t="shared" si="562"/>
        <v>1.4525000000000001E-2</v>
      </c>
      <c r="I1484" s="3">
        <f t="shared" si="563"/>
        <v>59.499005368379429</v>
      </c>
      <c r="J1484" s="4">
        <f t="shared" si="550"/>
        <v>1843141.8466143997</v>
      </c>
      <c r="K1484" s="1">
        <f t="shared" si="551"/>
        <v>2562.1</v>
      </c>
      <c r="L1484" s="5">
        <f t="shared" si="552"/>
        <v>0.17534246575342485</v>
      </c>
      <c r="M1484" s="5">
        <f t="shared" si="553"/>
        <v>-0.48775258606427141</v>
      </c>
      <c r="N1484" s="5">
        <f t="shared" si="554"/>
        <v>48.460185741743672</v>
      </c>
      <c r="O1484" s="1">
        <f t="shared" si="555"/>
        <v>0</v>
      </c>
      <c r="P1484" s="1">
        <f t="shared" si="556"/>
        <v>2562.1</v>
      </c>
      <c r="Q1484" s="5">
        <f t="shared" si="557"/>
        <v>0.17534246575342485</v>
      </c>
      <c r="R1484" s="5">
        <f t="shared" si="558"/>
        <v>-0.48775258606427141</v>
      </c>
      <c r="S1484" s="5">
        <f t="shared" si="564"/>
        <v>48.460185741743672</v>
      </c>
      <c r="T1484" s="5">
        <f t="shared" si="565"/>
        <v>-706.44432596550962</v>
      </c>
      <c r="U1484" s="4">
        <f t="shared" si="566"/>
        <v>1843171.5893691301</v>
      </c>
      <c r="V1484" s="4">
        <f t="shared" si="559"/>
        <v>29.743234688723767</v>
      </c>
      <c r="W1484" s="4">
        <f t="shared" si="567"/>
        <v>1808937.1661166407</v>
      </c>
      <c r="X1484" s="4">
        <f t="shared" si="571"/>
        <v>-6276.7885044668801</v>
      </c>
      <c r="Y1484" s="9">
        <f>SUM($X$6:X1484)</f>
        <v>808937.16611664067</v>
      </c>
      <c r="Z1484" s="16">
        <f t="shared" si="549"/>
        <v>0.80893716611664068</v>
      </c>
      <c r="AA1484" s="16">
        <f t="shared" si="568"/>
        <v>1.0082220099290558</v>
      </c>
      <c r="AB1484" s="16">
        <f t="shared" si="569"/>
        <v>-3.4578780581141157E-3</v>
      </c>
      <c r="AC1484" s="16">
        <f t="shared" si="570"/>
        <v>-5.5256759743608636E-3</v>
      </c>
    </row>
    <row r="1485" spans="1:29" x14ac:dyDescent="0.15">
      <c r="A1485" s="8">
        <v>43055</v>
      </c>
      <c r="B1485" s="4">
        <v>2585.64</v>
      </c>
      <c r="C1485" s="1">
        <v>10.5566</v>
      </c>
      <c r="D1485" s="1">
        <v>1.9300000000000002</v>
      </c>
      <c r="E1485" s="1">
        <v>1.4676</v>
      </c>
      <c r="F1485" s="4">
        <f t="shared" si="560"/>
        <v>0.10556599999999999</v>
      </c>
      <c r="G1485" s="4">
        <f t="shared" si="561"/>
        <v>1.9300000000000001E-2</v>
      </c>
      <c r="H1485" s="4">
        <f t="shared" si="562"/>
        <v>1.4676E-2</v>
      </c>
      <c r="I1485" s="3">
        <f t="shared" si="563"/>
        <v>55.633136880634822</v>
      </c>
      <c r="J1485" s="4">
        <f t="shared" si="550"/>
        <v>1843171.5893691301</v>
      </c>
      <c r="K1485" s="1">
        <f t="shared" si="551"/>
        <v>2562.1</v>
      </c>
      <c r="L1485" s="5">
        <f t="shared" si="552"/>
        <v>0.1726027397260276</v>
      </c>
      <c r="M1485" s="5">
        <f t="shared" si="553"/>
        <v>-0.41456710291035337</v>
      </c>
      <c r="N1485" s="5">
        <f t="shared" si="554"/>
        <v>34.998169663253968</v>
      </c>
      <c r="O1485" s="1">
        <f t="shared" si="555"/>
        <v>0</v>
      </c>
      <c r="P1485" s="1">
        <f t="shared" si="556"/>
        <v>2562.1</v>
      </c>
      <c r="Q1485" s="5">
        <f t="shared" si="557"/>
        <v>0.1726027397260276</v>
      </c>
      <c r="R1485" s="5">
        <f t="shared" si="558"/>
        <v>-0.41456710291035337</v>
      </c>
      <c r="S1485" s="5">
        <f t="shared" si="564"/>
        <v>34.998169663253968</v>
      </c>
      <c r="T1485" s="5">
        <f t="shared" si="565"/>
        <v>-706.44432596550962</v>
      </c>
      <c r="U1485" s="4">
        <f t="shared" si="566"/>
        <v>1843201.3326038187</v>
      </c>
      <c r="V1485" s="4">
        <f t="shared" si="559"/>
        <v>29.743714654894497</v>
      </c>
      <c r="W1485" s="4">
        <f t="shared" si="567"/>
        <v>1818477.0742260348</v>
      </c>
      <c r="X1485" s="4">
        <f t="shared" si="571"/>
        <v>9539.908109394135</v>
      </c>
      <c r="Y1485" s="9">
        <f>SUM($X$6:X1485)</f>
        <v>818477.07422603481</v>
      </c>
      <c r="Z1485" s="16">
        <f t="shared" si="549"/>
        <v>0.81847707422603477</v>
      </c>
      <c r="AA1485" s="16">
        <f t="shared" si="568"/>
        <v>1.0246816907584608</v>
      </c>
      <c r="AB1485" s="16">
        <f t="shared" si="569"/>
        <v>5.27376422359327E-3</v>
      </c>
      <c r="AC1485" s="16">
        <f t="shared" si="570"/>
        <v>8.1961460177336146E-3</v>
      </c>
    </row>
    <row r="1486" spans="1:29" x14ac:dyDescent="0.15">
      <c r="A1486" s="8">
        <v>43056</v>
      </c>
      <c r="B1486" s="4">
        <v>2578.85</v>
      </c>
      <c r="C1486" s="1">
        <v>10.5243</v>
      </c>
      <c r="D1486" s="1">
        <v>1.9300000000000002</v>
      </c>
      <c r="E1486" s="1">
        <v>1.4727000000000001</v>
      </c>
      <c r="F1486" s="4">
        <f t="shared" si="560"/>
        <v>0.105243</v>
      </c>
      <c r="G1486" s="4">
        <f t="shared" si="561"/>
        <v>1.9300000000000001E-2</v>
      </c>
      <c r="H1486" s="4">
        <f t="shared" si="562"/>
        <v>1.4727000000000001E-2</v>
      </c>
      <c r="I1486" s="3">
        <f t="shared" si="563"/>
        <v>55.304952862442057</v>
      </c>
      <c r="J1486" s="4">
        <f t="shared" si="550"/>
        <v>1843201.3326038187</v>
      </c>
      <c r="K1486" s="1">
        <f t="shared" si="551"/>
        <v>2562.1</v>
      </c>
      <c r="L1486" s="5">
        <f t="shared" si="552"/>
        <v>0.16986301369863036</v>
      </c>
      <c r="M1486" s="5">
        <f t="shared" si="553"/>
        <v>-0.43736453882250115</v>
      </c>
      <c r="N1486" s="5">
        <f t="shared" si="554"/>
        <v>37.380508424455719</v>
      </c>
      <c r="O1486" s="1">
        <f t="shared" si="555"/>
        <v>0</v>
      </c>
      <c r="P1486" s="1">
        <f t="shared" si="556"/>
        <v>2562.1</v>
      </c>
      <c r="Q1486" s="5">
        <f t="shared" si="557"/>
        <v>0.16986301369863036</v>
      </c>
      <c r="R1486" s="5">
        <f t="shared" si="558"/>
        <v>-0.43736453882250115</v>
      </c>
      <c r="S1486" s="5">
        <f t="shared" si="564"/>
        <v>37.380508424455719</v>
      </c>
      <c r="T1486" s="5">
        <f t="shared" si="565"/>
        <v>-706.44432596550962</v>
      </c>
      <c r="U1486" s="4">
        <f t="shared" si="566"/>
        <v>1843231.0763184736</v>
      </c>
      <c r="V1486" s="4">
        <f t="shared" si="559"/>
        <v>29.744194628810437</v>
      </c>
      <c r="W1486" s="4">
        <f t="shared" si="567"/>
        <v>1816823.8282403108</v>
      </c>
      <c r="X1486" s="4">
        <f t="shared" si="571"/>
        <v>-1653.2459857240319</v>
      </c>
      <c r="Y1486" s="9">
        <f>SUM($X$6:X1486)</f>
        <v>816823.82824031077</v>
      </c>
      <c r="Z1486" s="16">
        <f t="shared" si="549"/>
        <v>0.81682382824031075</v>
      </c>
      <c r="AA1486" s="16">
        <f t="shared" si="568"/>
        <v>1.0193647910043382</v>
      </c>
      <c r="AB1486" s="16">
        <f t="shared" si="569"/>
        <v>-9.0913765653475329E-4</v>
      </c>
      <c r="AC1486" s="16">
        <f t="shared" si="570"/>
        <v>-2.626042295137747E-3</v>
      </c>
    </row>
  </sheetData>
  <mergeCells count="1">
    <mergeCell ref="F2:G2"/>
  </mergeCells>
  <phoneticPr fontId="2" type="noConversion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Pravit</dc:creator>
  <cp:lastModifiedBy>Microsoft Office 用户</cp:lastModifiedBy>
  <dcterms:created xsi:type="dcterms:W3CDTF">2017-11-19T03:02:09Z</dcterms:created>
  <dcterms:modified xsi:type="dcterms:W3CDTF">2017-12-01T01:09:56Z</dcterms:modified>
</cp:coreProperties>
</file>